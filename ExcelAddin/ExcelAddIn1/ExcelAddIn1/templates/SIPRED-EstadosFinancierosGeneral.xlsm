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22.xml" ContentType="application/vnd.openxmlformats-officedocument.spreadsheetml.worksheet+xml"/>
  <Override PartName="/xl/worksheets/sheet26.xml" ContentType="application/vnd.openxmlformats-officedocument.spreadsheetml.worksheet+xml"/>
  <Override PartName="/xl/worksheets/sheet21.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2.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3.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5.xml" ContentType="application/vnd.openxmlformats-officedocument.spreadsheetml.worksheet+xml"/>
  <Override PartName="/docProps/core.xml" ContentType="application/vnd.openxmlformats-package.core-properties+xml"/>
  <Override PartName="/xl/comments26.xml" ContentType="application/vnd.openxmlformats-officedocument.spreadsheetml.comments+xml"/>
  <Override PartName="/xl/comments25.xml" ContentType="application/vnd.openxmlformats-officedocument.spreadsheetml.comments+xml"/>
  <Override PartName="/xl/comments6.xml" ContentType="application/vnd.openxmlformats-officedocument.spreadsheetml.comments+xml"/>
  <Override PartName="/docProps/app.xml" ContentType="application/vnd.openxmlformats-officedocument.extended-properties+xml"/>
  <Override PartName="/xl/calcChain.xml" ContentType="application/vnd.openxmlformats-officedocument.spreadsheetml.calcChain+xml"/>
  <Override PartName="/xl/comments24.xml" ContentType="application/vnd.openxmlformats-officedocument.spreadsheetml.comments+xml"/>
  <Override PartName="/xl/comments12.xml" ContentType="application/vnd.openxmlformats-officedocument.spreadsheetml.comments+xml"/>
  <Override PartName="/xl/comments4.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1.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5.xml" ContentType="application/vnd.openxmlformats-officedocument.spreadsheetml.comments+xml"/>
  <Override PartName="/xl/comments10.xml" ContentType="application/vnd.openxmlformats-officedocument.spreadsheetml.comments+xml"/>
  <Override PartName="/xl/comments3.xml" ContentType="application/vnd.openxmlformats-officedocument.spreadsheetml.comments+xml"/>
  <Override PartName="/xl/comments16.xml" ContentType="application/vnd.openxmlformats-officedocument.spreadsheetml.comments+xml"/>
  <Override PartName="/xl/comments21.xml" ContentType="application/vnd.openxmlformats-officedocument.spreadsheetml.comments+xml"/>
  <Override PartName="/xl/comments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0.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2.xml" ContentType="application/vnd.openxmlformats-officedocument.spreadsheetml.comments+xml"/>
  <Override PartName="/xl/comments19.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defaultThemeVersion="124226"/>
  <mc:AlternateContent xmlns:mc="http://schemas.openxmlformats.org/markup-compatibility/2006">
    <mc:Choice Requires="x15">
      <x15ac:absPath xmlns:x15ac="http://schemas.microsoft.com/office/spreadsheetml/2010/11/ac" url="C:\Users\lasoriano\OneDrive\GSB\Deloitte\Proyectos\SIPRED\3. Ejecución\Documentos\"/>
    </mc:Choice>
  </mc:AlternateContent>
  <bookViews>
    <workbookView xWindow="-15" yWindow="-15" windowWidth="14520" windowHeight="12840" tabRatio="685" activeTab="1"/>
  </bookViews>
  <sheets>
    <sheet name="Inicio" sheetId="32" r:id="rId1"/>
    <sheet name="Contribuyente" sheetId="1" r:id="rId2"/>
    <sheet name="Contador" sheetId="2" r:id="rId3"/>
    <sheet name="Representante" sheetId="3" r:id="rId4"/>
    <sheet name="Generales" sheetId="4" r:id="rId5"/>
    <sheet name="ANEXO 5" sheetId="9" r:id="rId6"/>
    <sheet name="ANEXO 7" sheetId="11" r:id="rId7"/>
    <sheet name="ANEXO 6" sheetId="10" r:id="rId8"/>
    <sheet name="ANEXO 8" sheetId="12" r:id="rId9"/>
    <sheet name="ANEXO 2" sheetId="6" r:id="rId10"/>
    <sheet name="ANEXO 10" sheetId="14" r:id="rId11"/>
    <sheet name="ANEXO 3" sheetId="7" r:id="rId12"/>
    <sheet name="ANEXO 1" sheetId="5" r:id="rId13"/>
    <sheet name="ANEXO 14" sheetId="18" r:id="rId14"/>
    <sheet name="ANEXO 4" sheetId="8" r:id="rId15"/>
    <sheet name="ANEXO 20" sheetId="24" r:id="rId16"/>
    <sheet name="ANEXO 11" sheetId="15" r:id="rId17"/>
    <sheet name="ANEXO 15" sheetId="19" r:id="rId18"/>
    <sheet name="ANEXO 9" sheetId="13" r:id="rId19"/>
    <sheet name="ANEXO 18" sheetId="22" r:id="rId20"/>
    <sheet name="ANEXO 12" sheetId="16" r:id="rId21"/>
    <sheet name="ANEXO 13" sheetId="17" r:id="rId22"/>
    <sheet name="ANEXO 16" sheetId="20" r:id="rId23"/>
    <sheet name="ANEXO 17" sheetId="21" r:id="rId24"/>
    <sheet name="ANEXO 19" sheetId="23" r:id="rId25"/>
    <sheet name="ANEXO 21" sheetId="25" r:id="rId26"/>
    <sheet name="ANEXO 22" sheetId="26" r:id="rId27"/>
    <sheet name="ANEXO 23" sheetId="27" r:id="rId28"/>
    <sheet name="CDF" sheetId="28" r:id="rId29"/>
    <sheet name="MPT" sheetId="29" r:id="rId30"/>
    <sheet name="Cat" sheetId="30" state="hidden" r:id="rId31"/>
    <sheet name="i|dSoft" sheetId="31" state="hidden" r:id="rId32"/>
  </sheets>
  <definedNames>
    <definedName name="_xlnm._FilterDatabase" localSheetId="23" hidden="1">'ANEXO 17'!$C$2:$C$289</definedName>
    <definedName name="_xlnm._FilterDatabase" localSheetId="19" hidden="1">'ANEXO 18'!$C$2:$C$154</definedName>
    <definedName name="_xlnm._FilterDatabase" localSheetId="14" hidden="1">'ANEXO 4'!$C$2:$D$149</definedName>
    <definedName name="_xlnm._FilterDatabase" localSheetId="7" hidden="1">'ANEXO 6'!$C$2:$D$99</definedName>
    <definedName name="_xlnm._FilterDatabase" localSheetId="28" hidden="1">CDF!$C$2:$D$78</definedName>
    <definedName name="_xlnm._FilterDatabase" localSheetId="2" hidden="1">Contador!$C$2:$C$29</definedName>
    <definedName name="_xlnm._FilterDatabase" localSheetId="1" hidden="1">Contribuyente!$C$2:$C$25</definedName>
    <definedName name="_xlnm._FilterDatabase" localSheetId="4" hidden="1">Generales!$C$2:$C$440</definedName>
    <definedName name="_xlnm._FilterDatabase" localSheetId="29" hidden="1">MPT!$C$2:$C$111</definedName>
    <definedName name="_xlnm._FilterDatabase" localSheetId="3" hidden="1">Representante!$C$2:$C$30</definedName>
    <definedName name="ADMIN_AGUASCA">Cat!$EL$3</definedName>
    <definedName name="ADMIN_BAJACAL">Cat!$EL$4:$EL$6</definedName>
    <definedName name="ADMIN_BAJACALSUR">Cat!$EL$7:$EL$8</definedName>
    <definedName name="ADMIN_CAMPECHE">Cat!$EL$9</definedName>
    <definedName name="ADMIN_CAT">Cat!$EU$1:$EV$34</definedName>
    <definedName name="ADMIN_CHIAPAS">Cat!$EL$10:$EL$11</definedName>
    <definedName name="ADMIN_CHIHUAHUA">Cat!$EL$12:$EL$13</definedName>
    <definedName name="ADMIN_COAHUILA">Cat!$EL$14:$EL$16</definedName>
    <definedName name="ADMIN_COLIMA">Cat!$EL$17</definedName>
    <definedName name="ADMIN_DISTRITOFEDERAL">Cat!$EL$18:$EL$21</definedName>
    <definedName name="ADMIN_DURANGO">Cat!$EL$22</definedName>
    <definedName name="ADMIN_GRANDES">Cat!$EL$1</definedName>
    <definedName name="ADMIN_GUANAJUATO">Cat!$EL$23:$EL$25</definedName>
    <definedName name="ADMIN_GUERRERO">Cat!$EL$26:$EL$27</definedName>
    <definedName name="ADMIN_HIDALGO">Cat!$EL$28</definedName>
    <definedName name="ADMIN_HIDROCARBUROS">Cat!$EL$2</definedName>
    <definedName name="ADMIN_JALISCO">Cat!$EL$29:$EL$33</definedName>
    <definedName name="ADMIN_MEXICO">Cat!$EL$34:$EL$35</definedName>
    <definedName name="ADMIN_MICHOACAN">Cat!$EL$36:$EL$37</definedName>
    <definedName name="ADMIN_MORELOS">Cat!$EL$38</definedName>
    <definedName name="ADMIN_NAYARIT">Cat!$EL$39</definedName>
    <definedName name="ADMIN_NUEVOLEON">Cat!$EL$40:$EL$42</definedName>
    <definedName name="ADMIN_OAXACA">Cat!$EL$43</definedName>
    <definedName name="ADMIN_PUEBLA">Cat!$EL$44:$EL$45</definedName>
    <definedName name="ADMIN_QUERETARO">Cat!$EL$46</definedName>
    <definedName name="ADMIN_QUINTANAROO">Cat!$EL$47:$EL$48</definedName>
    <definedName name="ADMIN_SANLUISPOTOSI">Cat!$EL$49</definedName>
    <definedName name="ADMIN_SINALOA">Cat!$EL$50:$EL$52</definedName>
    <definedName name="ADMIN_SONORA">Cat!$EL$53:$EL$55</definedName>
    <definedName name="ADMIN_TABASCO">Cat!$EL$56</definedName>
    <definedName name="ADMIN_TAMAULIPAS">Cat!$EL$57:$EL$61</definedName>
    <definedName name="ADMIN_TLAXCALA">Cat!$EL$62</definedName>
    <definedName name="ADMIN_VERACRUZ">Cat!$EL$63:$EL$67</definedName>
    <definedName name="ADMIN_YUCATAN">Cat!$EL$68</definedName>
    <definedName name="ADMIN_ZACATECAS">Cat!$EL$69</definedName>
    <definedName name="B_A_ADRICONTRI_CONTRI_SECTOR" localSheetId="1">Contribuyente!$C$17</definedName>
    <definedName name="B_A_DECLARATORIA_CONTRI" localSheetId="1">Contribuyente!$C$24</definedName>
    <definedName name="B_A_PERSONA_PER_COD" localSheetId="1">Contribuyente!$C$11</definedName>
    <definedName name="B_A_PERSONA_PER_COL" localSheetId="1">Contribuyente!$C$10</definedName>
    <definedName name="B_A_PERSONA_PER_CURP" localSheetId="1">Contribuyente!$C$5</definedName>
    <definedName name="B_A_PERSONA_PER_DEL" localSheetId="1">Contribuyente!$C$9</definedName>
    <definedName name="B_A_PERSONA_PER_DOM" localSheetId="1">Contribuyente!$C$12</definedName>
    <definedName name="B_A_PERSONA_PER_EDO" localSheetId="1">Contribuyente!$C$8</definedName>
    <definedName name="B_A_PERSONA_PER_EXT" localSheetId="1">Contribuyente!$C$18</definedName>
    <definedName name="B_A_PERSONA_PER_MAIL" localSheetId="1">Contribuyente!$C$15</definedName>
    <definedName name="B_A_PERSONA_PER_NOM" localSheetId="1">Contribuyente!$C$4</definedName>
    <definedName name="B_A_PERSONA_PER_POB" localSheetId="1">Contribuyente!$C$13</definedName>
    <definedName name="B_A_PERSONA_PER_RFC" localSheetId="1">Contribuyente!$C$3</definedName>
    <definedName name="B_A_PERSONA_PER_TEL" localSheetId="1">Contribuyente!$C$14</definedName>
    <definedName name="B_B_DECLARATORIA_CPI" localSheetId="2">Contador!$C$28</definedName>
    <definedName name="B_B_DESPACHO_DES_COL" localSheetId="2">Contador!$C$18</definedName>
    <definedName name="B_B_DESPACHO_DES_NOM" localSheetId="2">Contador!$C$20</definedName>
    <definedName name="B_B_DESPACHO_DES_NUM" localSheetId="2">Contador!$C$22</definedName>
    <definedName name="B_B_DESPACHO_DES_RFC" localSheetId="2">Contador!$C$21</definedName>
    <definedName name="B_B_PERSONA_PER_COD" localSheetId="2">Contador!$C$12</definedName>
    <definedName name="B_B_PERSONA_PER_COL" localSheetId="2">Contador!$C$11</definedName>
    <definedName name="B_B_PERSONA_PER_CURP" localSheetId="2">Contador!$C$5</definedName>
    <definedName name="B_B_PERSONA_PER_DEL" localSheetId="2">Contador!$C$10</definedName>
    <definedName name="B_B_PERSONA_PER_DOM" localSheetId="2">Contador!$C$13</definedName>
    <definedName name="B_B_PERSONA_PER_EDO" localSheetId="2">Contador!$C$9</definedName>
    <definedName name="B_B_PERSONA_PER_EXT" localSheetId="2">Contador!$C$6</definedName>
    <definedName name="B_B_PERSONA_PER_MAIL" localSheetId="2">Contador!$C$16</definedName>
    <definedName name="B_B_PERSONA_PER_MAILBUZON" localSheetId="2">Contador!$C$17</definedName>
    <definedName name="B_B_PERSONA_PER_NOM" localSheetId="2">Contador!$C$4</definedName>
    <definedName name="B_B_PERSONA_PER_POB" localSheetId="2">Contador!$C$14</definedName>
    <definedName name="B_B_PERSONA_PER_RFC" localSheetId="2">Contador!$C$3</definedName>
    <definedName name="B_B_PERSONA_PER_TEL" localSheetId="2">Contador!$C$15</definedName>
    <definedName name="B_C_adirepr_REPR_ENTIDADNOT" localSheetId="3">Representante!$C$21</definedName>
    <definedName name="B_C_adirepr_REPR_FECAPOSTILLA" localSheetId="3">Representante!$C$23</definedName>
    <definedName name="B_C_adirepr_REPR_FECCERTPOD" localSheetId="3">Representante!$C$22</definedName>
    <definedName name="B_C_adirepr_REPR_NOESCRITURA" localSheetId="3">Representante!$C$19</definedName>
    <definedName name="B_C_adirepr_REPR_NONOTARIA" localSheetId="3">Representante!$C$20</definedName>
    <definedName name="B_C_DECLARATORIA_RL" localSheetId="3">Representante!$C$29</definedName>
    <definedName name="B_C_PERSONA_PER_COD" localSheetId="3">Representante!$C$13</definedName>
    <definedName name="B_C_PERSONA_PER_COL" localSheetId="3">Representante!$C$12</definedName>
    <definedName name="B_C_PERSONA_PER_CURP" localSheetId="3">Representante!$C$7</definedName>
    <definedName name="B_C_PERSONA_PER_DEL" localSheetId="3">Representante!$C$11</definedName>
    <definedName name="B_C_PERSONA_PER_DES" localSheetId="3">Representante!$C$6</definedName>
    <definedName name="B_C_PERSONA_PER_DOM" localSheetId="3">Representante!$C$14</definedName>
    <definedName name="B_C_PERSONA_PER_EDO" localSheetId="3">Representante!$C$10</definedName>
    <definedName name="B_C_PERSONA_PER_MAIL" localSheetId="3">Representante!$C$17</definedName>
    <definedName name="B_C_PERSONA_PER_NOM" localSheetId="3">Representante!$C$4</definedName>
    <definedName name="B_C_PERSONA_PER_POB" localSheetId="3">Representante!$C$15</definedName>
    <definedName name="B_C_PERSONA_PER_RES" localSheetId="3">Representante!$C$5</definedName>
    <definedName name="B_C_PERSONA_PER_RFC" localSheetId="3">Representante!$C$3</definedName>
    <definedName name="B_C_PERSONA_PER_TEL" localSheetId="3">Representante!$C$16</definedName>
    <definedName name="B_D_CUANTITATIVOS_CUA_ALAF" localSheetId="4">Generales!$C$7</definedName>
    <definedName name="B_D_CUANTITATIVOS_CUA_AUTOCOM" localSheetId="4">Generales!$C$3</definedName>
    <definedName name="B_D_CUANTITATIVOS_CUA_FECFIN" localSheetId="4">Generales!$C$29</definedName>
    <definedName name="B_D_CUANTITATIVOS_CUA_FECINI" localSheetId="4">Generales!$C$28</definedName>
    <definedName name="B_D_CUANTITATIVOS_CUA_FINANT" localSheetId="4">Generales!$C$32</definedName>
    <definedName name="B_D_CUANTITATIVOS_CUA_FRACCION" localSheetId="4">Generales!$C$9</definedName>
    <definedName name="B_D_CUANTITATIVOS_CUA_FRACCION_ACTIVO" localSheetId="4">Generales!$C$10</definedName>
    <definedName name="B_D_CUANTITATIVOS_CUA_FRACCION_MOTIVO" localSheetId="4">Generales!$C$13</definedName>
    <definedName name="B_D_CUANTITATIVOS_CUA_FRACCION_TRABAJADORES" localSheetId="4">Generales!$C$11</definedName>
    <definedName name="B_D_CUANTITATIVOS_CUA_INIANT" localSheetId="4">Generales!$C$31</definedName>
    <definedName name="B_D_CUANTITATIVOS_CUA_TCUNIFICADO" localSheetId="4">Generales!$C$21</definedName>
    <definedName name="B_D_CUANTITATIVOS_CUA_TIPOOPINION" localSheetId="4">Generales!$C$42</definedName>
    <definedName name="C_1" localSheetId="12">'ANEXO 1'!$D$2</definedName>
    <definedName name="C_1" localSheetId="10">'ANEXO 10'!$C$2</definedName>
    <definedName name="C_1" localSheetId="16">'ANEXO 11'!$C$2</definedName>
    <definedName name="C_1" localSheetId="20">'ANEXO 12'!$C$2</definedName>
    <definedName name="C_1" localSheetId="21">'ANEXO 13'!$C$2</definedName>
    <definedName name="C_1" localSheetId="13">'ANEXO 14'!$C$2</definedName>
    <definedName name="C_1" localSheetId="17">'ANEXO 15'!$C$2</definedName>
    <definedName name="C_1" localSheetId="22">'ANEXO 16'!$C$2</definedName>
    <definedName name="C_1" localSheetId="23">'ANEXO 17'!$C$2</definedName>
    <definedName name="C_1" localSheetId="19">'ANEXO 18'!$C$2</definedName>
    <definedName name="C_1" localSheetId="24">'ANEXO 19'!$C$2</definedName>
    <definedName name="C_1" localSheetId="9">'ANEXO 2'!$F$2</definedName>
    <definedName name="C_1" localSheetId="15">'ANEXO 20'!$C$2</definedName>
    <definedName name="C_1" localSheetId="25">'ANEXO 21'!$C$2</definedName>
    <definedName name="C_1" localSheetId="26">'ANEXO 22'!$C$2</definedName>
    <definedName name="C_1" localSheetId="27">'ANEXO 23'!$C$2</definedName>
    <definedName name="C_1" localSheetId="11">'ANEXO 3'!$C$2</definedName>
    <definedName name="C_1" localSheetId="14">'ANEXO 4'!$D$2</definedName>
    <definedName name="C_1" localSheetId="5">'ANEXO 5'!$J$2</definedName>
    <definedName name="C_1" localSheetId="7">'ANEXO 6'!$D$2</definedName>
    <definedName name="C_1" localSheetId="6">'ANEXO 7'!$D$2</definedName>
    <definedName name="C_1" localSheetId="8">'ANEXO 8'!$D$2</definedName>
    <definedName name="C_1" localSheetId="18">'ANEXO 9'!$G$2</definedName>
    <definedName name="C_1" localSheetId="28">CDF!$D$2</definedName>
    <definedName name="C_1" localSheetId="2">Contador!$C$2</definedName>
    <definedName name="C_1" localSheetId="1">Contribuyente!$C$2</definedName>
    <definedName name="C_1" localSheetId="4">Generales!$C$2</definedName>
    <definedName name="C_1" localSheetId="29">MPT!$C$2</definedName>
    <definedName name="C_1" localSheetId="3">Representante!$C$2</definedName>
    <definedName name="C_10" localSheetId="10">'ANEXO 10'!$L$2</definedName>
    <definedName name="C_10" localSheetId="20">'ANEXO 12'!$L$2</definedName>
    <definedName name="C_10" localSheetId="26">'ANEXO 22'!$L$2</definedName>
    <definedName name="C_10" localSheetId="27">'ANEXO 23'!$L$2</definedName>
    <definedName name="C_10" localSheetId="11">'ANEXO 3'!$P$2</definedName>
    <definedName name="C_11" localSheetId="10">'ANEXO 10'!$M$2</definedName>
    <definedName name="C_11" localSheetId="26">'ANEXO 22'!$M$2</definedName>
    <definedName name="C_11" localSheetId="27">'ANEXO 23'!$M$2</definedName>
    <definedName name="C_11" localSheetId="11">'ANEXO 3'!$T$2</definedName>
    <definedName name="C_11" localSheetId="6">'ANEXO 7'!$AH$2</definedName>
    <definedName name="C_12" localSheetId="10">'ANEXO 10'!$N$2</definedName>
    <definedName name="C_12" localSheetId="26">'ANEXO 22'!$N$2</definedName>
    <definedName name="C_12" localSheetId="11">'ANEXO 3'!$U$2</definedName>
    <definedName name="C_121" localSheetId="6">'ANEXO 7'!$C$2</definedName>
    <definedName name="C_122" localSheetId="6">'ANEXO 7'!$J$2</definedName>
    <definedName name="C_123" localSheetId="6">'ANEXO 7'!$Q$2</definedName>
    <definedName name="C_124" localSheetId="6">'ANEXO 7'!$X$2</definedName>
    <definedName name="C_125" localSheetId="6">'ANEXO 7'!$AE$2</definedName>
    <definedName name="C_126" localSheetId="6">'ANEXO 7'!$AG$2</definedName>
    <definedName name="C_127" localSheetId="6">'ANEXO 7'!$AI$2</definedName>
    <definedName name="C_13" localSheetId="26">'ANEXO 22'!$O$2</definedName>
    <definedName name="C_13" localSheetId="6">'ANEXO 7'!$AJ$2</definedName>
    <definedName name="C_133" localSheetId="9">'ANEXO 2'!$D$2</definedName>
    <definedName name="C_134" localSheetId="9">'ANEXO 2'!$E$2</definedName>
    <definedName name="C_136" localSheetId="9">'ANEXO 2'!$G$2</definedName>
    <definedName name="C_137" localSheetId="9">'ANEXO 2'!$H$2</definedName>
    <definedName name="C_14" localSheetId="26">'ANEXO 22'!$P$2</definedName>
    <definedName name="C_141" localSheetId="14">'ANEXO 4'!$C$2</definedName>
    <definedName name="C_15" localSheetId="26">'ANEXO 22'!$Q$2</definedName>
    <definedName name="C_157" localSheetId="7">'ANEXO 6'!$C$2</definedName>
    <definedName name="C_158" localSheetId="6">'ANEXO 7'!$E$2</definedName>
    <definedName name="C_159" localSheetId="6">'ANEXO 7'!$F$2</definedName>
    <definedName name="C_16" localSheetId="26">'ANEXO 22'!$R$2</definedName>
    <definedName name="C_160" localSheetId="6">'ANEXO 7'!$G$2</definedName>
    <definedName name="C_161" localSheetId="6">'ANEXO 7'!$H$2</definedName>
    <definedName name="C_162" localSheetId="6">'ANEXO 7'!$I$2</definedName>
    <definedName name="C_163" localSheetId="6">'ANEXO 7'!$L$2</definedName>
    <definedName name="C_164" localSheetId="6">'ANEXO 7'!$M$2</definedName>
    <definedName name="C_165" localSheetId="6">'ANEXO 7'!$N$2</definedName>
    <definedName name="C_166" localSheetId="6">'ANEXO 7'!$O$2</definedName>
    <definedName name="C_167" localSheetId="6">'ANEXO 7'!$P$2</definedName>
    <definedName name="C_168" localSheetId="6">'ANEXO 7'!$S$2</definedName>
    <definedName name="C_169" localSheetId="6">'ANEXO 7'!$T$2</definedName>
    <definedName name="C_17" localSheetId="26">'ANEXO 22'!$S$2</definedName>
    <definedName name="C_170" localSheetId="6">'ANEXO 7'!$U$2</definedName>
    <definedName name="C_171" localSheetId="6">'ANEXO 7'!$V$2</definedName>
    <definedName name="C_172" localSheetId="6">'ANEXO 7'!$W$2</definedName>
    <definedName name="C_173" localSheetId="6">'ANEXO 7'!$Z$2</definedName>
    <definedName name="C_174" localSheetId="6">'ANEXO 7'!$AA$2</definedName>
    <definedName name="C_175" localSheetId="6">'ANEXO 7'!$AB$2</definedName>
    <definedName name="C_176" localSheetId="6">'ANEXO 7'!$AC$2</definedName>
    <definedName name="C_177" localSheetId="6">'ANEXO 7'!$AD$2</definedName>
    <definedName name="C_18" localSheetId="26">'ANEXO 22'!$T$2</definedName>
    <definedName name="C_19" localSheetId="26">'ANEXO 22'!$U$2</definedName>
    <definedName name="C_2" localSheetId="10">'ANEXO 10'!$D$2</definedName>
    <definedName name="C_2" localSheetId="20">'ANEXO 12'!$D$2</definedName>
    <definedName name="C_2" localSheetId="21">'ANEXO 13'!$D$2</definedName>
    <definedName name="C_2" localSheetId="13">'ANEXO 14'!$D$2</definedName>
    <definedName name="C_2" localSheetId="22">'ANEXO 16'!$D$2</definedName>
    <definedName name="C_2" localSheetId="24">'ANEXO 19'!$D$2</definedName>
    <definedName name="C_2" localSheetId="15">'ANEXO 20'!$D$2</definedName>
    <definedName name="C_2" localSheetId="25">'ANEXO 21'!$D$2</definedName>
    <definedName name="C_2" localSheetId="26">'ANEXO 22'!$D$2</definedName>
    <definedName name="C_2" localSheetId="27">'ANEXO 23'!$D$2</definedName>
    <definedName name="C_2" localSheetId="11">'ANEXO 3'!$D$2</definedName>
    <definedName name="C_2" localSheetId="5">'ANEXO 5'!$K$2</definedName>
    <definedName name="C_2" localSheetId="18">'ANEXO 9'!$F$2</definedName>
    <definedName name="C_2" localSheetId="28">CDF!$C$2</definedName>
    <definedName name="C_20" localSheetId="26">'ANEXO 22'!$V$2</definedName>
    <definedName name="C_21" localSheetId="26">'ANEXO 22'!$W$2</definedName>
    <definedName name="C_22" localSheetId="26">'ANEXO 22'!$X$2</definedName>
    <definedName name="C_225" localSheetId="12">'ANEXO 1'!$C$2</definedName>
    <definedName name="C_267" localSheetId="12">'ANEXO 1'!$E$2</definedName>
    <definedName name="C_268" localSheetId="12">'ANEXO 1'!$F$2</definedName>
    <definedName name="C_269" localSheetId="12">'ANEXO 1'!$G$2</definedName>
    <definedName name="C_27" localSheetId="22">'ANEXO 16'!$G$2</definedName>
    <definedName name="C_270" localSheetId="12">'ANEXO 1'!$H$2</definedName>
    <definedName name="C_271" localSheetId="12">'ANEXO 1'!$I$2</definedName>
    <definedName name="C_28" localSheetId="22">'ANEXO 16'!$E$2</definedName>
    <definedName name="C_3" localSheetId="10">'ANEXO 10'!$E$2</definedName>
    <definedName name="C_3" localSheetId="20">'ANEXO 12'!$E$2</definedName>
    <definedName name="C_3" localSheetId="21">'ANEXO 13'!$E$2</definedName>
    <definedName name="C_3" localSheetId="13">'ANEXO 14'!$E$2</definedName>
    <definedName name="C_3" localSheetId="22">'ANEXO 16'!$F$2</definedName>
    <definedName name="C_3" localSheetId="24">'ANEXO 19'!$E$2</definedName>
    <definedName name="C_3" localSheetId="15">'ANEXO 20'!$E$2</definedName>
    <definedName name="C_3" localSheetId="25">'ANEXO 21'!$E$2</definedName>
    <definedName name="C_3" localSheetId="26">'ANEXO 22'!$E$2</definedName>
    <definedName name="C_3" localSheetId="27">'ANEXO 23'!$E$2</definedName>
    <definedName name="C_3" localSheetId="11">'ANEXO 3'!$E$2</definedName>
    <definedName name="C_3" localSheetId="6">'ANEXO 7'!$K$2</definedName>
    <definedName name="C_3" localSheetId="8">'ANEXO 8'!$F$2</definedName>
    <definedName name="C_3" localSheetId="18">'ANEXO 9'!$E$2</definedName>
    <definedName name="C_363" localSheetId="18">'ANEXO 9'!$H$2</definedName>
    <definedName name="C_4" localSheetId="10">'ANEXO 10'!$F$2</definedName>
    <definedName name="C_4" localSheetId="20">'ANEXO 12'!$F$2</definedName>
    <definedName name="C_4" localSheetId="21">'ANEXO 13'!$F$2</definedName>
    <definedName name="C_4" localSheetId="13">'ANEXO 14'!$F$2</definedName>
    <definedName name="C_4" localSheetId="24">'ANEXO 19'!$F$2</definedName>
    <definedName name="C_4" localSheetId="15">'ANEXO 20'!$F$2</definedName>
    <definedName name="C_4" localSheetId="25">'ANEXO 21'!$F$2</definedName>
    <definedName name="C_4" localSheetId="26">'ANEXO 22'!$F$2</definedName>
    <definedName name="C_4" localSheetId="27">'ANEXO 23'!$F$2</definedName>
    <definedName name="C_4" localSheetId="11">'ANEXO 3'!$F$2</definedName>
    <definedName name="C_4" localSheetId="18">'ANEXO 9'!$D$2</definedName>
    <definedName name="C_47" localSheetId="5">'ANEXO 5'!$C$2</definedName>
    <definedName name="C_48" localSheetId="5">'ANEXO 5'!$D$2</definedName>
    <definedName name="C_49" localSheetId="5">'ANEXO 5'!$L$2</definedName>
    <definedName name="C_5" localSheetId="10">'ANEXO 10'!$G$2</definedName>
    <definedName name="C_5" localSheetId="20">'ANEXO 12'!$G$2</definedName>
    <definedName name="C_5" localSheetId="21">'ANEXO 13'!$G$2</definedName>
    <definedName name="C_5" localSheetId="13">'ANEXO 14'!$G$2</definedName>
    <definedName name="C_5" localSheetId="22">'ANEXO 16'!$H$2</definedName>
    <definedName name="C_5" localSheetId="15">'ANEXO 20'!$G$2</definedName>
    <definedName name="C_5" localSheetId="25">'ANEXO 21'!$G$2</definedName>
    <definedName name="C_5" localSheetId="26">'ANEXO 22'!$G$2</definedName>
    <definedName name="C_5" localSheetId="27">'ANEXO 23'!$G$2</definedName>
    <definedName name="C_5" localSheetId="11">'ANEXO 3'!$G$2</definedName>
    <definedName name="C_5" localSheetId="5">'ANEXO 5'!$M$2</definedName>
    <definedName name="C_5" localSheetId="6">'ANEXO 7'!$R$2</definedName>
    <definedName name="C_5" localSheetId="8">'ANEXO 8'!$H$2</definedName>
    <definedName name="C_5" localSheetId="18">'ANEXO 9'!$C$2</definedName>
    <definedName name="C_51" localSheetId="5">'ANEXO 5'!$E$2</definedName>
    <definedName name="C_52" localSheetId="5">'ANEXO 5'!$F$2</definedName>
    <definedName name="C_53" localSheetId="5">'ANEXO 5'!$G$2</definedName>
    <definedName name="C_54" localSheetId="5">'ANEXO 5'!$H$2</definedName>
    <definedName name="C_55" localSheetId="11">'ANEXO 3'!$L$2</definedName>
    <definedName name="C_55" localSheetId="5">'ANEXO 5'!$I$2</definedName>
    <definedName name="C_56" localSheetId="11">'ANEXO 3'!$N$2</definedName>
    <definedName name="C_6" localSheetId="10">'ANEXO 10'!$H$2</definedName>
    <definedName name="C_6" localSheetId="20">'ANEXO 12'!$H$2</definedName>
    <definedName name="C_6" localSheetId="21">'ANEXO 13'!$H$2</definedName>
    <definedName name="C_6" localSheetId="13">'ANEXO 14'!$H$2</definedName>
    <definedName name="C_6" localSheetId="22">'ANEXO 16'!$I$2</definedName>
    <definedName name="C_6" localSheetId="15">'ANEXO 20'!$H$2</definedName>
    <definedName name="C_6" localSheetId="25">'ANEXO 21'!$H$2</definedName>
    <definedName name="C_6" localSheetId="26">'ANEXO 22'!$H$2</definedName>
    <definedName name="C_6" localSheetId="27">'ANEXO 23'!$H$2</definedName>
    <definedName name="C_6" localSheetId="11">'ANEXO 3'!$H$2</definedName>
    <definedName name="C_60" localSheetId="11">'ANEXO 3'!$R$2</definedName>
    <definedName name="C_61" localSheetId="11">'ANEXO 3'!$S$2</definedName>
    <definedName name="C_7" localSheetId="10">'ANEXO 10'!$I$2</definedName>
    <definedName name="C_7" localSheetId="20">'ANEXO 12'!$I$2</definedName>
    <definedName name="C_7" localSheetId="21">'ANEXO 13'!$I$2</definedName>
    <definedName name="C_7" localSheetId="13">'ANEXO 14'!$I$2</definedName>
    <definedName name="C_7" localSheetId="22">'ANEXO 16'!$J$2</definedName>
    <definedName name="C_7" localSheetId="25">'ANEXO 21'!$I$2</definedName>
    <definedName name="C_7" localSheetId="26">'ANEXO 22'!$I$2</definedName>
    <definedName name="C_7" localSheetId="27">'ANEXO 23'!$I$2</definedName>
    <definedName name="C_7" localSheetId="11">'ANEXO 3'!$I$2</definedName>
    <definedName name="C_7" localSheetId="6">'ANEXO 7'!$Y$2</definedName>
    <definedName name="C_8" localSheetId="10">'ANEXO 10'!$J$2</definedName>
    <definedName name="C_8" localSheetId="20">'ANEXO 12'!$J$2</definedName>
    <definedName name="C_8" localSheetId="13">'ANEXO 14'!$J$2</definedName>
    <definedName name="C_8" localSheetId="25">'ANEXO 21'!$J$2</definedName>
    <definedName name="C_8" localSheetId="26">'ANEXO 22'!$J$2</definedName>
    <definedName name="C_8" localSheetId="27">'ANEXO 23'!$J$2</definedName>
    <definedName name="C_84" localSheetId="8">'ANEXO 8'!$C$2</definedName>
    <definedName name="C_85" localSheetId="9">'ANEXO 2'!$C$2</definedName>
    <definedName name="C_85" localSheetId="8">'ANEXO 8'!$E$2</definedName>
    <definedName name="C_86" localSheetId="8">'ANEXO 8'!$G$2</definedName>
    <definedName name="C_88" localSheetId="11">'ANEXO 3'!$J$2</definedName>
    <definedName name="C_89" localSheetId="11">'ANEXO 3'!$K$2</definedName>
    <definedName name="C_9" localSheetId="10">'ANEXO 10'!$K$2</definedName>
    <definedName name="C_9" localSheetId="20">'ANEXO 12'!$K$2</definedName>
    <definedName name="C_9" localSheetId="13">'ANEXO 14'!$K$2</definedName>
    <definedName name="C_9" localSheetId="25">'ANEXO 21'!$K$2</definedName>
    <definedName name="C_9" localSheetId="26">'ANEXO 22'!$K$2</definedName>
    <definedName name="C_9" localSheetId="27">'ANEXO 23'!$K$2</definedName>
    <definedName name="C_9" localSheetId="6">'ANEXO 7'!$AF$2</definedName>
    <definedName name="C_90" localSheetId="11">'ANEXO 3'!$M$2</definedName>
    <definedName name="C_91" localSheetId="11">'ANEXO 3'!$O$2</definedName>
    <definedName name="C_96" localSheetId="11">'ANEXO 3'!$Q$2</definedName>
    <definedName name="CATALOGCOLUMN100">Cat!$CV$1:$CV$13</definedName>
    <definedName name="CATALOGCOLUMN101">Cat!$CW$1:$CW$15</definedName>
    <definedName name="CATALOGCOLUMN102">Cat!$CX$1:$CX$8</definedName>
    <definedName name="CATALOGCOLUMN103">Cat!$CY$1:$CY$5</definedName>
    <definedName name="CATALOGCOLUMN104">Cat!$CZ$1:$CZ$21</definedName>
    <definedName name="CATALOGCOLUMN105">Cat!$DA$1:$DA$20</definedName>
    <definedName name="CATALOGCOLUMN106">Cat!$DB$1:$DB$14</definedName>
    <definedName name="CATALOGCOLUMN107">Cat!$DC$1:$DC$29</definedName>
    <definedName name="CATALOGCOLUMN109">Cat!$DE$1:$DE$55</definedName>
    <definedName name="CATALOGCOLUMN11">Cat!$K$1:$K$6</definedName>
    <definedName name="CATALOGCOLUMN110">Cat!$DF$1:$DF$26</definedName>
    <definedName name="CATALOGCOLUMN111">Cat!$DG$1:$DG$28</definedName>
    <definedName name="CATALOGCOLUMN112">Cat!$DH$1:$DH$26</definedName>
    <definedName name="CATALOGCOLUMN113">Cat!$DI$1:$DI$40</definedName>
    <definedName name="CATALOGCOLUMN114">Cat!$DJ$1:$DJ$43</definedName>
    <definedName name="CATALOGCOLUMN115">Cat!$DK$1:$DK$34</definedName>
    <definedName name="CATALOGCOLUMN116">Cat!$DL$1:$DL$6</definedName>
    <definedName name="CATALOGCOLUMN117">Cat!$DM$1:$DM$18</definedName>
    <definedName name="CATALOGCOLUMN118">Cat!$DN$1:$DN$14</definedName>
    <definedName name="CATALOGCOLUMN119">Cat!$DO$1:$DO$40</definedName>
    <definedName name="CATALOGCOLUMN12">Cat!$L$1:$L$3</definedName>
    <definedName name="CATALOGCOLUMN120">Cat!$DP$1:$DP$6</definedName>
    <definedName name="CATALOGCOLUMN121">Cat!$DQ$1:$DQ$12</definedName>
    <definedName name="CATALOGCOLUMN122">Cat!$DR$1:$DR$12</definedName>
    <definedName name="CATALOGCOLUMN123">Cat!$DS$1:$DS$19</definedName>
    <definedName name="CATALOGCOLUMN124">Cat!$DT$1:$DT$23</definedName>
    <definedName name="CATALOGCOLUMN125">Cat!$DU$1:$DU$2</definedName>
    <definedName name="CATALOGCOLUMN126">Cat!$DV$1</definedName>
    <definedName name="CATALOGCOLUMN127">Cat!$DW$1:$DW$8</definedName>
    <definedName name="CATALOGCOLUMN128">Cat!$DX$1:$DX$7</definedName>
    <definedName name="CATALOGCOLUMN129">Cat!$DY$1:$DY$10</definedName>
    <definedName name="CATALOGCOLUMN133">Cat!$EC$1</definedName>
    <definedName name="CATALOGCOLUMN134">Cat!$ED$1:$ED$2</definedName>
    <definedName name="CATALOGCOLUMN135">Cat!$EE$1:$EE$5</definedName>
    <definedName name="CATALOGCOLUMN136">Cat!$EF$1:$EF$10</definedName>
    <definedName name="CATALOGCOLUMN137">Cat!$EG$1:$EG$4</definedName>
    <definedName name="CATALOGCOLUMN138">Cat!$EH$1:$EH$2</definedName>
    <definedName name="CATALOGCOLUMN139">Cat!$EI$1:$EI$6</definedName>
    <definedName name="CATALOGCOLUMN14">Cat!$N$1:$N$7</definedName>
    <definedName name="CATALOGCOLUMN140">Cat!$EJ$1:$EJ$3</definedName>
    <definedName name="CATALOGCOLUMN141">Cat!$EK$1:$EK$34</definedName>
    <definedName name="CATALOGCOLUMN142">Cat!$EL$1:$EL$69</definedName>
    <definedName name="CATALOGCOLUMN143">Cat!$EM$1:$EM$29</definedName>
    <definedName name="CATALOGCOLUMN144">Cat!$EN$1:$EN$19</definedName>
    <definedName name="CATALOGCOLUMN145">Cat!$EO$1:$EO$5</definedName>
    <definedName name="CATALOGCOLUMN146">Cat!$EP$1:$EP$14</definedName>
    <definedName name="CATALOGCOLUMN16">Cat!$P$1:$P$7</definedName>
    <definedName name="CATALOGCOLUMN38">Cat!$AL$1:$AL$14</definedName>
    <definedName name="CATALOGCOLUMN39">Cat!$AM$1:$AM$2</definedName>
    <definedName name="CATALOGCOLUMN40">Cat!$AN$1:$AN$2</definedName>
    <definedName name="CATALOGCOLUMN41">Cat!$AO$1:$AO$247</definedName>
    <definedName name="CATALOGCOLUMN42">Cat!$AP$1:$AP$6</definedName>
    <definedName name="CATALOGCOLUMN43">Cat!$AQ$1:$AQ$34</definedName>
    <definedName name="CATALOGCOLUMN44">Cat!$AR$1:$AR$47</definedName>
    <definedName name="CATALOGCOLUMN45">Cat!$AS$1:$AS$114</definedName>
    <definedName name="CATALOGCOLUMN46">Cat!$AT$1:$AT$38</definedName>
    <definedName name="CATALOGCOLUMN54">Cat!$BB$1:$BB$82</definedName>
    <definedName name="CATALOGCOLUMN55">Cat!$BC$1:$BC$50</definedName>
    <definedName name="CATALOGCOLUMN56">Cat!$BD$1:$BD$19</definedName>
    <definedName name="CATALOGCOLUMN57">Cat!$BE$1:$BE$4</definedName>
    <definedName name="CATALOGCOLUMN58">Cat!$BF$1:$BF$5</definedName>
    <definedName name="CATALOGCOLUMN59">Cat!$BG$1:$BG$31</definedName>
    <definedName name="CATALOGCOLUMN6">Cat!$F$1:$F$32</definedName>
    <definedName name="CATALOGCOLUMN60">Cat!$BH$1:$BH$13</definedName>
    <definedName name="CATALOGCOLUMN61">Cat!$BI$1:$BI$13</definedName>
    <definedName name="CATALOGCOLUMN62">Cat!$BJ$1:$BJ$8</definedName>
    <definedName name="CATALOGCOLUMN63">Cat!$BK$1:$BK$8</definedName>
    <definedName name="CATALOGCOLUMN64">Cat!$BL$1:$BL$12</definedName>
    <definedName name="CATALOGCOLUMN65">Cat!$BM$1:$BM$16</definedName>
    <definedName name="CATALOGCOLUMN66">Cat!$BN$1:$BN$23</definedName>
    <definedName name="CATALOGCOLUMN67">Cat!$BO$1:$BO$18</definedName>
    <definedName name="CATALOGCOLUMN68">Cat!$BP$1:$BP$20</definedName>
    <definedName name="CATALOGCOLUMN69">Cat!$BQ$1:$BQ$24</definedName>
    <definedName name="CATALOGCOLUMN7">Cat!$G$1:$G$2</definedName>
    <definedName name="CATALOGCOLUMN70">Cat!$BR$1:$BR$25</definedName>
    <definedName name="CATALOGCOLUMN71">Cat!$BS$1:$BS$20</definedName>
    <definedName name="CATALOGCOLUMN72">Cat!$BT$1:$BT$29</definedName>
    <definedName name="CATALOGCOLUMN73">Cat!$BU$1:$BU$28</definedName>
    <definedName name="CATALOGCOLUMN74">Cat!$BV$1:$BV$22</definedName>
    <definedName name="CATALOGCOLUMN75">Cat!$BW$1:$BW$18</definedName>
    <definedName name="CATALOGCOLUMN76">Cat!$BX$1:$BX$20</definedName>
    <definedName name="CATALOGCOLUMN77">Cat!$BY$1:$BY$24</definedName>
    <definedName name="CATALOGCOLUMN78">Cat!$BZ$1:$BZ$11</definedName>
    <definedName name="CATALOGCOLUMN79">Cat!$CA$1:$CA$16</definedName>
    <definedName name="CATALOGCOLUMN80">Cat!$CB$1:$CB$13</definedName>
    <definedName name="CATALOGCOLUMN81">Cat!$CC$1:$CC$7</definedName>
    <definedName name="CATALOGCOLUMN82">Cat!$CD$1:$CD$4</definedName>
    <definedName name="CATALOGCOLUMN83">Cat!$CE$1:$CE$16</definedName>
    <definedName name="CATALOGCOLUMN84">Cat!$CF$1:$CF$16</definedName>
    <definedName name="CATALOGCOLUMN85">Cat!$CG$1:$CG$8</definedName>
    <definedName name="CATALOGCOLUMN86">Cat!$CH$1:$CH$24</definedName>
    <definedName name="CATALOGCOLUMN87">Cat!$CI$1:$CI$15</definedName>
    <definedName name="CATALOGCOLUMN88">Cat!$CJ$1:$CJ$12</definedName>
    <definedName name="CATALOGCOLUMN89">Cat!$CK$1:$CK$5</definedName>
    <definedName name="CATALOGCOLUMN9">Cat!$I$1:$I$3</definedName>
    <definedName name="CATALOGCOLUMN90">Cat!$CL$1:$CL$12</definedName>
    <definedName name="CATALOGCOLUMN91">Cat!$CM$1:$CM$14</definedName>
    <definedName name="CATALOGCOLUMN92">Cat!$CN$1:$CN$9</definedName>
    <definedName name="CATALOGCOLUMN93">Cat!$CO$1:$CO$19</definedName>
    <definedName name="CATALOGCOLUMN94">Cat!$CP$1:$CP$9</definedName>
    <definedName name="CATALOGCOLUMN95">Cat!$CQ$1:$CQ$15</definedName>
    <definedName name="CATALOGCOLUMN96">Cat!$CR$1:$CR$13</definedName>
    <definedName name="CATALOGCOLUMN97">Cat!$CS$1:$CS$4</definedName>
    <definedName name="CATALOGCOLUMN98">Cat!$CT$1:$CT$17</definedName>
    <definedName name="CATALOGCOLUMN99">Cat!$CU$1:$CU$7</definedName>
    <definedName name="CATALOGCOLUMNFILTERED100">Cat!$CV$1:$CV$13</definedName>
    <definedName name="CATALOGCOLUMNFILTERED101">Cat!$CW$1:$CW$15</definedName>
    <definedName name="CATALOGCOLUMNFILTERED102">Cat!$CX$1:$CX$8</definedName>
    <definedName name="CATALOGCOLUMNFILTERED103">Cat!$CY$1:$CY$5</definedName>
    <definedName name="CATALOGCOLUMNFILTERED104">Cat!$CZ$1:$CZ$21</definedName>
    <definedName name="CATALOGCOLUMNFILTERED105">Cat!$DA$1:$DA$20</definedName>
    <definedName name="CATALOGCOLUMNFILTERED106">Cat!$DB$1:$DB$14</definedName>
    <definedName name="CATALOGCOLUMNFILTERED107">Cat!$DC$1:$DC$29</definedName>
    <definedName name="CATALOGCOLUMNFILTERED109">Cat!$DE$1:$DE$55</definedName>
    <definedName name="CATALOGCOLUMNFILTERED11">Cat!$K$1:$K$6</definedName>
    <definedName name="CATALOGCOLUMNFILTERED110">Cat!$DF$1:$DF$26</definedName>
    <definedName name="CATALOGCOLUMNFILTERED111">Cat!$DG$1:$DG$28</definedName>
    <definedName name="CATALOGCOLUMNFILTERED112">Cat!$DH$1:$DH$26</definedName>
    <definedName name="CATALOGCOLUMNFILTERED113">Cat!$DI$1:$DI$40</definedName>
    <definedName name="CATALOGCOLUMNFILTERED114">Cat!$DJ$1:$DJ$43</definedName>
    <definedName name="CATALOGCOLUMNFILTERED115">Cat!$DK$1:$DK$34</definedName>
    <definedName name="CATALOGCOLUMNFILTERED116">Cat!$DL$1:$DL$6</definedName>
    <definedName name="CATALOGCOLUMNFILTERED117">Cat!$DM$1:$DM$18</definedName>
    <definedName name="CATALOGCOLUMNFILTERED118">Cat!$DN$1:$DN$14</definedName>
    <definedName name="CATALOGCOLUMNFILTERED119">Cat!$DO$1:$DO$40</definedName>
    <definedName name="CATALOGCOLUMNFILTERED12">Cat!$L$1:$L$3</definedName>
    <definedName name="CATALOGCOLUMNFILTERED120">Cat!$DP$1:$DP$6</definedName>
    <definedName name="CATALOGCOLUMNFILTERED121">Cat!$DQ$1:$DQ$12</definedName>
    <definedName name="CATALOGCOLUMNFILTERED122">Cat!$DR$1:$DR$12</definedName>
    <definedName name="CATALOGCOLUMNFILTERED123">Cat!$DS$1:$DS$19</definedName>
    <definedName name="CATALOGCOLUMNFILTERED124">Cat!$DT$1:$DT$22</definedName>
    <definedName name="CATALOGCOLUMNFILTERED125">Cat!$DU$1:$DU$2</definedName>
    <definedName name="CATALOGCOLUMNFILTERED126">Cat!$DV$1</definedName>
    <definedName name="CATALOGCOLUMNFILTERED127">Cat!$DW$1:$DW$8</definedName>
    <definedName name="CATALOGCOLUMNFILTERED128">Cat!$DX$1:$DX$7</definedName>
    <definedName name="CATALOGCOLUMNFILTERED129">Cat!$DY$1:$DY$10</definedName>
    <definedName name="CATALOGCOLUMNFILTERED133">Cat!$EC$1</definedName>
    <definedName name="CATALOGCOLUMNFILTERED134">Cat!$ED$1:$ED$2</definedName>
    <definedName name="CATALOGCOLUMNFILTERED135">Cat!$EE$1:$EE$5</definedName>
    <definedName name="CATALOGCOLUMNFILTERED136">Cat!$EF$1:$EF$10</definedName>
    <definedName name="CATALOGCOLUMNFILTERED137">Cat!$EG$1:$EG$4</definedName>
    <definedName name="CATALOGCOLUMNFILTERED138">Cat!$EH$1:$EH$2</definedName>
    <definedName name="CATALOGCOLUMNFILTERED139">Cat!$EI$1:$EI$6</definedName>
    <definedName name="CATALOGCOLUMNFILTERED14">Cat!$N$1:$N$6</definedName>
    <definedName name="CATALOGCOLUMNFILTERED140">Cat!$EJ$1:$EJ$3</definedName>
    <definedName name="CATALOGCOLUMNFILTERED141">Cat!$EK$1:$EK$34</definedName>
    <definedName name="CATALOGCOLUMNFILTERED142">Cat!$EL$1:$EL$69</definedName>
    <definedName name="CATALOGCOLUMNFILTERED143">Cat!$EM$1:$EM$29</definedName>
    <definedName name="CATALOGCOLUMNFILTERED144">Cat!$EN$1:$EN$19</definedName>
    <definedName name="CATALOGCOLUMNFILTERED145">Cat!$EO$1:$EO$5</definedName>
    <definedName name="CATALOGCOLUMNFILTERED146">Cat!$EP$1:$EP$14</definedName>
    <definedName name="CATALOGCOLUMNFILTERED16">Cat!$P$1:$P$5</definedName>
    <definedName name="CATALOGCOLUMNFILTERED38">Cat!$AL$1:$AL$14</definedName>
    <definedName name="CATALOGCOLUMNFILTERED39">Cat!$AM$1:$AM$2</definedName>
    <definedName name="CATALOGCOLUMNFILTERED40">Cat!$AN$1:$AN$2</definedName>
    <definedName name="CATALOGCOLUMNFILTERED41">Cat!$AO$1:$AO$242</definedName>
    <definedName name="CATALOGCOLUMNFILTERED42">Cat!$AP$1:$AP$6</definedName>
    <definedName name="CATALOGCOLUMNFILTERED43">Cat!$AQ$1:$AQ$34</definedName>
    <definedName name="CATALOGCOLUMNFILTERED44">Cat!$AR$1:$AR$47</definedName>
    <definedName name="CATALOGCOLUMNFILTERED45">Cat!$AS$1:$AS$114</definedName>
    <definedName name="CATALOGCOLUMNFILTERED46">Cat!$AT$1:$AT$38</definedName>
    <definedName name="CATALOGCOLUMNFILTERED54">Cat!$BB$1:$BB$82</definedName>
    <definedName name="CATALOGCOLUMNFILTERED55">Cat!$BC$1:$BC$50</definedName>
    <definedName name="CATALOGCOLUMNFILTERED56">Cat!$BD$1:$BD$19</definedName>
    <definedName name="CATALOGCOLUMNFILTERED57">Cat!$BE$1:$BE$4</definedName>
    <definedName name="CATALOGCOLUMNFILTERED58">Cat!$BF$1:$BF$5</definedName>
    <definedName name="CATALOGCOLUMNFILTERED59">Cat!$BG$1:$BG$31</definedName>
    <definedName name="CATALOGCOLUMNFILTERED6">Cat!$F$1:$F$32</definedName>
    <definedName name="CATALOGCOLUMNFILTERED60">Cat!$BH$1:$BH$13</definedName>
    <definedName name="CATALOGCOLUMNFILTERED61">Cat!$BI$1:$BI$13</definedName>
    <definedName name="CATALOGCOLUMNFILTERED62">Cat!$BJ$1:$BJ$8</definedName>
    <definedName name="CATALOGCOLUMNFILTERED63">Cat!$BK$1:$BK$8</definedName>
    <definedName name="CATALOGCOLUMNFILTERED64">Cat!$BL$1:$BL$12</definedName>
    <definedName name="CATALOGCOLUMNFILTERED65">Cat!$BM$1:$BM$16</definedName>
    <definedName name="CATALOGCOLUMNFILTERED66">Cat!$BN$1:$BN$23</definedName>
    <definedName name="CATALOGCOLUMNFILTERED67">Cat!$BO$1:$BO$18</definedName>
    <definedName name="CATALOGCOLUMNFILTERED68">Cat!$BP$1:$BP$20</definedName>
    <definedName name="CATALOGCOLUMNFILTERED69">Cat!$BQ$1:$BQ$24</definedName>
    <definedName name="CATALOGCOLUMNFILTERED7">Cat!$G$1:$G$2</definedName>
    <definedName name="CATALOGCOLUMNFILTERED70">Cat!$BR$1:$BR$22</definedName>
    <definedName name="CATALOGCOLUMNFILTERED71">Cat!$BS$1:$BS$20</definedName>
    <definedName name="CATALOGCOLUMNFILTERED72">Cat!$BT$1:$BT$29</definedName>
    <definedName name="CATALOGCOLUMNFILTERED73">Cat!$BU$1:$BU$28</definedName>
    <definedName name="CATALOGCOLUMNFILTERED74">Cat!$BV$1:$BV$22</definedName>
    <definedName name="CATALOGCOLUMNFILTERED75">Cat!$BW$1:$BW$18</definedName>
    <definedName name="CATALOGCOLUMNFILTERED76">Cat!$BX$1:$BX$20</definedName>
    <definedName name="CATALOGCOLUMNFILTERED77">Cat!$BY$1:$BY$24</definedName>
    <definedName name="CATALOGCOLUMNFILTERED78">Cat!$BZ$1:$BZ$11</definedName>
    <definedName name="CATALOGCOLUMNFILTERED79">Cat!$CA$1:$CA$16</definedName>
    <definedName name="CATALOGCOLUMNFILTERED80">Cat!$CB$1:$CB$13</definedName>
    <definedName name="CATALOGCOLUMNFILTERED81">Cat!$CC$1:$CC$7</definedName>
    <definedName name="CATALOGCOLUMNFILTERED82">Cat!$CD$1:$CD$4</definedName>
    <definedName name="CATALOGCOLUMNFILTERED83">Cat!$CE$1:$CE$16</definedName>
    <definedName name="CATALOGCOLUMNFILTERED84">Cat!$CF$1:$CF$16</definedName>
    <definedName name="CATALOGCOLUMNFILTERED85">Cat!$CG$1:$CG$8</definedName>
    <definedName name="CATALOGCOLUMNFILTERED86">Cat!$CH$1:$CH$24</definedName>
    <definedName name="CATALOGCOLUMNFILTERED87">Cat!$CI$1:$CI$15</definedName>
    <definedName name="CATALOGCOLUMNFILTERED88">Cat!$CJ$1:$CJ$12</definedName>
    <definedName name="CATALOGCOLUMNFILTERED89">Cat!$CK$1:$CK$5</definedName>
    <definedName name="CATALOGCOLUMNFILTERED9">Cat!$I$1:$I$3</definedName>
    <definedName name="CATALOGCOLUMNFILTERED90">Cat!$CL$1:$CL$12</definedName>
    <definedName name="CATALOGCOLUMNFILTERED91">Cat!$CM$1:$CM$14</definedName>
    <definedName name="CATALOGCOLUMNFILTERED92">Cat!$CN$1:$CN$9</definedName>
    <definedName name="CATALOGCOLUMNFILTERED93">Cat!$CO$1:$CO$19</definedName>
    <definedName name="CATALOGCOLUMNFILTERED94">Cat!$CP$1:$CP$9</definedName>
    <definedName name="CATALOGCOLUMNFILTERED95">Cat!$CQ$1:$CQ$15</definedName>
    <definedName name="CATALOGCOLUMNFILTERED96">Cat!$CR$1:$CR$13</definedName>
    <definedName name="CATALOGCOLUMNFILTERED97">Cat!$CS$1:$CS$4</definedName>
    <definedName name="CATALOGCOLUMNFILTERED98">Cat!$CT$1:$CT$17</definedName>
    <definedName name="CATALOGCOLUMNFILTERED99">Cat!$CU$1:$CU$7</definedName>
    <definedName name="ENDC" localSheetId="12">'ANEXO 1'!$J$2</definedName>
    <definedName name="ENDC" localSheetId="10">'ANEXO 10'!$O$2</definedName>
    <definedName name="ENDC" localSheetId="16">'ANEXO 11'!$D$2</definedName>
    <definedName name="ENDC" localSheetId="20">'ANEXO 12'!$M$2</definedName>
    <definedName name="ENDC" localSheetId="21">'ANEXO 13'!$J$2</definedName>
    <definedName name="ENDC" localSheetId="13">'ANEXO 14'!$L$2</definedName>
    <definedName name="ENDC" localSheetId="17">'ANEXO 15'!$D$2</definedName>
    <definedName name="ENDC" localSheetId="22">'ANEXO 16'!$K$2</definedName>
    <definedName name="ENDC" localSheetId="23">'ANEXO 17'!$D$2</definedName>
    <definedName name="ENDC" localSheetId="19">'ANEXO 18'!$D$2</definedName>
    <definedName name="ENDC" localSheetId="24">'ANEXO 19'!$G$2</definedName>
    <definedName name="ENDC" localSheetId="9">'ANEXO 2'!$I$2</definedName>
    <definedName name="ENDC" localSheetId="15">'ANEXO 20'!$I$2</definedName>
    <definedName name="ENDC" localSheetId="25">'ANEXO 21'!$L$2</definedName>
    <definedName name="ENDC" localSheetId="26">'ANEXO 22'!$Y$2</definedName>
    <definedName name="ENDC" localSheetId="27">'ANEXO 23'!$N$2</definedName>
    <definedName name="ENDC" localSheetId="11">'ANEXO 3'!$V$2</definedName>
    <definedName name="ENDC" localSheetId="14">'ANEXO 4'!$E$2</definedName>
    <definedName name="ENDC" localSheetId="5">'ANEXO 5'!$N$2</definedName>
    <definedName name="ENDC" localSheetId="7">'ANEXO 6'!$E$2</definedName>
    <definedName name="ENDC" localSheetId="6">'ANEXO 7'!$AK$2</definedName>
    <definedName name="ENDC" localSheetId="8">'ANEXO 8'!$I$2</definedName>
    <definedName name="ENDC" localSheetId="18">'ANEXO 9'!$I$2</definedName>
    <definedName name="ENDC" localSheetId="28">CDF!$E$2</definedName>
    <definedName name="ENDC" localSheetId="2">Contador!$D$2</definedName>
    <definedName name="ENDC" localSheetId="1">Contribuyente!$D$2</definedName>
    <definedName name="ENDC" localSheetId="4">Generales!$D$2</definedName>
    <definedName name="ENDC" localSheetId="29">MPT!$D$2</definedName>
    <definedName name="ENDC" localSheetId="3">Representante!$D$2</definedName>
    <definedName name="ENDR" localSheetId="12">'ANEXO 1'!$A$247</definedName>
    <definedName name="ENDR" localSheetId="10">'ANEXO 10'!$A$184</definedName>
    <definedName name="ENDR" localSheetId="16">'ANEXO 11'!$A$151</definedName>
    <definedName name="ENDR" localSheetId="20">'ANEXO 12'!$A$13</definedName>
    <definedName name="ENDR" localSheetId="21">'ANEXO 13'!$A$13</definedName>
    <definedName name="ENDR" localSheetId="13">'ANEXO 14'!$A$11</definedName>
    <definedName name="ENDR" localSheetId="17">'ANEXO 15'!$A$104</definedName>
    <definedName name="ENDR" localSheetId="22">'ANEXO 16'!$A$23</definedName>
    <definedName name="ENDR" localSheetId="23">'ANEXO 17'!$A$289</definedName>
    <definedName name="ENDR" localSheetId="19">'ANEXO 18'!$A$154</definedName>
    <definedName name="ENDR" localSheetId="24">'ANEXO 19'!$A$76</definedName>
    <definedName name="ENDR" localSheetId="9">'ANEXO 2'!$A$100</definedName>
    <definedName name="ENDR" localSheetId="15">'ANEXO 20'!$A$49</definedName>
    <definedName name="ENDR" localSheetId="25">'ANEXO 21'!$A$23</definedName>
    <definedName name="ENDR" localSheetId="26">'ANEXO 22'!$A$22</definedName>
    <definedName name="ENDR" localSheetId="27">'ANEXO 23'!$A$33</definedName>
    <definedName name="ENDR" localSheetId="11">'ANEXO 3'!$A$59</definedName>
    <definedName name="ENDR" localSheetId="14">'ANEXO 4'!$A$149</definedName>
    <definedName name="ENDR" localSheetId="5">'ANEXO 5'!$A$44</definedName>
    <definedName name="ENDR" localSheetId="7">'ANEXO 6'!$A$99</definedName>
    <definedName name="ENDR" localSheetId="6">'ANEXO 7'!$A$123</definedName>
    <definedName name="ENDR" localSheetId="8">'ANEXO 8'!$A$70</definedName>
    <definedName name="ENDR" localSheetId="18">'ANEXO 9'!$A$346</definedName>
    <definedName name="ENDR" localSheetId="28">CDF!$A$78</definedName>
    <definedName name="ENDR" localSheetId="2">Contador!$A$29</definedName>
    <definedName name="ENDR" localSheetId="1">Contribuyente!$A$25</definedName>
    <definedName name="ENDR" localSheetId="4">Generales!$A$440</definedName>
    <definedName name="ENDR" localSheetId="29">MPT!$A$111</definedName>
    <definedName name="ENDR" localSheetId="3">Representante!$A$30</definedName>
    <definedName name="SECTOR_CAT">Cat!$ER$1:$ES$82</definedName>
    <definedName name="SEDE_GRANDES">Cat!$EK$33</definedName>
    <definedName name="SEDE_HIDROCARBUROS">Cat!$EK$34</definedName>
    <definedName name="SISCOSTEO_SELEC" localSheetId="4">Generales!$Y$1</definedName>
  </definedNames>
  <calcPr calcId="162913" calcOnSave="0"/>
</workbook>
</file>

<file path=xl/calcChain.xml><?xml version="1.0" encoding="utf-8"?>
<calcChain xmlns="http://schemas.openxmlformats.org/spreadsheetml/2006/main">
  <c r="AF113" i="11" l="1"/>
  <c r="AJ113" i="11" s="1"/>
  <c r="AE113" i="11"/>
  <c r="AI113" i="11" s="1"/>
  <c r="AB113" i="11"/>
  <c r="AC113" i="11" s="1"/>
  <c r="AA113" i="11"/>
  <c r="Z113" i="11"/>
  <c r="U113" i="11"/>
  <c r="V113" i="11" s="1"/>
  <c r="T113" i="11"/>
  <c r="S113" i="11"/>
  <c r="N113" i="11"/>
  <c r="O113" i="11" s="1"/>
  <c r="M113" i="11"/>
  <c r="L113" i="11"/>
  <c r="G113" i="11"/>
  <c r="H113" i="11" s="1"/>
  <c r="F113" i="11"/>
  <c r="E113" i="11"/>
  <c r="C47" i="8" l="1"/>
  <c r="F30" i="13" l="1"/>
  <c r="D19" i="13"/>
  <c r="E19" i="13" s="1"/>
  <c r="E30" i="13" s="1"/>
  <c r="G30" i="13" l="1"/>
  <c r="G28" i="24"/>
  <c r="C113" i="15" s="1"/>
  <c r="F28" i="24"/>
  <c r="C112" i="15" s="1"/>
  <c r="E28" i="24"/>
  <c r="D28" i="24"/>
  <c r="C28" i="24"/>
  <c r="C23" i="27" l="1"/>
  <c r="D23" i="27"/>
  <c r="E23" i="27"/>
  <c r="F23" i="27"/>
  <c r="G23" i="27"/>
  <c r="H23" i="27"/>
  <c r="I23" i="27"/>
  <c r="J23" i="27"/>
  <c r="K23" i="27"/>
  <c r="L23" i="27"/>
  <c r="M23" i="27"/>
  <c r="D19" i="27"/>
  <c r="D24" i="27" s="1"/>
  <c r="H19" i="27"/>
  <c r="H24" i="27" s="1"/>
  <c r="L19" i="27"/>
  <c r="L24" i="27" s="1"/>
  <c r="C18" i="27"/>
  <c r="C19" i="27" s="1"/>
  <c r="C24" i="27" s="1"/>
  <c r="D18" i="27"/>
  <c r="E18" i="27"/>
  <c r="E19" i="27" s="1"/>
  <c r="E24" i="27" s="1"/>
  <c r="F18" i="27"/>
  <c r="F19" i="27" s="1"/>
  <c r="F24" i="27" s="1"/>
  <c r="G18" i="27"/>
  <c r="G19" i="27" s="1"/>
  <c r="G24" i="27" s="1"/>
  <c r="H18" i="27"/>
  <c r="I18" i="27"/>
  <c r="I19" i="27" s="1"/>
  <c r="I24" i="27" s="1"/>
  <c r="J18" i="27"/>
  <c r="J19" i="27" s="1"/>
  <c r="J24" i="27" s="1"/>
  <c r="K18" i="27"/>
  <c r="K19" i="27" s="1"/>
  <c r="K24" i="27" s="1"/>
  <c r="L18" i="27"/>
  <c r="M18" i="27"/>
  <c r="M19" i="27" s="1"/>
  <c r="M24" i="27" s="1"/>
  <c r="D20" i="26"/>
  <c r="M20" i="26"/>
  <c r="O20" i="26"/>
  <c r="R20" i="26"/>
  <c r="V20" i="26"/>
  <c r="D14" i="26"/>
  <c r="M14" i="26"/>
  <c r="O14" i="26"/>
  <c r="R14" i="26"/>
  <c r="V14" i="26"/>
  <c r="F22" i="25"/>
  <c r="G22" i="25"/>
  <c r="F14" i="25"/>
  <c r="G14" i="25"/>
  <c r="D66" i="23"/>
  <c r="C63" i="23"/>
  <c r="C66" i="23" s="1"/>
  <c r="D63" i="23"/>
  <c r="E63" i="23"/>
  <c r="E66" i="23" s="1"/>
  <c r="F63" i="23"/>
  <c r="F66" i="23" s="1"/>
  <c r="D61" i="23"/>
  <c r="C58" i="23"/>
  <c r="C61" i="23" s="1"/>
  <c r="D58" i="23"/>
  <c r="E58" i="23"/>
  <c r="E61" i="23" s="1"/>
  <c r="F58" i="23"/>
  <c r="F61" i="23" s="1"/>
  <c r="C53" i="23"/>
  <c r="C56" i="23" s="1"/>
  <c r="D53" i="23"/>
  <c r="D56" i="23" s="1"/>
  <c r="E53" i="23"/>
  <c r="E56" i="23" s="1"/>
  <c r="F53" i="23"/>
  <c r="F56" i="23" s="1"/>
  <c r="C48" i="23"/>
  <c r="C51" i="23" s="1"/>
  <c r="D48" i="23"/>
  <c r="D51" i="23" s="1"/>
  <c r="E48" i="23"/>
  <c r="E51" i="23" s="1"/>
  <c r="F48" i="23"/>
  <c r="F51" i="23" s="1"/>
  <c r="D46" i="23"/>
  <c r="C44" i="23"/>
  <c r="D44" i="23"/>
  <c r="E44" i="23"/>
  <c r="F44" i="23"/>
  <c r="C42" i="23"/>
  <c r="C68" i="23" s="1"/>
  <c r="D42" i="23"/>
  <c r="D68" i="23" s="1"/>
  <c r="E42" i="23"/>
  <c r="E68" i="23" s="1"/>
  <c r="F42" i="23"/>
  <c r="F68" i="23" s="1"/>
  <c r="D36" i="23"/>
  <c r="C31" i="23"/>
  <c r="C34" i="23" s="1"/>
  <c r="D31" i="23"/>
  <c r="D34" i="23" s="1"/>
  <c r="E31" i="23"/>
  <c r="E34" i="23" s="1"/>
  <c r="F31" i="23"/>
  <c r="F34" i="23" s="1"/>
  <c r="C26" i="23"/>
  <c r="C29" i="23" s="1"/>
  <c r="D26" i="23"/>
  <c r="D29" i="23" s="1"/>
  <c r="E26" i="23"/>
  <c r="E29" i="23" s="1"/>
  <c r="F26" i="23"/>
  <c r="F29" i="23" s="1"/>
  <c r="D24" i="23"/>
  <c r="C21" i="23"/>
  <c r="C24" i="23" s="1"/>
  <c r="D21" i="23"/>
  <c r="E21" i="23"/>
  <c r="E24" i="23" s="1"/>
  <c r="F21" i="23"/>
  <c r="F24" i="23" s="1"/>
  <c r="D19" i="23"/>
  <c r="C16" i="23"/>
  <c r="C19" i="23" s="1"/>
  <c r="D16" i="23"/>
  <c r="E16" i="23"/>
  <c r="E19" i="23" s="1"/>
  <c r="F16" i="23"/>
  <c r="F19" i="23" s="1"/>
  <c r="C12" i="23"/>
  <c r="D12" i="23"/>
  <c r="E12" i="23"/>
  <c r="F12" i="23"/>
  <c r="C10" i="23"/>
  <c r="C36" i="23" s="1"/>
  <c r="D10" i="23"/>
  <c r="D14" i="23" s="1"/>
  <c r="E10" i="23"/>
  <c r="E36" i="23" s="1"/>
  <c r="F10" i="23"/>
  <c r="F36" i="23" s="1"/>
  <c r="C240" i="21"/>
  <c r="C246" i="21" s="1"/>
  <c r="C239" i="21"/>
  <c r="C233" i="21"/>
  <c r="C231" i="21"/>
  <c r="C230" i="21"/>
  <c r="C229" i="21"/>
  <c r="C228" i="21"/>
  <c r="C225" i="21"/>
  <c r="G22" i="20"/>
  <c r="J22" i="20"/>
  <c r="G16" i="20"/>
  <c r="J16" i="20"/>
  <c r="F12" i="17"/>
  <c r="G12" i="17"/>
  <c r="H12" i="17"/>
  <c r="I12" i="17"/>
  <c r="G12" i="16"/>
  <c r="C111" i="22"/>
  <c r="C106" i="22"/>
  <c r="C89" i="22"/>
  <c r="C77" i="22"/>
  <c r="G344" i="13"/>
  <c r="G343" i="13"/>
  <c r="G342" i="13"/>
  <c r="G341" i="13"/>
  <c r="G340" i="13"/>
  <c r="G336" i="13"/>
  <c r="G335" i="13"/>
  <c r="G334" i="13"/>
  <c r="G333" i="13"/>
  <c r="G332" i="13"/>
  <c r="G326" i="13"/>
  <c r="G325" i="13"/>
  <c r="G322" i="13"/>
  <c r="G321" i="13"/>
  <c r="G320" i="13"/>
  <c r="G319" i="13"/>
  <c r="G315" i="13"/>
  <c r="G314" i="13"/>
  <c r="G313" i="13"/>
  <c r="G312" i="13"/>
  <c r="G306" i="13"/>
  <c r="G305" i="13"/>
  <c r="G304" i="13"/>
  <c r="G303" i="13"/>
  <c r="G302" i="13"/>
  <c r="G298" i="13"/>
  <c r="G297" i="13"/>
  <c r="G296" i="13"/>
  <c r="G295" i="13"/>
  <c r="G294" i="13"/>
  <c r="C286" i="13"/>
  <c r="G286" i="13"/>
  <c r="G285" i="13"/>
  <c r="F281" i="13"/>
  <c r="D278" i="13"/>
  <c r="E278" i="13" s="1"/>
  <c r="G278" i="13" s="1"/>
  <c r="D275" i="13"/>
  <c r="E275" i="13"/>
  <c r="G275" i="13" s="1"/>
  <c r="C274" i="13"/>
  <c r="D274" i="13" s="1"/>
  <c r="E274" i="13" s="1"/>
  <c r="G274" i="13" s="1"/>
  <c r="C273" i="13"/>
  <c r="D273" i="13" s="1"/>
  <c r="E273" i="13" s="1"/>
  <c r="G273" i="13" s="1"/>
  <c r="F269" i="13"/>
  <c r="D266" i="13"/>
  <c r="E266" i="13" s="1"/>
  <c r="G266" i="13" s="1"/>
  <c r="E265" i="13"/>
  <c r="G265" i="13" s="1"/>
  <c r="E264" i="13"/>
  <c r="E263" i="13"/>
  <c r="G263" i="13" s="1"/>
  <c r="E262" i="13"/>
  <c r="E261" i="13"/>
  <c r="G261" i="13" s="1"/>
  <c r="E260" i="13"/>
  <c r="G260" i="13" s="1"/>
  <c r="E259" i="13"/>
  <c r="G259" i="13" s="1"/>
  <c r="D258" i="13"/>
  <c r="E258" i="13" s="1"/>
  <c r="G258" i="13" s="1"/>
  <c r="D257" i="13"/>
  <c r="E257" i="13" s="1"/>
  <c r="G257" i="13" s="1"/>
  <c r="D256" i="13"/>
  <c r="E256" i="13" s="1"/>
  <c r="G256" i="13" s="1"/>
  <c r="D255" i="13"/>
  <c r="E255" i="13" s="1"/>
  <c r="G255" i="13" s="1"/>
  <c r="D254" i="13"/>
  <c r="E254" i="13" s="1"/>
  <c r="G254" i="13" s="1"/>
  <c r="E253" i="13"/>
  <c r="G253" i="13" s="1"/>
  <c r="E252" i="13"/>
  <c r="G252" i="13" s="1"/>
  <c r="E251" i="13"/>
  <c r="G251" i="13" s="1"/>
  <c r="E250" i="13"/>
  <c r="G250" i="13" s="1"/>
  <c r="D249" i="13"/>
  <c r="E249" i="13" s="1"/>
  <c r="G249" i="13" s="1"/>
  <c r="D248" i="13"/>
  <c r="E248" i="13" s="1"/>
  <c r="G248" i="13" s="1"/>
  <c r="E247" i="13"/>
  <c r="G247" i="13" s="1"/>
  <c r="E246" i="13"/>
  <c r="G246" i="13" s="1"/>
  <c r="E245" i="13"/>
  <c r="G245" i="13" s="1"/>
  <c r="D244" i="13"/>
  <c r="E244" i="13" s="1"/>
  <c r="G244" i="13" s="1"/>
  <c r="D240" i="13"/>
  <c r="E240" i="13" s="1"/>
  <c r="G240" i="13" s="1"/>
  <c r="D239" i="13"/>
  <c r="E239" i="13" s="1"/>
  <c r="G239" i="13" s="1"/>
  <c r="D238" i="13"/>
  <c r="E238" i="13" s="1"/>
  <c r="G238" i="13" s="1"/>
  <c r="D237" i="13"/>
  <c r="E237" i="13"/>
  <c r="G237" i="13" s="1"/>
  <c r="D236" i="13"/>
  <c r="E236" i="13" s="1"/>
  <c r="G236" i="13" s="1"/>
  <c r="F232" i="13"/>
  <c r="D229" i="13"/>
  <c r="E229" i="13" s="1"/>
  <c r="G229" i="13" s="1"/>
  <c r="E228" i="13"/>
  <c r="G228" i="13" s="1"/>
  <c r="D227" i="13"/>
  <c r="E227" i="13" s="1"/>
  <c r="G227" i="13" s="1"/>
  <c r="D226" i="13"/>
  <c r="E226" i="13" s="1"/>
  <c r="G226" i="13" s="1"/>
  <c r="D225" i="13"/>
  <c r="E225" i="13" s="1"/>
  <c r="G225" i="13" s="1"/>
  <c r="D224" i="13"/>
  <c r="E224" i="13" s="1"/>
  <c r="G224" i="13" s="1"/>
  <c r="D223" i="13"/>
  <c r="E223" i="13" s="1"/>
  <c r="G223" i="13" s="1"/>
  <c r="E222" i="13"/>
  <c r="G222" i="13" s="1"/>
  <c r="D221" i="13"/>
  <c r="E221" i="13" s="1"/>
  <c r="G221" i="13" s="1"/>
  <c r="G220" i="13"/>
  <c r="G211" i="13"/>
  <c r="G210" i="13"/>
  <c r="G209" i="13"/>
  <c r="G208" i="13"/>
  <c r="E204" i="13"/>
  <c r="F198" i="13"/>
  <c r="C196" i="13"/>
  <c r="C195" i="13"/>
  <c r="G188" i="13"/>
  <c r="G187" i="13"/>
  <c r="G186" i="13"/>
  <c r="G185" i="13"/>
  <c r="G183" i="13"/>
  <c r="G181" i="13"/>
  <c r="G180" i="13"/>
  <c r="E178" i="13"/>
  <c r="F178" i="13"/>
  <c r="E177" i="13"/>
  <c r="F177" i="13"/>
  <c r="D176" i="13"/>
  <c r="G176" i="13"/>
  <c r="D175" i="13"/>
  <c r="G175" i="13"/>
  <c r="D174" i="13"/>
  <c r="G174" i="13"/>
  <c r="G178" i="13" s="1"/>
  <c r="D173" i="13"/>
  <c r="G173" i="13"/>
  <c r="G177" i="13" s="1"/>
  <c r="D170" i="13"/>
  <c r="G170" i="13"/>
  <c r="D169" i="13"/>
  <c r="G169" i="13"/>
  <c r="D168" i="13"/>
  <c r="G168" i="13"/>
  <c r="D167" i="13"/>
  <c r="G167" i="13"/>
  <c r="D166" i="13"/>
  <c r="G166" i="13"/>
  <c r="D165" i="13"/>
  <c r="G165" i="13"/>
  <c r="D164" i="13"/>
  <c r="G164" i="13"/>
  <c r="D163" i="13"/>
  <c r="G163" i="13"/>
  <c r="D162" i="13"/>
  <c r="G162" i="13"/>
  <c r="D160" i="13"/>
  <c r="E160" i="13" s="1"/>
  <c r="G160" i="13" s="1"/>
  <c r="D159" i="13"/>
  <c r="E159" i="13" s="1"/>
  <c r="G159" i="13" s="1"/>
  <c r="D158" i="13"/>
  <c r="E158" i="13" s="1"/>
  <c r="G158" i="13" s="1"/>
  <c r="D157" i="13"/>
  <c r="E157" i="13" s="1"/>
  <c r="G157" i="13" s="1"/>
  <c r="D156" i="13"/>
  <c r="E156" i="13" s="1"/>
  <c r="G156" i="13" s="1"/>
  <c r="D155" i="13"/>
  <c r="E155" i="13" s="1"/>
  <c r="G155" i="13" s="1"/>
  <c r="D154" i="13"/>
  <c r="E154" i="13" s="1"/>
  <c r="G154" i="13" s="1"/>
  <c r="D153" i="13"/>
  <c r="E153" i="13" s="1"/>
  <c r="G153" i="13" s="1"/>
  <c r="D152" i="13"/>
  <c r="E152" i="13" s="1"/>
  <c r="G152" i="13" s="1"/>
  <c r="G150" i="13"/>
  <c r="D149" i="13"/>
  <c r="E149" i="13" s="1"/>
  <c r="G149" i="13" s="1"/>
  <c r="D148" i="13"/>
  <c r="E148" i="13" s="1"/>
  <c r="G148" i="13" s="1"/>
  <c r="D147" i="13"/>
  <c r="E147" i="13" s="1"/>
  <c r="G147" i="13" s="1"/>
  <c r="G145" i="13"/>
  <c r="C143" i="13"/>
  <c r="D140" i="13"/>
  <c r="E140" i="13" s="1"/>
  <c r="G140" i="13" s="1"/>
  <c r="D139" i="13"/>
  <c r="E139" i="13" s="1"/>
  <c r="G139" i="13" s="1"/>
  <c r="D138" i="13"/>
  <c r="E138" i="13" s="1"/>
  <c r="G138" i="13" s="1"/>
  <c r="D137" i="13"/>
  <c r="E137" i="13" s="1"/>
  <c r="G137" i="13" s="1"/>
  <c r="D136" i="13"/>
  <c r="E136" i="13" s="1"/>
  <c r="G136" i="13" s="1"/>
  <c r="D135" i="13"/>
  <c r="E135" i="13" s="1"/>
  <c r="G135" i="13" s="1"/>
  <c r="D134" i="13"/>
  <c r="E134" i="13" s="1"/>
  <c r="G134" i="13" s="1"/>
  <c r="F132" i="13"/>
  <c r="D129" i="13"/>
  <c r="G129" i="13"/>
  <c r="D128" i="13"/>
  <c r="G128" i="13"/>
  <c r="D127" i="13"/>
  <c r="G127" i="13"/>
  <c r="D126" i="13"/>
  <c r="G126" i="13"/>
  <c r="D125" i="13"/>
  <c r="G125" i="13"/>
  <c r="D124" i="13"/>
  <c r="G124" i="13"/>
  <c r="D123" i="13"/>
  <c r="G123" i="13"/>
  <c r="D122" i="13"/>
  <c r="G122" i="13"/>
  <c r="D121" i="13"/>
  <c r="G121" i="13"/>
  <c r="D119" i="13"/>
  <c r="E119" i="13" s="1"/>
  <c r="G119" i="13" s="1"/>
  <c r="D118" i="13"/>
  <c r="E118" i="13" s="1"/>
  <c r="G118" i="13" s="1"/>
  <c r="D117" i="13"/>
  <c r="E117" i="13" s="1"/>
  <c r="G117" i="13" s="1"/>
  <c r="D116" i="13"/>
  <c r="E116" i="13" s="1"/>
  <c r="G116" i="13" s="1"/>
  <c r="D115" i="13"/>
  <c r="E115" i="13" s="1"/>
  <c r="G115" i="13" s="1"/>
  <c r="D114" i="13"/>
  <c r="E114" i="13" s="1"/>
  <c r="G114" i="13" s="1"/>
  <c r="D113" i="13"/>
  <c r="E113" i="13" s="1"/>
  <c r="G113" i="13" s="1"/>
  <c r="D112" i="13"/>
  <c r="E112" i="13" s="1"/>
  <c r="G112" i="13" s="1"/>
  <c r="D111" i="13"/>
  <c r="E111" i="13" s="1"/>
  <c r="G111" i="13" s="1"/>
  <c r="E109" i="13"/>
  <c r="G109" i="13" s="1"/>
  <c r="D108" i="13"/>
  <c r="E108" i="13" s="1"/>
  <c r="G108" i="13" s="1"/>
  <c r="D107" i="13"/>
  <c r="E107" i="13" s="1"/>
  <c r="G107" i="13" s="1"/>
  <c r="D106" i="13"/>
  <c r="E106" i="13" s="1"/>
  <c r="G106" i="13" s="1"/>
  <c r="C97" i="13"/>
  <c r="C101" i="13" s="1"/>
  <c r="G97" i="13"/>
  <c r="D94" i="13"/>
  <c r="E94" i="13" s="1"/>
  <c r="G94" i="13" s="1"/>
  <c r="D93" i="13"/>
  <c r="E93" i="13" s="1"/>
  <c r="G93" i="13" s="1"/>
  <c r="D92" i="13"/>
  <c r="E92" i="13" s="1"/>
  <c r="G92" i="13" s="1"/>
  <c r="D91" i="13"/>
  <c r="E91" i="13" s="1"/>
  <c r="G91" i="13" s="1"/>
  <c r="D90" i="13"/>
  <c r="E90" i="13" s="1"/>
  <c r="G90" i="13" s="1"/>
  <c r="D89" i="13"/>
  <c r="E89" i="13" s="1"/>
  <c r="G89" i="13" s="1"/>
  <c r="D88" i="13"/>
  <c r="E88" i="13" s="1"/>
  <c r="G88" i="13" s="1"/>
  <c r="D87" i="13"/>
  <c r="E87" i="13" s="1"/>
  <c r="G87" i="13" s="1"/>
  <c r="D86" i="13"/>
  <c r="E86" i="13" s="1"/>
  <c r="G86" i="13" s="1"/>
  <c r="D85" i="13"/>
  <c r="E85" i="13" s="1"/>
  <c r="G85" i="13" s="1"/>
  <c r="G80" i="13"/>
  <c r="G79" i="13"/>
  <c r="G78" i="13"/>
  <c r="G77" i="13"/>
  <c r="G75" i="13"/>
  <c r="G74" i="13"/>
  <c r="G73" i="13"/>
  <c r="G71" i="13"/>
  <c r="G68" i="13"/>
  <c r="G66" i="13"/>
  <c r="G64" i="13"/>
  <c r="G62" i="13"/>
  <c r="G57" i="13"/>
  <c r="E54" i="13"/>
  <c r="G54" i="13" s="1"/>
  <c r="C53" i="13"/>
  <c r="E53" i="13"/>
  <c r="G53" i="13" s="1"/>
  <c r="E52" i="13"/>
  <c r="G52" i="13" s="1"/>
  <c r="G47" i="13"/>
  <c r="E44" i="13"/>
  <c r="F44" i="13"/>
  <c r="G44" i="13" s="1"/>
  <c r="G36" i="13"/>
  <c r="G35" i="13"/>
  <c r="G34" i="13"/>
  <c r="G32" i="13"/>
  <c r="G28" i="13"/>
  <c r="G24" i="13"/>
  <c r="G19" i="13"/>
  <c r="G18" i="13"/>
  <c r="G17" i="13"/>
  <c r="G16" i="13"/>
  <c r="G15" i="13"/>
  <c r="G14" i="13"/>
  <c r="C92" i="19"/>
  <c r="C91" i="19"/>
  <c r="C90" i="19"/>
  <c r="C89" i="19"/>
  <c r="C84" i="19"/>
  <c r="C66" i="19"/>
  <c r="C53" i="19"/>
  <c r="C52" i="19"/>
  <c r="C51" i="19"/>
  <c r="C48" i="19"/>
  <c r="C88" i="19" s="1"/>
  <c r="C27" i="19"/>
  <c r="C26" i="19"/>
  <c r="C25" i="19"/>
  <c r="C24" i="19"/>
  <c r="C23" i="19"/>
  <c r="C22" i="19"/>
  <c r="C30" i="19" s="1"/>
  <c r="C11" i="19"/>
  <c r="C95" i="19" s="1"/>
  <c r="C122" i="15"/>
  <c r="C65" i="19" s="1"/>
  <c r="C97" i="15"/>
  <c r="C96" i="15"/>
  <c r="C95" i="15"/>
  <c r="C94" i="15"/>
  <c r="C71" i="15"/>
  <c r="C67" i="15"/>
  <c r="C56" i="15"/>
  <c r="C49" i="19" s="1"/>
  <c r="C142" i="8"/>
  <c r="D142" i="8"/>
  <c r="D133" i="8"/>
  <c r="D99" i="8"/>
  <c r="C84" i="8"/>
  <c r="C83" i="8"/>
  <c r="D83" i="8"/>
  <c r="C70" i="8"/>
  <c r="D70" i="8"/>
  <c r="C66" i="8"/>
  <c r="C65" i="8"/>
  <c r="C64" i="8"/>
  <c r="C63" i="8"/>
  <c r="C62" i="8"/>
  <c r="C61" i="8"/>
  <c r="C51" i="8"/>
  <c r="C50" i="8"/>
  <c r="C49" i="8"/>
  <c r="C36" i="8"/>
  <c r="C35" i="8"/>
  <c r="C34" i="8"/>
  <c r="C33" i="8"/>
  <c r="C26" i="8"/>
  <c r="C69" i="8" s="1"/>
  <c r="D26" i="8"/>
  <c r="C19" i="8"/>
  <c r="C46" i="8" s="1"/>
  <c r="D19" i="8"/>
  <c r="D46" i="8" s="1"/>
  <c r="C18" i="8"/>
  <c r="C45" i="8" s="1"/>
  <c r="D18" i="8"/>
  <c r="D45" i="8" s="1"/>
  <c r="C17" i="8"/>
  <c r="D17" i="8"/>
  <c r="C16" i="8"/>
  <c r="C15" i="8"/>
  <c r="D15" i="8"/>
  <c r="C11" i="8"/>
  <c r="D11" i="8"/>
  <c r="C10" i="8"/>
  <c r="D10" i="8"/>
  <c r="E48" i="24"/>
  <c r="C46" i="24"/>
  <c r="D46" i="24"/>
  <c r="E46" i="24"/>
  <c r="F46" i="24"/>
  <c r="G46" i="24"/>
  <c r="H44" i="24"/>
  <c r="H46" i="24" s="1"/>
  <c r="C40" i="24"/>
  <c r="D40" i="24"/>
  <c r="D48" i="24" s="1"/>
  <c r="E40" i="24"/>
  <c r="F40" i="24"/>
  <c r="G40" i="24"/>
  <c r="H37" i="24"/>
  <c r="H36" i="24"/>
  <c r="H35" i="24"/>
  <c r="H34" i="24"/>
  <c r="H40" i="24" s="1"/>
  <c r="H33" i="24"/>
  <c r="H32" i="24"/>
  <c r="H25" i="24"/>
  <c r="H24" i="24"/>
  <c r="H23" i="24"/>
  <c r="H22" i="24"/>
  <c r="H21" i="24"/>
  <c r="H20" i="24"/>
  <c r="H19" i="24"/>
  <c r="H18" i="24"/>
  <c r="H17" i="24"/>
  <c r="H15" i="24"/>
  <c r="H14" i="24"/>
  <c r="H13" i="24"/>
  <c r="H12" i="24"/>
  <c r="H11" i="24"/>
  <c r="H10" i="24"/>
  <c r="H9" i="24"/>
  <c r="H8" i="24"/>
  <c r="H10" i="18"/>
  <c r="I10" i="18"/>
  <c r="J10" i="18"/>
  <c r="K10" i="18"/>
  <c r="C217" i="5"/>
  <c r="C215" i="5"/>
  <c r="D215" i="5"/>
  <c r="E212" i="5"/>
  <c r="F212" i="5"/>
  <c r="G212" i="5"/>
  <c r="H212" i="5"/>
  <c r="E211" i="5"/>
  <c r="F211" i="5"/>
  <c r="G211" i="5"/>
  <c r="H211" i="5"/>
  <c r="E210" i="5"/>
  <c r="I210" i="5" s="1"/>
  <c r="F210" i="5"/>
  <c r="G210" i="5"/>
  <c r="H210" i="5" s="1"/>
  <c r="E206" i="5"/>
  <c r="F206" i="5"/>
  <c r="G206" i="5"/>
  <c r="H206" i="5" s="1"/>
  <c r="C204" i="5"/>
  <c r="D204" i="5"/>
  <c r="D217" i="5" s="1"/>
  <c r="E203" i="5"/>
  <c r="F203" i="5"/>
  <c r="G203" i="5"/>
  <c r="H203" i="5" s="1"/>
  <c r="E202" i="5"/>
  <c r="F202" i="5"/>
  <c r="G202" i="5"/>
  <c r="H202" i="5" s="1"/>
  <c r="E201" i="5"/>
  <c r="F201" i="5"/>
  <c r="G201" i="5"/>
  <c r="H201" i="5" s="1"/>
  <c r="E200" i="5"/>
  <c r="F200" i="5"/>
  <c r="G200" i="5"/>
  <c r="H200" i="5" s="1"/>
  <c r="E192" i="5"/>
  <c r="F192" i="5"/>
  <c r="G192" i="5"/>
  <c r="H192" i="5" s="1"/>
  <c r="C190" i="5"/>
  <c r="D190" i="5"/>
  <c r="E186" i="5"/>
  <c r="I186" i="5" s="1"/>
  <c r="F186" i="5"/>
  <c r="G186" i="5"/>
  <c r="H186" i="5" s="1"/>
  <c r="E185" i="5"/>
  <c r="F185" i="5"/>
  <c r="I185" i="5" s="1"/>
  <c r="G185" i="5"/>
  <c r="H185" i="5" s="1"/>
  <c r="E184" i="5"/>
  <c r="F184" i="5"/>
  <c r="I184" i="5" s="1"/>
  <c r="G184" i="5"/>
  <c r="H184" i="5" s="1"/>
  <c r="E183" i="5"/>
  <c r="F183" i="5"/>
  <c r="G183" i="5"/>
  <c r="H183" i="5" s="1"/>
  <c r="E182" i="5"/>
  <c r="F182" i="5"/>
  <c r="I182" i="5" s="1"/>
  <c r="G182" i="5"/>
  <c r="H182" i="5" s="1"/>
  <c r="E181" i="5"/>
  <c r="F181" i="5"/>
  <c r="I181" i="5" s="1"/>
  <c r="G181" i="5"/>
  <c r="H181" i="5" s="1"/>
  <c r="D177" i="5"/>
  <c r="C175" i="5"/>
  <c r="E175" i="5" s="1"/>
  <c r="I175" i="5" s="1"/>
  <c r="F175" i="5"/>
  <c r="C174" i="5"/>
  <c r="G174" i="5" s="1"/>
  <c r="H174" i="5" s="1"/>
  <c r="E174" i="5"/>
  <c r="F174" i="5"/>
  <c r="C173" i="5"/>
  <c r="E173" i="5" s="1"/>
  <c r="F173" i="5"/>
  <c r="E172" i="5"/>
  <c r="F172" i="5"/>
  <c r="G172" i="5"/>
  <c r="H172" i="5" s="1"/>
  <c r="C171" i="5"/>
  <c r="E171" i="5"/>
  <c r="F171" i="5"/>
  <c r="G171" i="5"/>
  <c r="H171" i="5" s="1"/>
  <c r="C170" i="5"/>
  <c r="G170" i="5" s="1"/>
  <c r="H170" i="5" s="1"/>
  <c r="E170" i="5"/>
  <c r="F170" i="5"/>
  <c r="C169" i="5"/>
  <c r="G169" i="5" s="1"/>
  <c r="H169" i="5" s="1"/>
  <c r="F169" i="5"/>
  <c r="C168" i="5"/>
  <c r="F168" i="5"/>
  <c r="C167" i="5"/>
  <c r="G167" i="5" s="1"/>
  <c r="H167" i="5" s="1"/>
  <c r="E167" i="5"/>
  <c r="F167" i="5"/>
  <c r="C166" i="5"/>
  <c r="G166" i="5" s="1"/>
  <c r="H166" i="5" s="1"/>
  <c r="E166" i="5"/>
  <c r="F166" i="5"/>
  <c r="C165" i="5"/>
  <c r="G165" i="5" s="1"/>
  <c r="H165" i="5" s="1"/>
  <c r="F165" i="5"/>
  <c r="C164" i="5"/>
  <c r="F164" i="5"/>
  <c r="C161" i="5"/>
  <c r="D161" i="5"/>
  <c r="E160" i="5"/>
  <c r="I160" i="5" s="1"/>
  <c r="F160" i="5"/>
  <c r="G160" i="5"/>
  <c r="H160" i="5" s="1"/>
  <c r="E159" i="5"/>
  <c r="F159" i="5"/>
  <c r="G159" i="5"/>
  <c r="H159" i="5"/>
  <c r="C155" i="5"/>
  <c r="D155" i="5"/>
  <c r="E154" i="5"/>
  <c r="F154" i="5"/>
  <c r="G154" i="5"/>
  <c r="H154" i="5" s="1"/>
  <c r="E153" i="5"/>
  <c r="F153" i="5"/>
  <c r="G153" i="5"/>
  <c r="H153" i="5" s="1"/>
  <c r="C149" i="5"/>
  <c r="D149" i="5"/>
  <c r="E147" i="5"/>
  <c r="F147" i="5"/>
  <c r="G147" i="5"/>
  <c r="H147" i="5" s="1"/>
  <c r="C143" i="5"/>
  <c r="D143" i="5"/>
  <c r="E142" i="5"/>
  <c r="I142" i="5" s="1"/>
  <c r="F142" i="5"/>
  <c r="G142" i="5"/>
  <c r="H142" i="5"/>
  <c r="E141" i="5"/>
  <c r="F141" i="5"/>
  <c r="G141" i="5"/>
  <c r="H141" i="5"/>
  <c r="C129" i="5"/>
  <c r="D129" i="5"/>
  <c r="E127" i="5"/>
  <c r="F127" i="5"/>
  <c r="G127" i="5"/>
  <c r="H127" i="5" s="1"/>
  <c r="E126" i="5"/>
  <c r="F126" i="5"/>
  <c r="I126" i="5" s="1"/>
  <c r="G126" i="5"/>
  <c r="H126" i="5" s="1"/>
  <c r="E125" i="5"/>
  <c r="F125" i="5"/>
  <c r="G125" i="5"/>
  <c r="H125" i="5"/>
  <c r="E124" i="5"/>
  <c r="F124" i="5"/>
  <c r="G124" i="5"/>
  <c r="H124" i="5" s="1"/>
  <c r="E123" i="5"/>
  <c r="F123" i="5"/>
  <c r="G123" i="5"/>
  <c r="H123" i="5" s="1"/>
  <c r="C119" i="5"/>
  <c r="D119" i="5"/>
  <c r="E117" i="5"/>
  <c r="F117" i="5"/>
  <c r="G117" i="5"/>
  <c r="H117" i="5"/>
  <c r="E116" i="5"/>
  <c r="F116" i="5"/>
  <c r="I116" i="5" s="1"/>
  <c r="G116" i="5"/>
  <c r="H116" i="5"/>
  <c r="E115" i="5"/>
  <c r="F115" i="5"/>
  <c r="I115" i="5" s="1"/>
  <c r="G115" i="5"/>
  <c r="H115" i="5"/>
  <c r="E114" i="5"/>
  <c r="F114" i="5"/>
  <c r="I114" i="5" s="1"/>
  <c r="G114" i="5"/>
  <c r="H114" i="5"/>
  <c r="E113" i="5"/>
  <c r="F113" i="5"/>
  <c r="I113" i="5" s="1"/>
  <c r="G113" i="5"/>
  <c r="H113" i="5"/>
  <c r="C107" i="5"/>
  <c r="D107" i="5"/>
  <c r="E105" i="5"/>
  <c r="F105" i="5"/>
  <c r="G105" i="5"/>
  <c r="H105" i="5" s="1"/>
  <c r="E104" i="5"/>
  <c r="F104" i="5"/>
  <c r="G104" i="5"/>
  <c r="H104" i="5" s="1"/>
  <c r="E103" i="5"/>
  <c r="F103" i="5"/>
  <c r="G103" i="5"/>
  <c r="H103" i="5"/>
  <c r="E102" i="5"/>
  <c r="F102" i="5"/>
  <c r="G102" i="5"/>
  <c r="H102" i="5"/>
  <c r="E101" i="5"/>
  <c r="F101" i="5"/>
  <c r="G101" i="5"/>
  <c r="H101" i="5" s="1"/>
  <c r="C97" i="5"/>
  <c r="D97" i="5"/>
  <c r="E95" i="5"/>
  <c r="F95" i="5"/>
  <c r="G95" i="5"/>
  <c r="H95" i="5" s="1"/>
  <c r="E94" i="5"/>
  <c r="F94" i="5"/>
  <c r="G94" i="5"/>
  <c r="H94" i="5"/>
  <c r="E93" i="5"/>
  <c r="F93" i="5"/>
  <c r="G93" i="5"/>
  <c r="H93" i="5"/>
  <c r="E92" i="5"/>
  <c r="F92" i="5"/>
  <c r="G92" i="5"/>
  <c r="H92" i="5"/>
  <c r="E91" i="5"/>
  <c r="F91" i="5"/>
  <c r="G91" i="5"/>
  <c r="H91" i="5"/>
  <c r="C87" i="5"/>
  <c r="C109" i="5" s="1"/>
  <c r="D87" i="5"/>
  <c r="D109" i="5" s="1"/>
  <c r="E85" i="5"/>
  <c r="F85" i="5"/>
  <c r="I85" i="5" s="1"/>
  <c r="G85" i="5"/>
  <c r="H85" i="5"/>
  <c r="E84" i="5"/>
  <c r="F84" i="5"/>
  <c r="G84" i="5"/>
  <c r="H84" i="5"/>
  <c r="E83" i="5"/>
  <c r="F83" i="5"/>
  <c r="G83" i="5"/>
  <c r="H83" i="5"/>
  <c r="E82" i="5"/>
  <c r="F82" i="5"/>
  <c r="G82" i="5"/>
  <c r="H82" i="5"/>
  <c r="E81" i="5"/>
  <c r="F81" i="5"/>
  <c r="G81" i="5"/>
  <c r="H81" i="5" s="1"/>
  <c r="E80" i="5"/>
  <c r="F80" i="5"/>
  <c r="G80" i="5"/>
  <c r="H80" i="5" s="1"/>
  <c r="C74" i="5"/>
  <c r="D74" i="5"/>
  <c r="E73" i="5"/>
  <c r="F73" i="5"/>
  <c r="G73" i="5"/>
  <c r="H73" i="5" s="1"/>
  <c r="I73" i="5"/>
  <c r="C69" i="5"/>
  <c r="D69" i="5"/>
  <c r="D131" i="5" s="1"/>
  <c r="E67" i="5"/>
  <c r="F67" i="5"/>
  <c r="G67" i="5"/>
  <c r="H67" i="5"/>
  <c r="C63" i="5"/>
  <c r="C131" i="5" s="1"/>
  <c r="D63" i="5"/>
  <c r="E62" i="5"/>
  <c r="F62" i="5"/>
  <c r="G62" i="5"/>
  <c r="H62" i="5"/>
  <c r="E61" i="5"/>
  <c r="F61" i="5"/>
  <c r="G61" i="5"/>
  <c r="H61" i="5"/>
  <c r="E53" i="5"/>
  <c r="F53" i="5"/>
  <c r="G53" i="5"/>
  <c r="H53" i="5"/>
  <c r="C49" i="5"/>
  <c r="D49" i="5"/>
  <c r="E48" i="5"/>
  <c r="F48" i="5"/>
  <c r="G48" i="5"/>
  <c r="H48" i="5"/>
  <c r="E46" i="5"/>
  <c r="F46" i="5"/>
  <c r="G46" i="5"/>
  <c r="H46" i="5" s="1"/>
  <c r="E45" i="5"/>
  <c r="F45" i="5"/>
  <c r="G45" i="5"/>
  <c r="H45" i="5" s="1"/>
  <c r="E39" i="5"/>
  <c r="F39" i="5"/>
  <c r="G39" i="5"/>
  <c r="H39" i="5" s="1"/>
  <c r="E38" i="5"/>
  <c r="F38" i="5"/>
  <c r="G38" i="5"/>
  <c r="H38" i="5" s="1"/>
  <c r="C37" i="5"/>
  <c r="E37" i="5" s="1"/>
  <c r="D37" i="5"/>
  <c r="F37" i="5"/>
  <c r="C36" i="5"/>
  <c r="D36" i="5"/>
  <c r="F36" i="5"/>
  <c r="C35" i="5"/>
  <c r="E35" i="5" s="1"/>
  <c r="D35" i="5"/>
  <c r="C31" i="5"/>
  <c r="D31" i="5"/>
  <c r="E29" i="5"/>
  <c r="F29" i="5"/>
  <c r="G29" i="5"/>
  <c r="H29" i="5"/>
  <c r="E28" i="5"/>
  <c r="F28" i="5"/>
  <c r="G28" i="5"/>
  <c r="H28" i="5"/>
  <c r="E26" i="5"/>
  <c r="F26" i="5"/>
  <c r="G26" i="5"/>
  <c r="H26" i="5" s="1"/>
  <c r="E25" i="5"/>
  <c r="F25" i="5"/>
  <c r="G25" i="5"/>
  <c r="H25" i="5" s="1"/>
  <c r="E24" i="5"/>
  <c r="F24" i="5"/>
  <c r="G24" i="5"/>
  <c r="H24" i="5"/>
  <c r="E23" i="5"/>
  <c r="F23" i="5"/>
  <c r="G23" i="5"/>
  <c r="H23" i="5"/>
  <c r="E22" i="5"/>
  <c r="F22" i="5"/>
  <c r="G22" i="5"/>
  <c r="H22" i="5" s="1"/>
  <c r="E21" i="5"/>
  <c r="F21" i="5"/>
  <c r="G21" i="5"/>
  <c r="H21" i="5" s="1"/>
  <c r="E20" i="5"/>
  <c r="F20" i="5"/>
  <c r="G20" i="5"/>
  <c r="H20" i="5"/>
  <c r="C16" i="5"/>
  <c r="D16" i="5"/>
  <c r="D56" i="7"/>
  <c r="C224" i="5" s="1"/>
  <c r="F56" i="7"/>
  <c r="C226" i="5" s="1"/>
  <c r="P56" i="7"/>
  <c r="C236" i="5" s="1"/>
  <c r="R56" i="7"/>
  <c r="C238" i="5" s="1"/>
  <c r="T56" i="7"/>
  <c r="L53" i="7"/>
  <c r="U53" i="7"/>
  <c r="L52" i="7"/>
  <c r="U52" i="7"/>
  <c r="L51" i="7"/>
  <c r="U51" i="7"/>
  <c r="N50" i="7"/>
  <c r="U50" i="7"/>
  <c r="L49" i="7"/>
  <c r="U49" i="7" s="1"/>
  <c r="N48" i="7"/>
  <c r="U48" i="7" s="1"/>
  <c r="L47" i="7"/>
  <c r="U47" i="7" s="1"/>
  <c r="N46" i="7"/>
  <c r="U46" i="7"/>
  <c r="L45" i="7"/>
  <c r="U45" i="7" s="1"/>
  <c r="N44" i="7"/>
  <c r="U44" i="7" s="1"/>
  <c r="U43" i="7"/>
  <c r="U42" i="7"/>
  <c r="U41" i="7"/>
  <c r="U40" i="7"/>
  <c r="U37" i="7"/>
  <c r="U36" i="7"/>
  <c r="L35" i="7"/>
  <c r="U34" i="7"/>
  <c r="U33" i="7"/>
  <c r="C31" i="7"/>
  <c r="D31" i="7"/>
  <c r="D224" i="5" s="1"/>
  <c r="E31" i="7"/>
  <c r="F31" i="7"/>
  <c r="D226" i="5" s="1"/>
  <c r="G31" i="7"/>
  <c r="K31" i="7"/>
  <c r="D231" i="5" s="1"/>
  <c r="M31" i="7"/>
  <c r="O31" i="7"/>
  <c r="P31" i="7"/>
  <c r="D236" i="5" s="1"/>
  <c r="Q31" i="7"/>
  <c r="R31" i="7"/>
  <c r="D238" i="5" s="1"/>
  <c r="S31" i="7"/>
  <c r="S56" i="7" s="1"/>
  <c r="T31" i="7"/>
  <c r="L28" i="7"/>
  <c r="U28" i="7" s="1"/>
  <c r="L27" i="7"/>
  <c r="U27" i="7"/>
  <c r="L26" i="7"/>
  <c r="U26" i="7"/>
  <c r="N25" i="7"/>
  <c r="U25" i="7"/>
  <c r="L24" i="7"/>
  <c r="U24" i="7" s="1"/>
  <c r="N23" i="7"/>
  <c r="U23" i="7" s="1"/>
  <c r="L22" i="7"/>
  <c r="U22" i="7" s="1"/>
  <c r="N21" i="7"/>
  <c r="U21" i="7"/>
  <c r="L20" i="7"/>
  <c r="U20" i="7"/>
  <c r="N19" i="7"/>
  <c r="U19" i="7" s="1"/>
  <c r="U18" i="7"/>
  <c r="U17" i="7"/>
  <c r="U16" i="7"/>
  <c r="U15" i="7"/>
  <c r="U12" i="7"/>
  <c r="U11" i="7"/>
  <c r="H10" i="7"/>
  <c r="I10" i="7"/>
  <c r="J10" i="7"/>
  <c r="J31" i="7" s="1"/>
  <c r="D230" i="5" s="1"/>
  <c r="K10" i="7"/>
  <c r="L10" i="7"/>
  <c r="L31" i="7" s="1"/>
  <c r="L56" i="7" s="1"/>
  <c r="M10" i="7"/>
  <c r="N10" i="7"/>
  <c r="N31" i="7" s="1"/>
  <c r="N35" i="7" s="1"/>
  <c r="O10" i="7"/>
  <c r="U9" i="7"/>
  <c r="U8" i="7"/>
  <c r="U6" i="7"/>
  <c r="C183" i="14"/>
  <c r="D183" i="14"/>
  <c r="F183" i="14"/>
  <c r="E10" i="14"/>
  <c r="E9" i="14"/>
  <c r="E183" i="14" s="1"/>
  <c r="C92" i="6"/>
  <c r="D92" i="6"/>
  <c r="F92" i="6"/>
  <c r="G92" i="6"/>
  <c r="E90" i="6"/>
  <c r="H90" i="6"/>
  <c r="E89" i="6"/>
  <c r="H89" i="6"/>
  <c r="E88" i="6"/>
  <c r="H88" i="6"/>
  <c r="E87" i="6"/>
  <c r="H87" i="6"/>
  <c r="E86" i="6"/>
  <c r="H86" i="6"/>
  <c r="E85" i="6"/>
  <c r="H85" i="6"/>
  <c r="E84" i="6"/>
  <c r="H84" i="6"/>
  <c r="E83" i="6"/>
  <c r="H83" i="6"/>
  <c r="E82" i="6"/>
  <c r="H82" i="6"/>
  <c r="E81" i="6"/>
  <c r="E92" i="6" s="1"/>
  <c r="H81" i="6"/>
  <c r="H92" i="6" s="1"/>
  <c r="C70" i="6"/>
  <c r="D70" i="6"/>
  <c r="F70" i="6"/>
  <c r="G70" i="6"/>
  <c r="E68" i="6"/>
  <c r="E70" i="6" s="1"/>
  <c r="H68" i="6"/>
  <c r="E67" i="6"/>
  <c r="H67" i="6"/>
  <c r="H70" i="6" s="1"/>
  <c r="E58" i="6"/>
  <c r="H58" i="6"/>
  <c r="E57" i="6"/>
  <c r="H57" i="6"/>
  <c r="D51" i="6"/>
  <c r="G51" i="6"/>
  <c r="F50" i="6"/>
  <c r="H50" i="6" s="1"/>
  <c r="F44" i="6"/>
  <c r="H44" i="6" s="1"/>
  <c r="C36" i="6"/>
  <c r="D36" i="6"/>
  <c r="F36" i="6"/>
  <c r="G36" i="6"/>
  <c r="E35" i="6"/>
  <c r="H35" i="6"/>
  <c r="E34" i="6"/>
  <c r="H34" i="6"/>
  <c r="E33" i="6"/>
  <c r="E36" i="6" s="1"/>
  <c r="H33" i="6"/>
  <c r="E32" i="6"/>
  <c r="H32" i="6"/>
  <c r="H36" i="6" s="1"/>
  <c r="D23" i="6"/>
  <c r="G23" i="6"/>
  <c r="D14" i="6"/>
  <c r="D25" i="6" s="1"/>
  <c r="G14" i="6"/>
  <c r="G26" i="6" s="1"/>
  <c r="D13" i="6"/>
  <c r="D26" i="6" s="1"/>
  <c r="G13" i="6"/>
  <c r="E68" i="12"/>
  <c r="F68" i="12"/>
  <c r="G68" i="12"/>
  <c r="H68" i="12"/>
  <c r="C67" i="12"/>
  <c r="C50" i="6" s="1"/>
  <c r="E50" i="6" s="1"/>
  <c r="D67" i="12"/>
  <c r="C65" i="12"/>
  <c r="C40" i="19" s="1"/>
  <c r="D65" i="12"/>
  <c r="F49" i="6" s="1"/>
  <c r="H49" i="6" s="1"/>
  <c r="E60" i="12"/>
  <c r="F60" i="12"/>
  <c r="G60" i="12"/>
  <c r="H60" i="12"/>
  <c r="C59" i="12"/>
  <c r="C18" i="19" s="1"/>
  <c r="D59" i="12"/>
  <c r="C58" i="12"/>
  <c r="C17" i="19" s="1"/>
  <c r="D58" i="12"/>
  <c r="F48" i="6" s="1"/>
  <c r="H48" i="6" s="1"/>
  <c r="C57" i="12"/>
  <c r="C42" i="19" s="1"/>
  <c r="D57" i="12"/>
  <c r="C56" i="12"/>
  <c r="D56" i="12"/>
  <c r="F47" i="6" s="1"/>
  <c r="H47" i="6" s="1"/>
  <c r="E52" i="12"/>
  <c r="F52" i="12"/>
  <c r="G52" i="12"/>
  <c r="H52" i="12"/>
  <c r="C51" i="12"/>
  <c r="D51" i="12"/>
  <c r="C50" i="12"/>
  <c r="C46" i="6" s="1"/>
  <c r="E46" i="6" s="1"/>
  <c r="D50" i="12"/>
  <c r="C49" i="12"/>
  <c r="D49" i="12"/>
  <c r="F45" i="6" s="1"/>
  <c r="H45" i="6" s="1"/>
  <c r="C48" i="12"/>
  <c r="C52" i="12" s="1"/>
  <c r="D48" i="12"/>
  <c r="D52" i="12" s="1"/>
  <c r="E44" i="12"/>
  <c r="E69" i="12" s="1"/>
  <c r="F44" i="12"/>
  <c r="G44" i="12"/>
  <c r="H44" i="12"/>
  <c r="H69" i="12" s="1"/>
  <c r="C43" i="12"/>
  <c r="C12" i="19" s="1"/>
  <c r="D43" i="12"/>
  <c r="C42" i="12"/>
  <c r="C135" i="15" s="1"/>
  <c r="D42" i="12"/>
  <c r="F43" i="6" s="1"/>
  <c r="H43" i="6" s="1"/>
  <c r="C41" i="12"/>
  <c r="D41" i="12"/>
  <c r="C40" i="12"/>
  <c r="D40" i="12"/>
  <c r="E36" i="12"/>
  <c r="F36" i="12"/>
  <c r="G36" i="12"/>
  <c r="H36" i="12"/>
  <c r="C35" i="12"/>
  <c r="D35" i="12"/>
  <c r="C34" i="12"/>
  <c r="D34" i="12"/>
  <c r="C33" i="12"/>
  <c r="D33" i="12"/>
  <c r="C32" i="12"/>
  <c r="D32" i="12"/>
  <c r="C28" i="12"/>
  <c r="D28" i="12"/>
  <c r="C27" i="12"/>
  <c r="C36" i="12" s="1"/>
  <c r="C42" i="6" s="1"/>
  <c r="E42" i="6" s="1"/>
  <c r="D27" i="12"/>
  <c r="C26" i="12"/>
  <c r="D26" i="12"/>
  <c r="D36" i="12" s="1"/>
  <c r="F42" i="6" s="1"/>
  <c r="H42" i="6" s="1"/>
  <c r="C20" i="12"/>
  <c r="E20" i="12"/>
  <c r="F20" i="12"/>
  <c r="F69" i="12" s="1"/>
  <c r="G20" i="12"/>
  <c r="G69" i="12" s="1"/>
  <c r="H20" i="12"/>
  <c r="C19" i="12"/>
  <c r="D19" i="12"/>
  <c r="C18" i="12"/>
  <c r="D18" i="12"/>
  <c r="C17" i="12"/>
  <c r="D17" i="12"/>
  <c r="C16" i="12"/>
  <c r="D16" i="12"/>
  <c r="C12" i="12"/>
  <c r="D12" i="12"/>
  <c r="C11" i="12"/>
  <c r="D11" i="12"/>
  <c r="C10" i="12"/>
  <c r="D10" i="12"/>
  <c r="D20" i="12" s="1"/>
  <c r="C67" i="10"/>
  <c r="C66" i="10"/>
  <c r="C72" i="15" s="1"/>
  <c r="C47" i="10"/>
  <c r="C36" i="10"/>
  <c r="C24" i="10"/>
  <c r="D19" i="10"/>
  <c r="D24" i="10" s="1"/>
  <c r="C10" i="10"/>
  <c r="C19" i="10" s="1"/>
  <c r="AE119" i="11"/>
  <c r="AI119" i="11" s="1"/>
  <c r="AF119" i="11"/>
  <c r="AJ119" i="11" s="1"/>
  <c r="C115" i="11"/>
  <c r="D115" i="11"/>
  <c r="J115" i="11"/>
  <c r="K115" i="11"/>
  <c r="Q115" i="11"/>
  <c r="R115" i="11"/>
  <c r="X115" i="11"/>
  <c r="Y115" i="11"/>
  <c r="E112" i="11"/>
  <c r="F112" i="11"/>
  <c r="G112" i="11"/>
  <c r="H112" i="11" s="1"/>
  <c r="L112" i="11"/>
  <c r="M112" i="11"/>
  <c r="N112" i="11"/>
  <c r="O112" i="11" s="1"/>
  <c r="S112" i="11"/>
  <c r="T112" i="11"/>
  <c r="U112" i="11"/>
  <c r="V112" i="11"/>
  <c r="Z112" i="11"/>
  <c r="AA112" i="11"/>
  <c r="AB112" i="11"/>
  <c r="AC112" i="11" s="1"/>
  <c r="AE112" i="11"/>
  <c r="AF112" i="11"/>
  <c r="AJ112" i="11" s="1"/>
  <c r="AI112" i="11"/>
  <c r="E111" i="11"/>
  <c r="F111" i="11"/>
  <c r="G111" i="11"/>
  <c r="H111" i="11"/>
  <c r="L111" i="11"/>
  <c r="M111" i="11"/>
  <c r="N111" i="11"/>
  <c r="O111" i="11" s="1"/>
  <c r="S111" i="11"/>
  <c r="T111" i="11"/>
  <c r="U111" i="11"/>
  <c r="V111" i="11" s="1"/>
  <c r="Z111" i="11"/>
  <c r="AA111" i="11"/>
  <c r="AB111" i="11"/>
  <c r="AC111" i="11" s="1"/>
  <c r="AE111" i="11"/>
  <c r="AF111" i="11"/>
  <c r="AJ111" i="11" s="1"/>
  <c r="E110" i="11"/>
  <c r="F110" i="11"/>
  <c r="G110" i="11"/>
  <c r="H110" i="11"/>
  <c r="L110" i="11"/>
  <c r="M110" i="11"/>
  <c r="N110" i="11"/>
  <c r="O110" i="11"/>
  <c r="S110" i="11"/>
  <c r="T110" i="11"/>
  <c r="U110" i="11"/>
  <c r="V110" i="11"/>
  <c r="Z110" i="11"/>
  <c r="AA110" i="11"/>
  <c r="AB110" i="11"/>
  <c r="AC110" i="11"/>
  <c r="AE110" i="11"/>
  <c r="AI110" i="11" s="1"/>
  <c r="AF110" i="11"/>
  <c r="AJ110" i="11" s="1"/>
  <c r="E109" i="11"/>
  <c r="F109" i="11"/>
  <c r="G109" i="11"/>
  <c r="H109" i="11" s="1"/>
  <c r="L109" i="11"/>
  <c r="M109" i="11"/>
  <c r="N109" i="11"/>
  <c r="O109" i="11" s="1"/>
  <c r="S109" i="11"/>
  <c r="T109" i="11"/>
  <c r="U109" i="11"/>
  <c r="V109" i="11" s="1"/>
  <c r="Z109" i="11"/>
  <c r="AA109" i="11"/>
  <c r="AB109" i="11"/>
  <c r="AC109" i="11" s="1"/>
  <c r="AE109" i="11"/>
  <c r="AI109" i="11" s="1"/>
  <c r="AF109" i="11"/>
  <c r="AJ109" i="11" s="1"/>
  <c r="E108" i="11"/>
  <c r="F108" i="11"/>
  <c r="G108" i="11"/>
  <c r="H108" i="11" s="1"/>
  <c r="L108" i="11"/>
  <c r="M108" i="11"/>
  <c r="N108" i="11"/>
  <c r="O108" i="11" s="1"/>
  <c r="S108" i="11"/>
  <c r="T108" i="11"/>
  <c r="U108" i="11"/>
  <c r="V108" i="11" s="1"/>
  <c r="Z108" i="11"/>
  <c r="AA108" i="11"/>
  <c r="AB108" i="11"/>
  <c r="AC108" i="11" s="1"/>
  <c r="AE108" i="11"/>
  <c r="AI108" i="11" s="1"/>
  <c r="AF108" i="11"/>
  <c r="AJ108" i="11"/>
  <c r="E107" i="11"/>
  <c r="F107" i="11"/>
  <c r="G107" i="11"/>
  <c r="H107" i="11"/>
  <c r="L107" i="11"/>
  <c r="M107" i="11"/>
  <c r="N107" i="11"/>
  <c r="O107" i="11" s="1"/>
  <c r="S107" i="11"/>
  <c r="T107" i="11"/>
  <c r="U107" i="11"/>
  <c r="V107" i="11"/>
  <c r="Z107" i="11"/>
  <c r="AA107" i="11"/>
  <c r="AB107" i="11"/>
  <c r="AC107" i="11"/>
  <c r="AE107" i="11"/>
  <c r="AI107" i="11" s="1"/>
  <c r="AF107" i="11"/>
  <c r="AJ107" i="11"/>
  <c r="E106" i="11"/>
  <c r="F106" i="11"/>
  <c r="G106" i="11"/>
  <c r="H106" i="11" s="1"/>
  <c r="L106" i="11"/>
  <c r="M106" i="11"/>
  <c r="N106" i="11"/>
  <c r="O106" i="11" s="1"/>
  <c r="S106" i="11"/>
  <c r="T106" i="11"/>
  <c r="U106" i="11"/>
  <c r="V106" i="11" s="1"/>
  <c r="Z106" i="11"/>
  <c r="AA106" i="11"/>
  <c r="AB106" i="11"/>
  <c r="AC106" i="11" s="1"/>
  <c r="AE106" i="11"/>
  <c r="AI106" i="11" s="1"/>
  <c r="AF106" i="11"/>
  <c r="AJ106" i="11" s="1"/>
  <c r="E105" i="11"/>
  <c r="F105" i="11"/>
  <c r="G105" i="11"/>
  <c r="H105" i="11" s="1"/>
  <c r="L105" i="11"/>
  <c r="M105" i="11"/>
  <c r="N105" i="11"/>
  <c r="O105" i="11" s="1"/>
  <c r="S105" i="11"/>
  <c r="T105" i="11"/>
  <c r="U105" i="11"/>
  <c r="V105" i="11" s="1"/>
  <c r="Z105" i="11"/>
  <c r="AA105" i="11"/>
  <c r="AB105" i="11"/>
  <c r="AC105" i="11" s="1"/>
  <c r="AE105" i="11"/>
  <c r="AI105" i="11" s="1"/>
  <c r="AF105" i="11"/>
  <c r="AJ105" i="11" s="1"/>
  <c r="E104" i="11"/>
  <c r="F104" i="11"/>
  <c r="G104" i="11"/>
  <c r="H104" i="11" s="1"/>
  <c r="L104" i="11"/>
  <c r="M104" i="11"/>
  <c r="N104" i="11"/>
  <c r="O104" i="11" s="1"/>
  <c r="S104" i="11"/>
  <c r="T104" i="11"/>
  <c r="U104" i="11"/>
  <c r="V104" i="11" s="1"/>
  <c r="Z104" i="11"/>
  <c r="AA104" i="11"/>
  <c r="AB104" i="11"/>
  <c r="AC104" i="11" s="1"/>
  <c r="AE104" i="11"/>
  <c r="AG104" i="11" s="1"/>
  <c r="AF104" i="11"/>
  <c r="AH104" i="11" s="1"/>
  <c r="E103" i="11"/>
  <c r="F103" i="11"/>
  <c r="G103" i="11"/>
  <c r="H103" i="11" s="1"/>
  <c r="L103" i="11"/>
  <c r="M103" i="11"/>
  <c r="N103" i="11"/>
  <c r="O103" i="11" s="1"/>
  <c r="S103" i="11"/>
  <c r="T103" i="11"/>
  <c r="U103" i="11"/>
  <c r="V103" i="11" s="1"/>
  <c r="Z103" i="11"/>
  <c r="AA103" i="11"/>
  <c r="AB103" i="11"/>
  <c r="AC103" i="11" s="1"/>
  <c r="AE103" i="11"/>
  <c r="AG103" i="11" s="1"/>
  <c r="AF103" i="11"/>
  <c r="AH103" i="11" s="1"/>
  <c r="E102" i="11"/>
  <c r="F102" i="11"/>
  <c r="G102" i="11"/>
  <c r="H102" i="11" s="1"/>
  <c r="L102" i="11"/>
  <c r="M102" i="11"/>
  <c r="N102" i="11"/>
  <c r="O102" i="11" s="1"/>
  <c r="S102" i="11"/>
  <c r="T102" i="11"/>
  <c r="U102" i="11"/>
  <c r="V102" i="11" s="1"/>
  <c r="Z102" i="11"/>
  <c r="AA102" i="11"/>
  <c r="AB102" i="11"/>
  <c r="AC102" i="11" s="1"/>
  <c r="AE102" i="11"/>
  <c r="AG102" i="11" s="1"/>
  <c r="AF102" i="11"/>
  <c r="AH102" i="11"/>
  <c r="E101" i="11"/>
  <c r="F101" i="11"/>
  <c r="G101" i="11"/>
  <c r="H101" i="11" s="1"/>
  <c r="L101" i="11"/>
  <c r="M101" i="11"/>
  <c r="N101" i="11"/>
  <c r="O101" i="11"/>
  <c r="S101" i="11"/>
  <c r="T101" i="11"/>
  <c r="U101" i="11"/>
  <c r="V101" i="11"/>
  <c r="Z101" i="11"/>
  <c r="AA101" i="11"/>
  <c r="AB101" i="11"/>
  <c r="AC101" i="11" s="1"/>
  <c r="AE101" i="11"/>
  <c r="AG101" i="11" s="1"/>
  <c r="AF101" i="11"/>
  <c r="AH101" i="11"/>
  <c r="E100" i="11"/>
  <c r="F100" i="11"/>
  <c r="G100" i="11"/>
  <c r="H100" i="11"/>
  <c r="L100" i="11"/>
  <c r="M100" i="11"/>
  <c r="N100" i="11"/>
  <c r="O100" i="11"/>
  <c r="S100" i="11"/>
  <c r="T100" i="11"/>
  <c r="U100" i="11"/>
  <c r="V100" i="11" s="1"/>
  <c r="Z100" i="11"/>
  <c r="AA100" i="11"/>
  <c r="AB100" i="11"/>
  <c r="AC100" i="11" s="1"/>
  <c r="AE100" i="11"/>
  <c r="AF100" i="11"/>
  <c r="AH100" i="11" s="1"/>
  <c r="E99" i="11"/>
  <c r="F99" i="11"/>
  <c r="G99" i="11"/>
  <c r="H99" i="11" s="1"/>
  <c r="L99" i="11"/>
  <c r="M99" i="11"/>
  <c r="N99" i="11"/>
  <c r="O99" i="11" s="1"/>
  <c r="S99" i="11"/>
  <c r="T99" i="11"/>
  <c r="U99" i="11"/>
  <c r="V99" i="11" s="1"/>
  <c r="Z99" i="11"/>
  <c r="AA99" i="11"/>
  <c r="AB99" i="11"/>
  <c r="AC99" i="11" s="1"/>
  <c r="AE99" i="11"/>
  <c r="AF99" i="11"/>
  <c r="AH99" i="11" s="1"/>
  <c r="AG99" i="11"/>
  <c r="E98" i="11"/>
  <c r="F98" i="11"/>
  <c r="G98" i="11"/>
  <c r="H98" i="11" s="1"/>
  <c r="L98" i="11"/>
  <c r="M98" i="11"/>
  <c r="N98" i="11"/>
  <c r="O98" i="11" s="1"/>
  <c r="S98" i="11"/>
  <c r="T98" i="11"/>
  <c r="U98" i="11"/>
  <c r="V98" i="11" s="1"/>
  <c r="Z98" i="11"/>
  <c r="AA98" i="11"/>
  <c r="AB98" i="11"/>
  <c r="AC98" i="11" s="1"/>
  <c r="AE98" i="11"/>
  <c r="AF98" i="11"/>
  <c r="AH98" i="11" s="1"/>
  <c r="E97" i="11"/>
  <c r="F97" i="11"/>
  <c r="G97" i="11"/>
  <c r="H97" i="11" s="1"/>
  <c r="L97" i="11"/>
  <c r="M97" i="11"/>
  <c r="N97" i="11"/>
  <c r="O97" i="11" s="1"/>
  <c r="S97" i="11"/>
  <c r="T97" i="11"/>
  <c r="U97" i="11"/>
  <c r="V97" i="11" s="1"/>
  <c r="Z97" i="11"/>
  <c r="AA97" i="11"/>
  <c r="AB97" i="11"/>
  <c r="AC97" i="11" s="1"/>
  <c r="AE97" i="11"/>
  <c r="AG97" i="11" s="1"/>
  <c r="AF97" i="11"/>
  <c r="AH97" i="11" s="1"/>
  <c r="E96" i="11"/>
  <c r="F96" i="11"/>
  <c r="G96" i="11"/>
  <c r="H96" i="11" s="1"/>
  <c r="L96" i="11"/>
  <c r="M96" i="11"/>
  <c r="N96" i="11"/>
  <c r="O96" i="11" s="1"/>
  <c r="S96" i="11"/>
  <c r="T96" i="11"/>
  <c r="U96" i="11"/>
  <c r="V96" i="11" s="1"/>
  <c r="Z96" i="11"/>
  <c r="AA96" i="11"/>
  <c r="AB96" i="11"/>
  <c r="AC96" i="11"/>
  <c r="AE96" i="11"/>
  <c r="C241" i="13" s="1"/>
  <c r="D241" i="13" s="1"/>
  <c r="E241" i="13" s="1"/>
  <c r="G241" i="13" s="1"/>
  <c r="AF96" i="11"/>
  <c r="AH96" i="11" s="1"/>
  <c r="E95" i="11"/>
  <c r="F95" i="11"/>
  <c r="G95" i="11"/>
  <c r="H95" i="11"/>
  <c r="L95" i="11"/>
  <c r="M95" i="11"/>
  <c r="N95" i="11"/>
  <c r="O95" i="11"/>
  <c r="S95" i="11"/>
  <c r="T95" i="11"/>
  <c r="U95" i="11"/>
  <c r="V95" i="11" s="1"/>
  <c r="Z95" i="11"/>
  <c r="AA95" i="11"/>
  <c r="AB95" i="11"/>
  <c r="AC95" i="11" s="1"/>
  <c r="AE95" i="11"/>
  <c r="AF95" i="11"/>
  <c r="AG95" i="11"/>
  <c r="AH95" i="11"/>
  <c r="E94" i="11"/>
  <c r="F94" i="11"/>
  <c r="G94" i="11"/>
  <c r="H94" i="11"/>
  <c r="L94" i="11"/>
  <c r="M94" i="11"/>
  <c r="N94" i="11"/>
  <c r="O94" i="11"/>
  <c r="S94" i="11"/>
  <c r="T94" i="11"/>
  <c r="U94" i="11"/>
  <c r="V94" i="11" s="1"/>
  <c r="Z94" i="11"/>
  <c r="AA94" i="11"/>
  <c r="AB94" i="11"/>
  <c r="AC94" i="11" s="1"/>
  <c r="AE94" i="11"/>
  <c r="AF94" i="11"/>
  <c r="AH94" i="11"/>
  <c r="E93" i="11"/>
  <c r="F93" i="11"/>
  <c r="G93" i="11"/>
  <c r="H93" i="11" s="1"/>
  <c r="L93" i="11"/>
  <c r="M93" i="11"/>
  <c r="N93" i="11"/>
  <c r="O93" i="11" s="1"/>
  <c r="S93" i="11"/>
  <c r="T93" i="11"/>
  <c r="U93" i="11"/>
  <c r="V93" i="11" s="1"/>
  <c r="Z93" i="11"/>
  <c r="AA93" i="11"/>
  <c r="AB93" i="11"/>
  <c r="AC93" i="11" s="1"/>
  <c r="AE93" i="11"/>
  <c r="AF93" i="11"/>
  <c r="AH93" i="11"/>
  <c r="E92" i="11"/>
  <c r="F92" i="11"/>
  <c r="G92" i="11"/>
  <c r="H92" i="11" s="1"/>
  <c r="L92" i="11"/>
  <c r="M92" i="11"/>
  <c r="N92" i="11"/>
  <c r="O92" i="11"/>
  <c r="S92" i="11"/>
  <c r="T92" i="11"/>
  <c r="U92" i="11"/>
  <c r="V92" i="11"/>
  <c r="Z92" i="11"/>
  <c r="AA92" i="11"/>
  <c r="AB92" i="11"/>
  <c r="AC92" i="11"/>
  <c r="AE92" i="11"/>
  <c r="C276" i="13" s="1"/>
  <c r="D276" i="13" s="1"/>
  <c r="E276" i="13" s="1"/>
  <c r="G276" i="13" s="1"/>
  <c r="AF92" i="11"/>
  <c r="AH92" i="11" s="1"/>
  <c r="E91" i="11"/>
  <c r="F91" i="11"/>
  <c r="G91" i="11"/>
  <c r="H91" i="11" s="1"/>
  <c r="L91" i="11"/>
  <c r="M91" i="11"/>
  <c r="N91" i="11"/>
  <c r="O91" i="11"/>
  <c r="S91" i="11"/>
  <c r="T91" i="11"/>
  <c r="U91" i="11"/>
  <c r="V91" i="11"/>
  <c r="Z91" i="11"/>
  <c r="AA91" i="11"/>
  <c r="AB91" i="11"/>
  <c r="AC91" i="11" s="1"/>
  <c r="AE91" i="11"/>
  <c r="AF91" i="11"/>
  <c r="AH91" i="11"/>
  <c r="E90" i="11"/>
  <c r="F90" i="11"/>
  <c r="G90" i="11"/>
  <c r="H90" i="11"/>
  <c r="L90" i="11"/>
  <c r="M90" i="11"/>
  <c r="N90" i="11"/>
  <c r="O90" i="11" s="1"/>
  <c r="S90" i="11"/>
  <c r="T90" i="11"/>
  <c r="U90" i="11"/>
  <c r="V90" i="11" s="1"/>
  <c r="Z90" i="11"/>
  <c r="AA90" i="11"/>
  <c r="AB90" i="11"/>
  <c r="AC90" i="11" s="1"/>
  <c r="AE90" i="11"/>
  <c r="AG90" i="11" s="1"/>
  <c r="AF90" i="11"/>
  <c r="AH90" i="11" s="1"/>
  <c r="E89" i="11"/>
  <c r="F89" i="11"/>
  <c r="G89" i="11"/>
  <c r="H89" i="11" s="1"/>
  <c r="L89" i="11"/>
  <c r="M89" i="11"/>
  <c r="N89" i="11"/>
  <c r="O89" i="11" s="1"/>
  <c r="S89" i="11"/>
  <c r="T89" i="11"/>
  <c r="U89" i="11"/>
  <c r="V89" i="11" s="1"/>
  <c r="Z89" i="11"/>
  <c r="AA89" i="11"/>
  <c r="AB89" i="11"/>
  <c r="AC89" i="11" s="1"/>
  <c r="AE89" i="11"/>
  <c r="AG89" i="11" s="1"/>
  <c r="AF89" i="11"/>
  <c r="AH89" i="11" s="1"/>
  <c r="E88" i="11"/>
  <c r="F88" i="11"/>
  <c r="G88" i="11"/>
  <c r="H88" i="11" s="1"/>
  <c r="L88" i="11"/>
  <c r="M88" i="11"/>
  <c r="N88" i="11"/>
  <c r="O88" i="11" s="1"/>
  <c r="S88" i="11"/>
  <c r="T88" i="11"/>
  <c r="U88" i="11"/>
  <c r="V88" i="11" s="1"/>
  <c r="Z88" i="11"/>
  <c r="AA88" i="11"/>
  <c r="AB88" i="11"/>
  <c r="AC88" i="11"/>
  <c r="AE88" i="11"/>
  <c r="AG88" i="11" s="1"/>
  <c r="AF88" i="11"/>
  <c r="AH88" i="11" s="1"/>
  <c r="E87" i="11"/>
  <c r="F87" i="11"/>
  <c r="G87" i="11"/>
  <c r="H87" i="11"/>
  <c r="L87" i="11"/>
  <c r="M87" i="11"/>
  <c r="N87" i="11"/>
  <c r="O87" i="11" s="1"/>
  <c r="S87" i="11"/>
  <c r="T87" i="11"/>
  <c r="U87" i="11"/>
  <c r="V87" i="11" s="1"/>
  <c r="Z87" i="11"/>
  <c r="AA87" i="11"/>
  <c r="AB87" i="11"/>
  <c r="AC87" i="11" s="1"/>
  <c r="AE87" i="11"/>
  <c r="AG87" i="11" s="1"/>
  <c r="AF87" i="11"/>
  <c r="AH87" i="11" s="1"/>
  <c r="E86" i="11"/>
  <c r="F86" i="11"/>
  <c r="G86" i="11"/>
  <c r="H86" i="11" s="1"/>
  <c r="L86" i="11"/>
  <c r="M86" i="11"/>
  <c r="N86" i="11"/>
  <c r="O86" i="11" s="1"/>
  <c r="S86" i="11"/>
  <c r="T86" i="11"/>
  <c r="U86" i="11"/>
  <c r="V86" i="11" s="1"/>
  <c r="Z86" i="11"/>
  <c r="AA86" i="11"/>
  <c r="AB86" i="11"/>
  <c r="AC86" i="11"/>
  <c r="AE86" i="11"/>
  <c r="AF86" i="11"/>
  <c r="AH86" i="11" s="1"/>
  <c r="AG86" i="11"/>
  <c r="E85" i="11"/>
  <c r="F85" i="11"/>
  <c r="G85" i="11"/>
  <c r="H85" i="11" s="1"/>
  <c r="L85" i="11"/>
  <c r="M85" i="11"/>
  <c r="N85" i="11"/>
  <c r="O85" i="11"/>
  <c r="S85" i="11"/>
  <c r="T85" i="11"/>
  <c r="U85" i="11"/>
  <c r="V85" i="11"/>
  <c r="Z85" i="11"/>
  <c r="AA85" i="11"/>
  <c r="AB85" i="11"/>
  <c r="AC85" i="11"/>
  <c r="AE85" i="11"/>
  <c r="AG85" i="11" s="1"/>
  <c r="AF85" i="11"/>
  <c r="AH85" i="11" s="1"/>
  <c r="E84" i="11"/>
  <c r="F84" i="11"/>
  <c r="G84" i="11"/>
  <c r="H84" i="11"/>
  <c r="L84" i="11"/>
  <c r="M84" i="11"/>
  <c r="N84" i="11"/>
  <c r="O84" i="11" s="1"/>
  <c r="S84" i="11"/>
  <c r="T84" i="11"/>
  <c r="U84" i="11"/>
  <c r="V84" i="11" s="1"/>
  <c r="Z84" i="11"/>
  <c r="AA84" i="11"/>
  <c r="AB84" i="11"/>
  <c r="AC84" i="11" s="1"/>
  <c r="AE84" i="11"/>
  <c r="AI84" i="11" s="1"/>
  <c r="AF84" i="11"/>
  <c r="AJ84" i="11" s="1"/>
  <c r="AJ115" i="11" s="1"/>
  <c r="E83" i="11"/>
  <c r="F83" i="11"/>
  <c r="G83" i="11"/>
  <c r="H83" i="11" s="1"/>
  <c r="L83" i="11"/>
  <c r="M83" i="11"/>
  <c r="N83" i="11"/>
  <c r="O83" i="11"/>
  <c r="S83" i="11"/>
  <c r="T83" i="11"/>
  <c r="U83" i="11"/>
  <c r="V83" i="11"/>
  <c r="Z83" i="11"/>
  <c r="AA83" i="11"/>
  <c r="AB83" i="11"/>
  <c r="AC83" i="11" s="1"/>
  <c r="AE83" i="11"/>
  <c r="AG83" i="11" s="1"/>
  <c r="AF83" i="11"/>
  <c r="AH83" i="11" s="1"/>
  <c r="E82" i="11"/>
  <c r="F82" i="11"/>
  <c r="G82" i="11"/>
  <c r="H82" i="11" s="1"/>
  <c r="L82" i="11"/>
  <c r="M82" i="11"/>
  <c r="N82" i="11"/>
  <c r="O82" i="11" s="1"/>
  <c r="S82" i="11"/>
  <c r="T82" i="11"/>
  <c r="U82" i="11"/>
  <c r="V82" i="11"/>
  <c r="Z82" i="11"/>
  <c r="AA82" i="11"/>
  <c r="AB82" i="11"/>
  <c r="AC82" i="11"/>
  <c r="AE82" i="11"/>
  <c r="AG82" i="11" s="1"/>
  <c r="AF82" i="11"/>
  <c r="AH82" i="11" s="1"/>
  <c r="E81" i="11"/>
  <c r="F81" i="11"/>
  <c r="G81" i="11"/>
  <c r="H81" i="11" s="1"/>
  <c r="L81" i="11"/>
  <c r="M81" i="11"/>
  <c r="N81" i="11"/>
  <c r="O81" i="11" s="1"/>
  <c r="S81" i="11"/>
  <c r="T81" i="11"/>
  <c r="U81" i="11"/>
  <c r="V81" i="11" s="1"/>
  <c r="Z81" i="11"/>
  <c r="AA81" i="11"/>
  <c r="AB81" i="11"/>
  <c r="AC81" i="11" s="1"/>
  <c r="AE81" i="11"/>
  <c r="AG81" i="11" s="1"/>
  <c r="AF81" i="11"/>
  <c r="AH81" i="11" s="1"/>
  <c r="E80" i="11"/>
  <c r="F80" i="11"/>
  <c r="G80" i="11"/>
  <c r="H80" i="11" s="1"/>
  <c r="L80" i="11"/>
  <c r="M80" i="11"/>
  <c r="N80" i="11"/>
  <c r="O80" i="11" s="1"/>
  <c r="S80" i="11"/>
  <c r="T80" i="11"/>
  <c r="U80" i="11"/>
  <c r="V80" i="11" s="1"/>
  <c r="Z80" i="11"/>
  <c r="AA80" i="11"/>
  <c r="AB80" i="11"/>
  <c r="AC80" i="11"/>
  <c r="AE80" i="11"/>
  <c r="AF80" i="11"/>
  <c r="AG80" i="11"/>
  <c r="AH80" i="11"/>
  <c r="E79" i="11"/>
  <c r="F79" i="11"/>
  <c r="G79" i="11"/>
  <c r="H79" i="11"/>
  <c r="L79" i="11"/>
  <c r="M79" i="11"/>
  <c r="N79" i="11"/>
  <c r="O79" i="11"/>
  <c r="S79" i="11"/>
  <c r="T79" i="11"/>
  <c r="U79" i="11"/>
  <c r="V79" i="11" s="1"/>
  <c r="Z79" i="11"/>
  <c r="AA79" i="11"/>
  <c r="AB79" i="11"/>
  <c r="AC79" i="11" s="1"/>
  <c r="AE79" i="11"/>
  <c r="AG79" i="11" s="1"/>
  <c r="AF79" i="11"/>
  <c r="AH79" i="11" s="1"/>
  <c r="E78" i="11"/>
  <c r="F78" i="11"/>
  <c r="G78" i="11"/>
  <c r="H78" i="11" s="1"/>
  <c r="L78" i="11"/>
  <c r="M78" i="11"/>
  <c r="N78" i="11"/>
  <c r="O78" i="11" s="1"/>
  <c r="S78" i="11"/>
  <c r="T78" i="11"/>
  <c r="U78" i="11"/>
  <c r="V78" i="11"/>
  <c r="Z78" i="11"/>
  <c r="AA78" i="11"/>
  <c r="AB78" i="11"/>
  <c r="AC78" i="11"/>
  <c r="AE78" i="11"/>
  <c r="AG78" i="11" s="1"/>
  <c r="AF78" i="11"/>
  <c r="AH78" i="11" s="1"/>
  <c r="E77" i="11"/>
  <c r="F77" i="11"/>
  <c r="G77" i="11"/>
  <c r="H77" i="11" s="1"/>
  <c r="L77" i="11"/>
  <c r="M77" i="11"/>
  <c r="N77" i="11"/>
  <c r="O77" i="11" s="1"/>
  <c r="S77" i="11"/>
  <c r="T77" i="11"/>
  <c r="U77" i="11"/>
  <c r="V77" i="11"/>
  <c r="Z77" i="11"/>
  <c r="AA77" i="11"/>
  <c r="AB77" i="11"/>
  <c r="AC77" i="11"/>
  <c r="AE77" i="11"/>
  <c r="AG77" i="11" s="1"/>
  <c r="AF77" i="11"/>
  <c r="AH77" i="11" s="1"/>
  <c r="E76" i="11"/>
  <c r="F76" i="11"/>
  <c r="G76" i="11"/>
  <c r="H76" i="11" s="1"/>
  <c r="L76" i="11"/>
  <c r="M76" i="11"/>
  <c r="N76" i="11"/>
  <c r="O76" i="11" s="1"/>
  <c r="S76" i="11"/>
  <c r="T76" i="11"/>
  <c r="U76" i="11"/>
  <c r="V76" i="11"/>
  <c r="Z76" i="11"/>
  <c r="AA76" i="11"/>
  <c r="AB76" i="11"/>
  <c r="AC76" i="11" s="1"/>
  <c r="AE76" i="11"/>
  <c r="AG76" i="11" s="1"/>
  <c r="AF76" i="11"/>
  <c r="AH76" i="11" s="1"/>
  <c r="E75" i="11"/>
  <c r="F75" i="11"/>
  <c r="G75" i="11"/>
  <c r="H75" i="11" s="1"/>
  <c r="L75" i="11"/>
  <c r="M75" i="11"/>
  <c r="N75" i="11"/>
  <c r="O75" i="11" s="1"/>
  <c r="S75" i="11"/>
  <c r="T75" i="11"/>
  <c r="U75" i="11"/>
  <c r="V75" i="11" s="1"/>
  <c r="Z75" i="11"/>
  <c r="AA75" i="11"/>
  <c r="AB75" i="11"/>
  <c r="AC75" i="11"/>
  <c r="AE75" i="11"/>
  <c r="AG75" i="11" s="1"/>
  <c r="AF75" i="11"/>
  <c r="AH75" i="11" s="1"/>
  <c r="E74" i="11"/>
  <c r="F74" i="11"/>
  <c r="G74" i="11"/>
  <c r="H74" i="11" s="1"/>
  <c r="L74" i="11"/>
  <c r="M74" i="11"/>
  <c r="N74" i="11"/>
  <c r="O74" i="11" s="1"/>
  <c r="S74" i="11"/>
  <c r="T74" i="11"/>
  <c r="U74" i="11"/>
  <c r="V74" i="11"/>
  <c r="Z74" i="11"/>
  <c r="AA74" i="11"/>
  <c r="AB74" i="11"/>
  <c r="AC74" i="11" s="1"/>
  <c r="AE74" i="11"/>
  <c r="AG74" i="11" s="1"/>
  <c r="AF74" i="11"/>
  <c r="AH74" i="11" s="1"/>
  <c r="E73" i="11"/>
  <c r="F73" i="11"/>
  <c r="G73" i="11"/>
  <c r="H73" i="11" s="1"/>
  <c r="L73" i="11"/>
  <c r="M73" i="11"/>
  <c r="N73" i="11"/>
  <c r="O73" i="11" s="1"/>
  <c r="S73" i="11"/>
  <c r="T73" i="11"/>
  <c r="U73" i="11"/>
  <c r="V73" i="11" s="1"/>
  <c r="Z73" i="11"/>
  <c r="AA73" i="11"/>
  <c r="AB73" i="11"/>
  <c r="AC73" i="11" s="1"/>
  <c r="AE73" i="11"/>
  <c r="AG73" i="11" s="1"/>
  <c r="AF73" i="11"/>
  <c r="AH73" i="11" s="1"/>
  <c r="E72" i="11"/>
  <c r="F72" i="11"/>
  <c r="G72" i="11"/>
  <c r="H72" i="11"/>
  <c r="L72" i="11"/>
  <c r="M72" i="11"/>
  <c r="N72" i="11"/>
  <c r="O72" i="11"/>
  <c r="S72" i="11"/>
  <c r="T72" i="11"/>
  <c r="U72" i="11"/>
  <c r="V72" i="11"/>
  <c r="Z72" i="11"/>
  <c r="AA72" i="11"/>
  <c r="AB72" i="11"/>
  <c r="AC72" i="11"/>
  <c r="AE72" i="11"/>
  <c r="AG72" i="11" s="1"/>
  <c r="AF72" i="11"/>
  <c r="AH72" i="11" s="1"/>
  <c r="E71" i="11"/>
  <c r="F71" i="11"/>
  <c r="G71" i="11"/>
  <c r="H71" i="11"/>
  <c r="L71" i="11"/>
  <c r="M71" i="11"/>
  <c r="N71" i="11"/>
  <c r="O71" i="11"/>
  <c r="S71" i="11"/>
  <c r="T71" i="11"/>
  <c r="U71" i="11"/>
  <c r="V71" i="11"/>
  <c r="Z71" i="11"/>
  <c r="AA71" i="11"/>
  <c r="AB71" i="11"/>
  <c r="AC71" i="11"/>
  <c r="AE71" i="11"/>
  <c r="AF71" i="11"/>
  <c r="AG71" i="11"/>
  <c r="AH71" i="11"/>
  <c r="C67" i="11"/>
  <c r="D67" i="11"/>
  <c r="J67" i="11"/>
  <c r="K67" i="11"/>
  <c r="Q67" i="11"/>
  <c r="R67" i="11"/>
  <c r="X67" i="11"/>
  <c r="Y67" i="11"/>
  <c r="AF67" i="11"/>
  <c r="AG67" i="11"/>
  <c r="AH67" i="11"/>
  <c r="AJ67" i="11"/>
  <c r="E65" i="11"/>
  <c r="F65" i="11"/>
  <c r="G65" i="11"/>
  <c r="H65" i="11"/>
  <c r="L65" i="11"/>
  <c r="M65" i="11"/>
  <c r="N65" i="11"/>
  <c r="O65" i="11" s="1"/>
  <c r="S65" i="11"/>
  <c r="T65" i="11"/>
  <c r="U65" i="11"/>
  <c r="V65" i="11" s="1"/>
  <c r="Z65" i="11"/>
  <c r="AA65" i="11"/>
  <c r="AB65" i="11"/>
  <c r="AC65" i="11" s="1"/>
  <c r="AE65" i="11"/>
  <c r="AF65" i="11"/>
  <c r="AJ65" i="11" s="1"/>
  <c r="C63" i="11"/>
  <c r="C101" i="15" s="1"/>
  <c r="D63" i="11"/>
  <c r="J63" i="11"/>
  <c r="C102" i="15" s="1"/>
  <c r="K63" i="11"/>
  <c r="Q63" i="11"/>
  <c r="C104" i="15" s="1"/>
  <c r="R63" i="11"/>
  <c r="X63" i="11"/>
  <c r="C103" i="15" s="1"/>
  <c r="Y63" i="11"/>
  <c r="AE63" i="11"/>
  <c r="AG63" i="11"/>
  <c r="AH63" i="11"/>
  <c r="E61" i="11"/>
  <c r="F61" i="11"/>
  <c r="G61" i="11"/>
  <c r="H61" i="11" s="1"/>
  <c r="L61" i="11"/>
  <c r="M61" i="11"/>
  <c r="N61" i="11"/>
  <c r="O61" i="11" s="1"/>
  <c r="S61" i="11"/>
  <c r="T61" i="11"/>
  <c r="U61" i="11"/>
  <c r="V61" i="11"/>
  <c r="Z61" i="11"/>
  <c r="AA61" i="11"/>
  <c r="AB61" i="11"/>
  <c r="AC61" i="11"/>
  <c r="AE61" i="11"/>
  <c r="AI61" i="11" s="1"/>
  <c r="AI63" i="11" s="1"/>
  <c r="AF61" i="11"/>
  <c r="C57" i="11"/>
  <c r="D57" i="11"/>
  <c r="J57" i="11"/>
  <c r="K57" i="11"/>
  <c r="Q57" i="11"/>
  <c r="R57" i="11"/>
  <c r="X57" i="11"/>
  <c r="Y57" i="11"/>
  <c r="AE57" i="11"/>
  <c r="AG57" i="11"/>
  <c r="AI57" i="11"/>
  <c r="AJ57" i="11"/>
  <c r="E55" i="11"/>
  <c r="F55" i="11"/>
  <c r="G55" i="11"/>
  <c r="H55" i="11" s="1"/>
  <c r="L55" i="11"/>
  <c r="M55" i="11"/>
  <c r="N55" i="11"/>
  <c r="O55" i="11" s="1"/>
  <c r="S55" i="11"/>
  <c r="T55" i="11"/>
  <c r="U55" i="11"/>
  <c r="V55" i="11" s="1"/>
  <c r="Z55" i="11"/>
  <c r="AA55" i="11"/>
  <c r="AB55" i="11"/>
  <c r="AC55" i="11"/>
  <c r="AE55" i="11"/>
  <c r="AG55" i="11" s="1"/>
  <c r="AF55" i="11"/>
  <c r="AH55" i="11" s="1"/>
  <c r="E54" i="11"/>
  <c r="F54" i="11"/>
  <c r="G54" i="11"/>
  <c r="H54" i="11" s="1"/>
  <c r="L54" i="11"/>
  <c r="M54" i="11"/>
  <c r="N54" i="11"/>
  <c r="O54" i="11" s="1"/>
  <c r="S54" i="11"/>
  <c r="T54" i="11"/>
  <c r="U54" i="11"/>
  <c r="V54" i="11"/>
  <c r="Z54" i="11"/>
  <c r="AA54" i="11"/>
  <c r="AB54" i="11"/>
  <c r="AC54" i="11"/>
  <c r="AE54" i="11"/>
  <c r="AF54" i="11"/>
  <c r="AG54" i="11"/>
  <c r="AH54" i="11"/>
  <c r="E53" i="11"/>
  <c r="F53" i="11"/>
  <c r="G53" i="11"/>
  <c r="H53" i="11"/>
  <c r="L53" i="11"/>
  <c r="M53" i="11"/>
  <c r="N53" i="11"/>
  <c r="O53" i="11"/>
  <c r="S53" i="11"/>
  <c r="T53" i="11"/>
  <c r="U53" i="11"/>
  <c r="V53" i="11"/>
  <c r="Z53" i="11"/>
  <c r="AA53" i="11"/>
  <c r="AB53" i="11"/>
  <c r="AC53" i="11"/>
  <c r="AE53" i="11"/>
  <c r="AF53" i="11"/>
  <c r="AF57" i="11" s="1"/>
  <c r="AG53" i="11"/>
  <c r="AH53" i="11"/>
  <c r="AH57" i="11" s="1"/>
  <c r="J49" i="11"/>
  <c r="K49" i="11"/>
  <c r="X49" i="11"/>
  <c r="Y49" i="11"/>
  <c r="E47" i="11"/>
  <c r="F47" i="11"/>
  <c r="G47" i="11"/>
  <c r="H47" i="11" s="1"/>
  <c r="L47" i="11"/>
  <c r="M47" i="11"/>
  <c r="N47" i="11"/>
  <c r="O47" i="11" s="1"/>
  <c r="S47" i="11"/>
  <c r="T47" i="11"/>
  <c r="U47" i="11"/>
  <c r="V47" i="11"/>
  <c r="Z47" i="11"/>
  <c r="AA47" i="11"/>
  <c r="AB47" i="11"/>
  <c r="AC47" i="11"/>
  <c r="AE47" i="11"/>
  <c r="AG47" i="11" s="1"/>
  <c r="AF47" i="11"/>
  <c r="C46" i="11"/>
  <c r="C49" i="11" s="1"/>
  <c r="D46" i="11"/>
  <c r="D49" i="11" s="1"/>
  <c r="J46" i="11"/>
  <c r="K46" i="11"/>
  <c r="Q46" i="11"/>
  <c r="Q49" i="11" s="1"/>
  <c r="R46" i="11"/>
  <c r="R49" i="11" s="1"/>
  <c r="X46" i="11"/>
  <c r="Y46" i="11"/>
  <c r="AF46" i="11"/>
  <c r="AF49" i="11" s="1"/>
  <c r="AI46" i="11"/>
  <c r="AI49" i="11" s="1"/>
  <c r="AJ46" i="11"/>
  <c r="AJ49" i="11" s="1"/>
  <c r="E45" i="11"/>
  <c r="F45" i="11"/>
  <c r="G45" i="11"/>
  <c r="H45" i="11"/>
  <c r="L45" i="11"/>
  <c r="M45" i="11"/>
  <c r="N45" i="11"/>
  <c r="O45" i="11" s="1"/>
  <c r="S45" i="11"/>
  <c r="T45" i="11"/>
  <c r="U45" i="11"/>
  <c r="V45" i="11" s="1"/>
  <c r="Z45" i="11"/>
  <c r="AA45" i="11"/>
  <c r="AB45" i="11"/>
  <c r="AC45" i="11" s="1"/>
  <c r="AE45" i="11"/>
  <c r="AG45" i="11" s="1"/>
  <c r="AF45" i="11"/>
  <c r="AH45" i="11" s="1"/>
  <c r="E44" i="11"/>
  <c r="F44" i="11"/>
  <c r="G44" i="11"/>
  <c r="H44" i="11"/>
  <c r="L44" i="11"/>
  <c r="M44" i="11"/>
  <c r="N44" i="11"/>
  <c r="O44" i="11"/>
  <c r="S44" i="11"/>
  <c r="T44" i="11"/>
  <c r="U44" i="11"/>
  <c r="V44" i="11"/>
  <c r="Z44" i="11"/>
  <c r="AA44" i="11"/>
  <c r="AB44" i="11"/>
  <c r="AC44" i="11"/>
  <c r="AE44" i="11"/>
  <c r="AG44" i="11" s="1"/>
  <c r="AF44" i="11"/>
  <c r="AH44" i="11" s="1"/>
  <c r="E43" i="11"/>
  <c r="F43" i="11"/>
  <c r="G43" i="11"/>
  <c r="H43" i="11" s="1"/>
  <c r="L43" i="11"/>
  <c r="M43" i="11"/>
  <c r="N43" i="11"/>
  <c r="O43" i="11" s="1"/>
  <c r="S43" i="11"/>
  <c r="T43" i="11"/>
  <c r="U43" i="11"/>
  <c r="V43" i="11"/>
  <c r="Z43" i="11"/>
  <c r="AA43" i="11"/>
  <c r="AB43" i="11"/>
  <c r="AC43" i="11" s="1"/>
  <c r="AE43" i="11"/>
  <c r="AF43" i="11"/>
  <c r="AH43" i="11" s="1"/>
  <c r="C39" i="11"/>
  <c r="D39" i="11"/>
  <c r="J39" i="11"/>
  <c r="K39" i="11"/>
  <c r="Q39" i="11"/>
  <c r="R39" i="11"/>
  <c r="X39" i="11"/>
  <c r="Y39" i="11"/>
  <c r="AI39" i="11"/>
  <c r="AJ39" i="11"/>
  <c r="E36" i="11"/>
  <c r="F36" i="11"/>
  <c r="G36" i="11"/>
  <c r="H36" i="11" s="1"/>
  <c r="L36" i="11"/>
  <c r="M36" i="11"/>
  <c r="N36" i="11"/>
  <c r="O36" i="11" s="1"/>
  <c r="S36" i="11"/>
  <c r="T36" i="11"/>
  <c r="U36" i="11"/>
  <c r="V36" i="11" s="1"/>
  <c r="Z36" i="11"/>
  <c r="AA36" i="11"/>
  <c r="AB36" i="11"/>
  <c r="AC36" i="11" s="1"/>
  <c r="AE36" i="11"/>
  <c r="AG36" i="11" s="1"/>
  <c r="AF36" i="11"/>
  <c r="AH36" i="11" s="1"/>
  <c r="E35" i="11"/>
  <c r="F35" i="11"/>
  <c r="G35" i="11"/>
  <c r="H35" i="11" s="1"/>
  <c r="L35" i="11"/>
  <c r="M35" i="11"/>
  <c r="N35" i="11"/>
  <c r="O35" i="11" s="1"/>
  <c r="S35" i="11"/>
  <c r="T35" i="11"/>
  <c r="U35" i="11"/>
  <c r="V35" i="11" s="1"/>
  <c r="Z35" i="11"/>
  <c r="AA35" i="11"/>
  <c r="AB35" i="11"/>
  <c r="AC35" i="11" s="1"/>
  <c r="AE35" i="11"/>
  <c r="AG35" i="11" s="1"/>
  <c r="AF35" i="11"/>
  <c r="AH35" i="11" s="1"/>
  <c r="E34" i="11"/>
  <c r="F34" i="11"/>
  <c r="G34" i="11"/>
  <c r="H34" i="11"/>
  <c r="L34" i="11"/>
  <c r="M34" i="11"/>
  <c r="N34" i="11"/>
  <c r="O34" i="11" s="1"/>
  <c r="S34" i="11"/>
  <c r="T34" i="11"/>
  <c r="U34" i="11"/>
  <c r="V34" i="11" s="1"/>
  <c r="Z34" i="11"/>
  <c r="AA34" i="11"/>
  <c r="AB34" i="11"/>
  <c r="AC34" i="11" s="1"/>
  <c r="AE34" i="11"/>
  <c r="AF34" i="11"/>
  <c r="AH34" i="11" s="1"/>
  <c r="E33" i="11"/>
  <c r="F33" i="11"/>
  <c r="G33" i="11"/>
  <c r="H33" i="11" s="1"/>
  <c r="L33" i="11"/>
  <c r="M33" i="11"/>
  <c r="N33" i="11"/>
  <c r="O33" i="11" s="1"/>
  <c r="S33" i="11"/>
  <c r="T33" i="11"/>
  <c r="U33" i="11"/>
  <c r="V33" i="11" s="1"/>
  <c r="Z33" i="11"/>
  <c r="AA33" i="11"/>
  <c r="AB33" i="11"/>
  <c r="AC33" i="11" s="1"/>
  <c r="AE33" i="11"/>
  <c r="AF33" i="11"/>
  <c r="AH33" i="11" s="1"/>
  <c r="AH39" i="11" s="1"/>
  <c r="C29" i="11"/>
  <c r="D29" i="11"/>
  <c r="J29" i="11"/>
  <c r="K29" i="11"/>
  <c r="Q29" i="11"/>
  <c r="R29" i="11"/>
  <c r="X29" i="11"/>
  <c r="Y29" i="11"/>
  <c r="AI29" i="11"/>
  <c r="C86" i="15" s="1"/>
  <c r="AJ29" i="11"/>
  <c r="E26" i="11"/>
  <c r="F26" i="11"/>
  <c r="G26" i="11"/>
  <c r="H26" i="11" s="1"/>
  <c r="L26" i="11"/>
  <c r="M26" i="11"/>
  <c r="N26" i="11"/>
  <c r="O26" i="11"/>
  <c r="S26" i="11"/>
  <c r="T26" i="11"/>
  <c r="U26" i="11"/>
  <c r="V26" i="11" s="1"/>
  <c r="Z26" i="11"/>
  <c r="AA26" i="11"/>
  <c r="AB26" i="11"/>
  <c r="AC26" i="11" s="1"/>
  <c r="AE26" i="11"/>
  <c r="AG26" i="11" s="1"/>
  <c r="AF26" i="11"/>
  <c r="AH26" i="11" s="1"/>
  <c r="E25" i="11"/>
  <c r="F25" i="11"/>
  <c r="G25" i="11"/>
  <c r="H25" i="11" s="1"/>
  <c r="L25" i="11"/>
  <c r="M25" i="11"/>
  <c r="N25" i="11"/>
  <c r="O25" i="11"/>
  <c r="S25" i="11"/>
  <c r="T25" i="11"/>
  <c r="U25" i="11"/>
  <c r="V25" i="11" s="1"/>
  <c r="Z25" i="11"/>
  <c r="AA25" i="11"/>
  <c r="AB25" i="11"/>
  <c r="AC25" i="11" s="1"/>
  <c r="AE25" i="11"/>
  <c r="AG25" i="11" s="1"/>
  <c r="AG29" i="11" s="1"/>
  <c r="AF25" i="11"/>
  <c r="AH25" i="11" s="1"/>
  <c r="E24" i="11"/>
  <c r="F24" i="11"/>
  <c r="G24" i="11"/>
  <c r="H24" i="11" s="1"/>
  <c r="L24" i="11"/>
  <c r="M24" i="11"/>
  <c r="N24" i="11"/>
  <c r="O24" i="11"/>
  <c r="S24" i="11"/>
  <c r="T24" i="11"/>
  <c r="U24" i="11"/>
  <c r="V24" i="11" s="1"/>
  <c r="Z24" i="11"/>
  <c r="AA24" i="11"/>
  <c r="AB24" i="11"/>
  <c r="AC24" i="11" s="1"/>
  <c r="AE24" i="11"/>
  <c r="AG24" i="11" s="1"/>
  <c r="AF24" i="11"/>
  <c r="AH24" i="11" s="1"/>
  <c r="E23" i="11"/>
  <c r="F23" i="11"/>
  <c r="G23" i="11"/>
  <c r="H23" i="11" s="1"/>
  <c r="L23" i="11"/>
  <c r="M23" i="11"/>
  <c r="N23" i="11"/>
  <c r="O23" i="11" s="1"/>
  <c r="S23" i="11"/>
  <c r="T23" i="11"/>
  <c r="U23" i="11"/>
  <c r="V23" i="11" s="1"/>
  <c r="Z23" i="11"/>
  <c r="AA23" i="11"/>
  <c r="AB23" i="11"/>
  <c r="AC23" i="11" s="1"/>
  <c r="AE23" i="11"/>
  <c r="AG23" i="11" s="1"/>
  <c r="AF23" i="11"/>
  <c r="C19" i="11"/>
  <c r="D19" i="11"/>
  <c r="J19" i="11"/>
  <c r="K19" i="11"/>
  <c r="Q19" i="11"/>
  <c r="R19" i="11"/>
  <c r="X19" i="11"/>
  <c r="Y19" i="11"/>
  <c r="E16" i="11"/>
  <c r="F16" i="11"/>
  <c r="G16" i="11"/>
  <c r="H16" i="11" s="1"/>
  <c r="L16" i="11"/>
  <c r="M16" i="11"/>
  <c r="N16" i="11"/>
  <c r="O16" i="11" s="1"/>
  <c r="S16" i="11"/>
  <c r="T16" i="11"/>
  <c r="U16" i="11"/>
  <c r="V16" i="11" s="1"/>
  <c r="Z16" i="11"/>
  <c r="AA16" i="11"/>
  <c r="AB16" i="11"/>
  <c r="AC16" i="11" s="1"/>
  <c r="AE16" i="11"/>
  <c r="AI16" i="11" s="1"/>
  <c r="AF16" i="11"/>
  <c r="AJ16" i="11" s="1"/>
  <c r="E15" i="11"/>
  <c r="F15" i="11"/>
  <c r="G15" i="11"/>
  <c r="H15" i="11" s="1"/>
  <c r="L15" i="11"/>
  <c r="M15" i="11"/>
  <c r="N15" i="11"/>
  <c r="O15" i="11" s="1"/>
  <c r="S15" i="11"/>
  <c r="T15" i="11"/>
  <c r="U15" i="11"/>
  <c r="V15" i="11" s="1"/>
  <c r="Z15" i="11"/>
  <c r="AA15" i="11"/>
  <c r="AB15" i="11"/>
  <c r="AC15" i="11" s="1"/>
  <c r="AE15" i="11"/>
  <c r="AF15" i="11"/>
  <c r="AJ15" i="11" s="1"/>
  <c r="AJ19" i="11" s="1"/>
  <c r="E14" i="11"/>
  <c r="F14" i="11"/>
  <c r="G14" i="11"/>
  <c r="H14" i="11" s="1"/>
  <c r="L14" i="11"/>
  <c r="M14" i="11"/>
  <c r="N14" i="11"/>
  <c r="O14" i="11" s="1"/>
  <c r="S14" i="11"/>
  <c r="T14" i="11"/>
  <c r="U14" i="11"/>
  <c r="V14" i="11" s="1"/>
  <c r="Z14" i="11"/>
  <c r="AA14" i="11"/>
  <c r="AB14" i="11"/>
  <c r="AC14" i="11" s="1"/>
  <c r="AE14" i="11"/>
  <c r="AG14" i="11" s="1"/>
  <c r="AF14" i="11"/>
  <c r="AH14" i="11" s="1"/>
  <c r="E13" i="11"/>
  <c r="F13" i="11"/>
  <c r="G13" i="11"/>
  <c r="H13" i="11" s="1"/>
  <c r="L13" i="11"/>
  <c r="M13" i="11"/>
  <c r="N13" i="11"/>
  <c r="O13" i="11" s="1"/>
  <c r="S13" i="11"/>
  <c r="T13" i="11"/>
  <c r="U13" i="11"/>
  <c r="V13" i="11" s="1"/>
  <c r="Z13" i="11"/>
  <c r="AA13" i="11"/>
  <c r="AB13" i="11"/>
  <c r="AC13" i="11" s="1"/>
  <c r="AE13" i="11"/>
  <c r="AG13" i="11" s="1"/>
  <c r="AF13" i="11"/>
  <c r="AH13" i="11" s="1"/>
  <c r="E12" i="11"/>
  <c r="F12" i="11"/>
  <c r="G12" i="11"/>
  <c r="H12" i="11" s="1"/>
  <c r="L12" i="11"/>
  <c r="M12" i="11"/>
  <c r="N12" i="11"/>
  <c r="O12" i="11" s="1"/>
  <c r="S12" i="11"/>
  <c r="T12" i="11"/>
  <c r="U12" i="11"/>
  <c r="V12" i="11" s="1"/>
  <c r="Z12" i="11"/>
  <c r="AA12" i="11"/>
  <c r="AB12" i="11"/>
  <c r="AC12" i="11" s="1"/>
  <c r="AE12" i="11"/>
  <c r="AG12" i="11" s="1"/>
  <c r="AF12" i="11"/>
  <c r="AH12" i="11" s="1"/>
  <c r="E11" i="11"/>
  <c r="F11" i="11"/>
  <c r="G11" i="11"/>
  <c r="H11" i="11" s="1"/>
  <c r="L11" i="11"/>
  <c r="M11" i="11"/>
  <c r="N11" i="11"/>
  <c r="O11" i="11" s="1"/>
  <c r="S11" i="11"/>
  <c r="T11" i="11"/>
  <c r="U11" i="11"/>
  <c r="V11" i="11" s="1"/>
  <c r="Z11" i="11"/>
  <c r="AA11" i="11"/>
  <c r="AB11" i="11"/>
  <c r="AC11" i="11" s="1"/>
  <c r="AE11" i="11"/>
  <c r="AG11" i="11" s="1"/>
  <c r="AF11" i="11"/>
  <c r="AH11" i="11" s="1"/>
  <c r="E10" i="11"/>
  <c r="F10" i="11"/>
  <c r="G10" i="11"/>
  <c r="H10" i="11" s="1"/>
  <c r="L10" i="11"/>
  <c r="M10" i="11"/>
  <c r="N10" i="11"/>
  <c r="O10" i="11" s="1"/>
  <c r="S10" i="11"/>
  <c r="T10" i="11"/>
  <c r="U10" i="11"/>
  <c r="V10" i="11" s="1"/>
  <c r="Z10" i="11"/>
  <c r="AA10" i="11"/>
  <c r="AB10" i="11"/>
  <c r="AC10" i="11" s="1"/>
  <c r="AE10" i="11"/>
  <c r="AG10" i="11" s="1"/>
  <c r="AF10" i="11"/>
  <c r="AH10" i="11" s="1"/>
  <c r="E9" i="11"/>
  <c r="F9" i="11"/>
  <c r="G9" i="11"/>
  <c r="H9" i="11" s="1"/>
  <c r="L9" i="11"/>
  <c r="M9" i="11"/>
  <c r="N9" i="11"/>
  <c r="O9" i="11" s="1"/>
  <c r="S9" i="11"/>
  <c r="T9" i="11"/>
  <c r="U9" i="11"/>
  <c r="V9" i="11" s="1"/>
  <c r="Z9" i="11"/>
  <c r="AA9" i="11"/>
  <c r="AB9" i="11"/>
  <c r="AC9" i="11" s="1"/>
  <c r="AE9" i="11"/>
  <c r="AG9" i="11" s="1"/>
  <c r="AG19" i="11" s="1"/>
  <c r="AF9" i="11"/>
  <c r="AH9" i="11" s="1"/>
  <c r="E8" i="11"/>
  <c r="F8" i="11"/>
  <c r="G8" i="11"/>
  <c r="H8" i="11" s="1"/>
  <c r="L8" i="11"/>
  <c r="M8" i="11"/>
  <c r="N8" i="11"/>
  <c r="O8" i="11" s="1"/>
  <c r="S8" i="11"/>
  <c r="T8" i="11"/>
  <c r="U8" i="11"/>
  <c r="V8" i="11" s="1"/>
  <c r="Z8" i="11"/>
  <c r="AA8" i="11"/>
  <c r="AB8" i="11"/>
  <c r="AC8" i="11" s="1"/>
  <c r="AE8" i="11"/>
  <c r="AG8" i="11" s="1"/>
  <c r="AF8" i="11"/>
  <c r="AH8" i="11" s="1"/>
  <c r="C41" i="9"/>
  <c r="C41" i="19" s="1"/>
  <c r="D41" i="9"/>
  <c r="M39" i="9"/>
  <c r="M43" i="9" s="1"/>
  <c r="J37" i="9"/>
  <c r="K37" i="9"/>
  <c r="L37" i="9"/>
  <c r="M37" i="9"/>
  <c r="C35" i="9"/>
  <c r="D35" i="9"/>
  <c r="F35" i="9" s="1"/>
  <c r="C34" i="9"/>
  <c r="D34" i="9"/>
  <c r="F34" i="9" s="1"/>
  <c r="C33" i="9"/>
  <c r="E33" i="9" s="1"/>
  <c r="D33" i="9"/>
  <c r="F33" i="9" s="1"/>
  <c r="C32" i="9"/>
  <c r="E32" i="9" s="1"/>
  <c r="D32" i="9"/>
  <c r="F32" i="9" s="1"/>
  <c r="G32" i="9"/>
  <c r="H32" i="9" s="1"/>
  <c r="C31" i="9"/>
  <c r="D31" i="9"/>
  <c r="F31" i="9"/>
  <c r="C30" i="9"/>
  <c r="D30" i="9"/>
  <c r="F30" i="9" s="1"/>
  <c r="C29" i="9"/>
  <c r="D29" i="9"/>
  <c r="F29" i="9" s="1"/>
  <c r="C28" i="9"/>
  <c r="E28" i="9" s="1"/>
  <c r="D28" i="9"/>
  <c r="F28" i="9" s="1"/>
  <c r="C27" i="9"/>
  <c r="E27" i="9" s="1"/>
  <c r="D27" i="9"/>
  <c r="F27" i="9" s="1"/>
  <c r="C26" i="9"/>
  <c r="E26" i="9" s="1"/>
  <c r="D26" i="9"/>
  <c r="F26" i="9" s="1"/>
  <c r="C25" i="9"/>
  <c r="E25" i="9" s="1"/>
  <c r="D25" i="9"/>
  <c r="F25" i="9" s="1"/>
  <c r="C24" i="9"/>
  <c r="E24" i="9" s="1"/>
  <c r="D24" i="9"/>
  <c r="F24" i="9" s="1"/>
  <c r="C23" i="9"/>
  <c r="E23" i="9" s="1"/>
  <c r="D23" i="9"/>
  <c r="F23" i="9" s="1"/>
  <c r="C22" i="9"/>
  <c r="D22" i="9"/>
  <c r="F22" i="9" s="1"/>
  <c r="C21" i="9"/>
  <c r="D21" i="9"/>
  <c r="F21" i="9" s="1"/>
  <c r="C15" i="9"/>
  <c r="D15" i="9"/>
  <c r="F15" i="9" s="1"/>
  <c r="G15" i="9"/>
  <c r="H15" i="9" s="1"/>
  <c r="C14" i="9"/>
  <c r="E14" i="9" s="1"/>
  <c r="D14" i="9"/>
  <c r="F14" i="9" s="1"/>
  <c r="C12" i="9"/>
  <c r="J12" i="9"/>
  <c r="K12" i="9"/>
  <c r="K17" i="9" s="1"/>
  <c r="K39" i="9" s="1"/>
  <c r="K43" i="9" s="1"/>
  <c r="L12" i="9"/>
  <c r="L17" i="9" s="1"/>
  <c r="L39" i="9" s="1"/>
  <c r="L43" i="9" s="1"/>
  <c r="M12" i="9"/>
  <c r="C11" i="9"/>
  <c r="D11" i="9"/>
  <c r="F11" i="9" s="1"/>
  <c r="E11" i="9"/>
  <c r="C10" i="9"/>
  <c r="E10" i="9" s="1"/>
  <c r="D10" i="9"/>
  <c r="J8" i="9"/>
  <c r="J17" i="9" s="1"/>
  <c r="J39" i="9" s="1"/>
  <c r="J43" i="9" s="1"/>
  <c r="K8" i="9"/>
  <c r="L8" i="9"/>
  <c r="M8" i="9"/>
  <c r="M17" i="9" s="1"/>
  <c r="C7" i="9"/>
  <c r="E7" i="9" s="1"/>
  <c r="D7" i="9"/>
  <c r="F7" i="9"/>
  <c r="C6" i="9"/>
  <c r="E6" i="9" s="1"/>
  <c r="D6" i="9"/>
  <c r="E29" i="9" l="1"/>
  <c r="C68" i="19"/>
  <c r="C136" i="15"/>
  <c r="C150" i="15" s="1"/>
  <c r="C27" i="15" s="1"/>
  <c r="AI15" i="11"/>
  <c r="AI19" i="11" s="1"/>
  <c r="C68" i="15"/>
  <c r="C39" i="15"/>
  <c r="C10" i="22" s="1"/>
  <c r="C9" i="22" s="1"/>
  <c r="C8" i="22"/>
  <c r="AE19" i="11"/>
  <c r="AG43" i="11"/>
  <c r="AG46" i="11" s="1"/>
  <c r="AG49" i="11" s="1"/>
  <c r="AE46" i="11"/>
  <c r="AE49" i="11" s="1"/>
  <c r="AJ61" i="11"/>
  <c r="AJ63" i="11" s="1"/>
  <c r="AJ117" i="11" s="1"/>
  <c r="AJ121" i="11" s="1"/>
  <c r="AF63" i="11"/>
  <c r="AI65" i="11"/>
  <c r="AI67" i="11" s="1"/>
  <c r="AE67" i="11"/>
  <c r="C79" i="15" s="1"/>
  <c r="E196" i="13"/>
  <c r="G196" i="13" s="1"/>
  <c r="AG94" i="11"/>
  <c r="AG100" i="11"/>
  <c r="C277" i="13"/>
  <c r="D277" i="13" s="1"/>
  <c r="E277" i="13" s="1"/>
  <c r="G277" i="13" s="1"/>
  <c r="AF115" i="11"/>
  <c r="C10" i="19"/>
  <c r="C41" i="6"/>
  <c r="D60" i="6"/>
  <c r="D61" i="6"/>
  <c r="AF29" i="11"/>
  <c r="AE115" i="11"/>
  <c r="AG93" i="11"/>
  <c r="E195" i="13"/>
  <c r="G195" i="13" s="1"/>
  <c r="G60" i="6"/>
  <c r="C37" i="9"/>
  <c r="E21" i="9"/>
  <c r="G21" i="9"/>
  <c r="H21" i="9" s="1"/>
  <c r="F6" i="9"/>
  <c r="D8" i="9"/>
  <c r="AH19" i="11"/>
  <c r="D12" i="9"/>
  <c r="F10" i="9"/>
  <c r="E22" i="9"/>
  <c r="G22" i="9"/>
  <c r="H22" i="9" s="1"/>
  <c r="AE29" i="11"/>
  <c r="AG34" i="11"/>
  <c r="E203" i="13"/>
  <c r="F203" i="13" s="1"/>
  <c r="G203" i="13" s="1"/>
  <c r="AH46" i="11"/>
  <c r="AH49" i="11" s="1"/>
  <c r="AH115" i="11"/>
  <c r="AH117" i="11" s="1"/>
  <c r="AH121" i="11" s="1"/>
  <c r="F41" i="6"/>
  <c r="AI115" i="11"/>
  <c r="AI117" i="11" s="1"/>
  <c r="AI121" i="11" s="1"/>
  <c r="AG91" i="11"/>
  <c r="C245" i="13"/>
  <c r="AG98" i="11"/>
  <c r="C243" i="13"/>
  <c r="D243" i="13" s="1"/>
  <c r="E243" i="13" s="1"/>
  <c r="G243" i="13" s="1"/>
  <c r="R117" i="11"/>
  <c r="R121" i="11" s="1"/>
  <c r="F21" i="6" s="1"/>
  <c r="H21" i="6" s="1"/>
  <c r="D117" i="11"/>
  <c r="D121" i="11" s="1"/>
  <c r="E35" i="9"/>
  <c r="C18" i="22"/>
  <c r="C97" i="19"/>
  <c r="AH23" i="11"/>
  <c r="AH29" i="11" s="1"/>
  <c r="AF39" i="11"/>
  <c r="Q117" i="11"/>
  <c r="Q121" i="11" s="1"/>
  <c r="C21" i="6" s="1"/>
  <c r="E21" i="6" s="1"/>
  <c r="C117" i="11"/>
  <c r="C121" i="11" s="1"/>
  <c r="D44" i="12"/>
  <c r="D69" i="12" s="1"/>
  <c r="D60" i="12"/>
  <c r="G25" i="6"/>
  <c r="G61" i="6" s="1"/>
  <c r="C48" i="6"/>
  <c r="E48" i="6" s="1"/>
  <c r="O35" i="7"/>
  <c r="O56" i="7" s="1"/>
  <c r="N56" i="7"/>
  <c r="F35" i="5"/>
  <c r="D41" i="5"/>
  <c r="D55" i="5" s="1"/>
  <c r="D133" i="5" s="1"/>
  <c r="E36" i="5"/>
  <c r="C41" i="5"/>
  <c r="C16" i="19"/>
  <c r="C13" i="19"/>
  <c r="C38" i="19"/>
  <c r="C68" i="12"/>
  <c r="D223" i="5"/>
  <c r="C56" i="7"/>
  <c r="C223" i="5" s="1"/>
  <c r="F204" i="13"/>
  <c r="D204" i="13"/>
  <c r="C8" i="9"/>
  <c r="C17" i="9" s="1"/>
  <c r="C39" i="9" s="1"/>
  <c r="C43" i="9" s="1"/>
  <c r="G11" i="9"/>
  <c r="H11" i="9" s="1"/>
  <c r="E15" i="9"/>
  <c r="C58" i="19"/>
  <c r="D37" i="9"/>
  <c r="AG33" i="11"/>
  <c r="AG39" i="11" s="1"/>
  <c r="E202" i="13"/>
  <c r="F202" i="13" s="1"/>
  <c r="AE39" i="11"/>
  <c r="AI111" i="11"/>
  <c r="C76" i="15"/>
  <c r="Y117" i="11"/>
  <c r="Y121" i="11" s="1"/>
  <c r="F20" i="6" s="1"/>
  <c r="H20" i="6" s="1"/>
  <c r="H23" i="6" s="1"/>
  <c r="K117" i="11"/>
  <c r="K121" i="11" s="1"/>
  <c r="F22" i="6" s="1"/>
  <c r="H22" i="6" s="1"/>
  <c r="C44" i="6"/>
  <c r="E44" i="6" s="1"/>
  <c r="C78" i="15"/>
  <c r="C118" i="15" s="1"/>
  <c r="C51" i="15"/>
  <c r="C63" i="15" s="1"/>
  <c r="C18" i="15" s="1"/>
  <c r="C44" i="12"/>
  <c r="C69" i="12" s="1"/>
  <c r="C14" i="19"/>
  <c r="C39" i="19"/>
  <c r="C47" i="6"/>
  <c r="E47" i="6" s="1"/>
  <c r="C60" i="12"/>
  <c r="C43" i="6"/>
  <c r="E43" i="6" s="1"/>
  <c r="M56" i="7"/>
  <c r="M35" i="7"/>
  <c r="D225" i="5"/>
  <c r="E56" i="7"/>
  <c r="C225" i="5" s="1"/>
  <c r="C55" i="5"/>
  <c r="C133" i="5" s="1"/>
  <c r="G168" i="5"/>
  <c r="H168" i="5" s="1"/>
  <c r="E168" i="5"/>
  <c r="G48" i="24"/>
  <c r="C48" i="24"/>
  <c r="C100" i="19"/>
  <c r="C242" i="13"/>
  <c r="D242" i="13" s="1"/>
  <c r="E242" i="13" s="1"/>
  <c r="G242" i="13" s="1"/>
  <c r="D227" i="5"/>
  <c r="G56" i="7"/>
  <c r="C227" i="5" s="1"/>
  <c r="G164" i="5"/>
  <c r="H164" i="5" s="1"/>
  <c r="E164" i="5"/>
  <c r="I164" i="5" s="1"/>
  <c r="C177" i="5"/>
  <c r="C194" i="5" s="1"/>
  <c r="C219" i="5" s="1"/>
  <c r="C37" i="19"/>
  <c r="E30" i="9"/>
  <c r="C137" i="15"/>
  <c r="E31" i="9"/>
  <c r="C67" i="19"/>
  <c r="C74" i="19" s="1"/>
  <c r="E34" i="9"/>
  <c r="C71" i="19"/>
  <c r="C17" i="22"/>
  <c r="AF19" i="11"/>
  <c r="AG92" i="11"/>
  <c r="AG115" i="11" s="1"/>
  <c r="AG117" i="11" s="1"/>
  <c r="AG121" i="11" s="1"/>
  <c r="AG96" i="11"/>
  <c r="X117" i="11"/>
  <c r="X121" i="11" s="1"/>
  <c r="C20" i="6" s="1"/>
  <c r="E20" i="6" s="1"/>
  <c r="E23" i="6" s="1"/>
  <c r="J117" i="11"/>
  <c r="J121" i="11" s="1"/>
  <c r="C22" i="6" s="1"/>
  <c r="E22" i="6" s="1"/>
  <c r="F46" i="6"/>
  <c r="H46" i="6" s="1"/>
  <c r="D68" i="12"/>
  <c r="C45" i="6"/>
  <c r="E45" i="6" s="1"/>
  <c r="C49" i="6"/>
  <c r="E49" i="6" s="1"/>
  <c r="D237" i="5"/>
  <c r="Q56" i="7"/>
  <c r="C237" i="5" s="1"/>
  <c r="D194" i="5"/>
  <c r="D219" i="5" s="1"/>
  <c r="D69" i="8"/>
  <c r="D74" i="8" s="1"/>
  <c r="D29" i="8"/>
  <c r="C80" i="15"/>
  <c r="C143" i="15"/>
  <c r="C57" i="19"/>
  <c r="I170" i="5"/>
  <c r="I172" i="5"/>
  <c r="I174" i="5"/>
  <c r="I183" i="5"/>
  <c r="I192" i="5"/>
  <c r="I201" i="5"/>
  <c r="H28" i="24"/>
  <c r="H48" i="24" s="1"/>
  <c r="C14" i="23"/>
  <c r="C46" i="23"/>
  <c r="I124" i="5"/>
  <c r="I141" i="5"/>
  <c r="E165" i="5"/>
  <c r="I165" i="5" s="1"/>
  <c r="E169" i="5"/>
  <c r="I200" i="5"/>
  <c r="C114" i="15"/>
  <c r="C131" i="15" s="1"/>
  <c r="C24" i="15" s="1"/>
  <c r="C61" i="19"/>
  <c r="F14" i="23"/>
  <c r="F46" i="23"/>
  <c r="I21" i="5"/>
  <c r="I22" i="5"/>
  <c r="G37" i="5"/>
  <c r="H37" i="5" s="1"/>
  <c r="I39" i="5"/>
  <c r="I80" i="5"/>
  <c r="I104" i="5"/>
  <c r="I123" i="5"/>
  <c r="I147" i="5"/>
  <c r="I167" i="5"/>
  <c r="I211" i="5"/>
  <c r="F48" i="24"/>
  <c r="E14" i="23"/>
  <c r="E46" i="23"/>
  <c r="F23" i="6"/>
  <c r="E269" i="13"/>
  <c r="G269" i="13" s="1"/>
  <c r="E198" i="13"/>
  <c r="G198" i="13" s="1"/>
  <c r="D203" i="13"/>
  <c r="C204" i="13"/>
  <c r="C203" i="13"/>
  <c r="E232" i="13"/>
  <c r="E281" i="13"/>
  <c r="G281" i="13" s="1"/>
  <c r="E132" i="13"/>
  <c r="G132" i="13" s="1"/>
  <c r="D54" i="8"/>
  <c r="D22" i="8"/>
  <c r="D40" i="8" s="1"/>
  <c r="C22" i="8"/>
  <c r="C235" i="21"/>
  <c r="C238" i="21" s="1"/>
  <c r="C248" i="21" s="1"/>
  <c r="C54" i="8"/>
  <c r="C74" i="8"/>
  <c r="C29" i="8"/>
  <c r="G232" i="13"/>
  <c r="G204" i="13"/>
  <c r="C73" i="15"/>
  <c r="C70" i="15"/>
  <c r="C36" i="22" s="1"/>
  <c r="I212" i="5"/>
  <c r="I206" i="5"/>
  <c r="I203" i="5"/>
  <c r="I202" i="5"/>
  <c r="G175" i="5"/>
  <c r="H175" i="5" s="1"/>
  <c r="G173" i="5"/>
  <c r="H173" i="5" s="1"/>
  <c r="I173" i="5"/>
  <c r="I171" i="5"/>
  <c r="I169" i="5"/>
  <c r="I168" i="5"/>
  <c r="I166" i="5"/>
  <c r="I159" i="5"/>
  <c r="I154" i="5"/>
  <c r="I153" i="5"/>
  <c r="I28" i="5"/>
  <c r="I46" i="5"/>
  <c r="I61" i="5"/>
  <c r="I62" i="5"/>
  <c r="I91" i="5"/>
  <c r="I92" i="5"/>
  <c r="I93" i="5"/>
  <c r="I94" i="5"/>
  <c r="I103" i="5"/>
  <c r="I23" i="5"/>
  <c r="I53" i="5"/>
  <c r="I101" i="5"/>
  <c r="I105" i="5"/>
  <c r="I127" i="5"/>
  <c r="I26" i="5"/>
  <c r="I95" i="5"/>
  <c r="I125" i="5"/>
  <c r="I117" i="5"/>
  <c r="I102" i="5"/>
  <c r="I84" i="5"/>
  <c r="I83" i="5"/>
  <c r="I82" i="5"/>
  <c r="I81" i="5"/>
  <c r="I67" i="5"/>
  <c r="I48" i="5"/>
  <c r="I45" i="5"/>
  <c r="I38" i="5"/>
  <c r="I37" i="5"/>
  <c r="I36" i="5"/>
  <c r="G36" i="5"/>
  <c r="H36" i="5" s="1"/>
  <c r="G35" i="5"/>
  <c r="H35" i="5" s="1"/>
  <c r="I35" i="5"/>
  <c r="I29" i="5"/>
  <c r="I25" i="5"/>
  <c r="I24" i="5"/>
  <c r="I20" i="5"/>
  <c r="U10" i="7"/>
  <c r="G35" i="9"/>
  <c r="H35" i="9" s="1"/>
  <c r="G34" i="9"/>
  <c r="H34" i="9" s="1"/>
  <c r="G33" i="9"/>
  <c r="H33" i="9" s="1"/>
  <c r="G31" i="9"/>
  <c r="H31" i="9" s="1"/>
  <c r="G30" i="9"/>
  <c r="H30" i="9" s="1"/>
  <c r="G29" i="9"/>
  <c r="H29" i="9" s="1"/>
  <c r="G28" i="9"/>
  <c r="H28" i="9" s="1"/>
  <c r="G27" i="9"/>
  <c r="H27" i="9" s="1"/>
  <c r="G26" i="9"/>
  <c r="H26" i="9" s="1"/>
  <c r="G25" i="9"/>
  <c r="H25" i="9" s="1"/>
  <c r="G24" i="9"/>
  <c r="H24" i="9" s="1"/>
  <c r="G23" i="9"/>
  <c r="H23" i="9" s="1"/>
  <c r="G14" i="9"/>
  <c r="H14" i="9" s="1"/>
  <c r="G10" i="9"/>
  <c r="H10" i="9" s="1"/>
  <c r="G7" i="9"/>
  <c r="H7" i="9" s="1"/>
  <c r="G6" i="9"/>
  <c r="H6" i="9" s="1"/>
  <c r="X1" i="4"/>
  <c r="G75" i="6" l="1"/>
  <c r="G74" i="6"/>
  <c r="AE117" i="11"/>
  <c r="AE121" i="11" s="1"/>
  <c r="AF117" i="11"/>
  <c r="AF121" i="11" s="1"/>
  <c r="C23" i="6"/>
  <c r="E41" i="6"/>
  <c r="E51" i="6" s="1"/>
  <c r="C51" i="6"/>
  <c r="G202" i="13"/>
  <c r="C7" i="6"/>
  <c r="D17" i="9"/>
  <c r="D39" i="9" s="1"/>
  <c r="D43" i="9" s="1"/>
  <c r="C44" i="19"/>
  <c r="F51" i="6"/>
  <c r="H41" i="6"/>
  <c r="H51" i="6" s="1"/>
  <c r="D75" i="6"/>
  <c r="D74" i="6"/>
  <c r="C19" i="19"/>
  <c r="D56" i="8"/>
  <c r="D57" i="8"/>
  <c r="D76" i="8" s="1"/>
  <c r="D86" i="8" s="1"/>
  <c r="C40" i="8"/>
  <c r="C57" i="8" s="1"/>
  <c r="C90" i="15"/>
  <c r="C21" i="15" s="1"/>
  <c r="C45" i="4"/>
  <c r="C106" i="8" s="1"/>
  <c r="I35" i="9" l="1"/>
  <c r="F7" i="6"/>
  <c r="H7" i="6" s="1"/>
  <c r="I14" i="9"/>
  <c r="I34" i="9"/>
  <c r="I7" i="9"/>
  <c r="I10" i="9"/>
  <c r="I24" i="9"/>
  <c r="I26" i="9"/>
  <c r="I21" i="9"/>
  <c r="I22" i="9"/>
  <c r="I30" i="9"/>
  <c r="I29" i="9"/>
  <c r="I25" i="9"/>
  <c r="I11" i="9"/>
  <c r="I28" i="9"/>
  <c r="I33" i="9"/>
  <c r="I23" i="9"/>
  <c r="I15" i="9"/>
  <c r="AD113" i="11"/>
  <c r="I98" i="11"/>
  <c r="W97" i="11"/>
  <c r="P85" i="11"/>
  <c r="AD78" i="11"/>
  <c r="I73" i="11"/>
  <c r="P72" i="11"/>
  <c r="AD55" i="11"/>
  <c r="AD44" i="11"/>
  <c r="W35" i="11"/>
  <c r="W23" i="11"/>
  <c r="I91" i="11"/>
  <c r="AD87" i="11"/>
  <c r="I83" i="11"/>
  <c r="P75" i="11"/>
  <c r="W72" i="11"/>
  <c r="I45" i="11"/>
  <c r="I33" i="11"/>
  <c r="I26" i="11"/>
  <c r="P16" i="11"/>
  <c r="P14" i="11"/>
  <c r="P12" i="11"/>
  <c r="P10" i="11"/>
  <c r="W9" i="11"/>
  <c r="P13" i="11"/>
  <c r="I8" i="11"/>
  <c r="I103" i="11"/>
  <c r="I94" i="11"/>
  <c r="P89" i="11"/>
  <c r="W84" i="11"/>
  <c r="P82" i="11"/>
  <c r="W79" i="11"/>
  <c r="I77" i="11"/>
  <c r="AD75" i="11"/>
  <c r="I54" i="11"/>
  <c r="P47" i="11"/>
  <c r="I43" i="11"/>
  <c r="P26" i="11"/>
  <c r="P24" i="11"/>
  <c r="W96" i="11"/>
  <c r="AD83" i="11"/>
  <c r="W80" i="11"/>
  <c r="AD76" i="11"/>
  <c r="P65" i="11"/>
  <c r="P55" i="11"/>
  <c r="W47" i="11"/>
  <c r="I34" i="11"/>
  <c r="AD26" i="11"/>
  <c r="W15" i="11"/>
  <c r="I9" i="11"/>
  <c r="I93" i="11"/>
  <c r="I96" i="11"/>
  <c r="W90" i="11"/>
  <c r="W91" i="11"/>
  <c r="I95" i="11"/>
  <c r="W102" i="11"/>
  <c r="P91" i="11"/>
  <c r="P94" i="11"/>
  <c r="AD101" i="11"/>
  <c r="W105" i="11"/>
  <c r="AD108" i="11"/>
  <c r="P111" i="11"/>
  <c r="W99" i="11"/>
  <c r="P106" i="11"/>
  <c r="I110" i="11"/>
  <c r="AD100" i="11"/>
  <c r="W104" i="11"/>
  <c r="I106" i="11"/>
  <c r="P109" i="11"/>
  <c r="P102" i="11"/>
  <c r="AD112" i="11"/>
  <c r="AD109" i="11"/>
  <c r="AD102" i="11"/>
  <c r="AD73" i="11"/>
  <c r="I10" i="11"/>
  <c r="AD103" i="11"/>
  <c r="I82" i="11"/>
  <c r="P76" i="11"/>
  <c r="AD36" i="11"/>
  <c r="W83" i="11"/>
  <c r="I55" i="11"/>
  <c r="W113" i="11"/>
  <c r="AD99" i="11"/>
  <c r="AD97" i="11"/>
  <c r="AD82" i="11"/>
  <c r="AD77" i="11"/>
  <c r="P73" i="11"/>
  <c r="AD71" i="11"/>
  <c r="AD54" i="11"/>
  <c r="I36" i="11"/>
  <c r="AD35" i="11"/>
  <c r="AD23" i="11"/>
  <c r="I87" i="11"/>
  <c r="W85" i="11"/>
  <c r="P81" i="11"/>
  <c r="W75" i="11"/>
  <c r="I71" i="11"/>
  <c r="P45" i="11"/>
  <c r="P33" i="11"/>
  <c r="I25" i="11"/>
  <c r="W16" i="11"/>
  <c r="W14" i="11"/>
  <c r="W12" i="11"/>
  <c r="W10" i="11"/>
  <c r="AD9" i="11"/>
  <c r="W13" i="11"/>
  <c r="W8" i="11"/>
  <c r="P103" i="11"/>
  <c r="P93" i="11"/>
  <c r="P88" i="11"/>
  <c r="AD84" i="11"/>
  <c r="W81" i="11"/>
  <c r="AD79" i="11"/>
  <c r="P77" i="11"/>
  <c r="AD72" i="11"/>
  <c r="P54" i="11"/>
  <c r="W45" i="11"/>
  <c r="P43" i="11"/>
  <c r="W26" i="11"/>
  <c r="W24" i="11"/>
  <c r="AD89" i="11"/>
  <c r="W82" i="11"/>
  <c r="W78" i="11"/>
  <c r="I72" i="11"/>
  <c r="W65" i="11"/>
  <c r="W55" i="11"/>
  <c r="W44" i="11"/>
  <c r="P34" i="11"/>
  <c r="AD25" i="11"/>
  <c r="I11" i="11"/>
  <c r="P8" i="11"/>
  <c r="AD86" i="11"/>
  <c r="AD95" i="11"/>
  <c r="I99" i="11"/>
  <c r="P90" i="11"/>
  <c r="I92" i="11"/>
  <c r="AD98" i="11"/>
  <c r="I86" i="11"/>
  <c r="AD92" i="11"/>
  <c r="AD96" i="11"/>
  <c r="W101" i="11"/>
  <c r="W106" i="11"/>
  <c r="P110" i="11"/>
  <c r="I111" i="11"/>
  <c r="P101" i="11"/>
  <c r="W108" i="11"/>
  <c r="P112" i="11"/>
  <c r="I101" i="11"/>
  <c r="P104" i="11"/>
  <c r="AD107" i="11"/>
  <c r="I109" i="11"/>
  <c r="I104" i="11"/>
  <c r="AD33" i="11"/>
  <c r="P44" i="11"/>
  <c r="I65" i="11"/>
  <c r="P113" i="11"/>
  <c r="I97" i="11"/>
  <c r="P86" i="11"/>
  <c r="I81" i="11"/>
  <c r="I74" i="11"/>
  <c r="W73" i="11"/>
  <c r="I61" i="11"/>
  <c r="AD53" i="11"/>
  <c r="I35" i="11"/>
  <c r="I23" i="11"/>
  <c r="P100" i="11"/>
  <c r="P87" i="11"/>
  <c r="I84" i="11"/>
  <c r="I79" i="11"/>
  <c r="W74" i="11"/>
  <c r="W61" i="11"/>
  <c r="I44" i="11"/>
  <c r="W33" i="11"/>
  <c r="I24" i="11"/>
  <c r="AD16" i="11"/>
  <c r="AD14" i="11"/>
  <c r="AD12" i="11"/>
  <c r="AD10" i="11"/>
  <c r="AD15" i="11"/>
  <c r="AD13" i="11"/>
  <c r="W107" i="11"/>
  <c r="W103" i="11"/>
  <c r="W92" i="11"/>
  <c r="W88" i="11"/>
  <c r="P83" i="11"/>
  <c r="I80" i="11"/>
  <c r="I78" i="11"/>
  <c r="I76" i="11"/>
  <c r="P71" i="11"/>
  <c r="P53" i="11"/>
  <c r="AD45" i="11"/>
  <c r="W36" i="11"/>
  <c r="P25" i="11"/>
  <c r="AD24" i="11"/>
  <c r="I85" i="11"/>
  <c r="AD81" i="11"/>
  <c r="W77" i="11"/>
  <c r="W71" i="11"/>
  <c r="AD65" i="11"/>
  <c r="W54" i="11"/>
  <c r="W43" i="11"/>
  <c r="W34" i="11"/>
  <c r="I15" i="11"/>
  <c r="P11" i="11"/>
  <c r="AD8" i="11"/>
  <c r="AD88" i="11"/>
  <c r="W95" i="11"/>
  <c r="W110" i="11"/>
  <c r="I90" i="11"/>
  <c r="AD93" i="11"/>
  <c r="W98" i="11"/>
  <c r="I88" i="11"/>
  <c r="W93" i="11"/>
  <c r="AD110" i="11"/>
  <c r="P107" i="11"/>
  <c r="AD111" i="11"/>
  <c r="I102" i="11"/>
  <c r="I112" i="11"/>
  <c r="P108" i="11"/>
  <c r="P23" i="11"/>
  <c r="P9" i="11"/>
  <c r="AD106" i="11"/>
  <c r="I89" i="11"/>
  <c r="P79" i="11"/>
  <c r="AD61" i="11"/>
  <c r="W25" i="11"/>
  <c r="P80" i="11"/>
  <c r="W53" i="11"/>
  <c r="I113" i="11"/>
  <c r="P97" i="11"/>
  <c r="W86" i="11"/>
  <c r="AD80" i="11"/>
  <c r="P74" i="11"/>
  <c r="P61" i="11"/>
  <c r="AD47" i="11"/>
  <c r="P35" i="11"/>
  <c r="W100" i="11"/>
  <c r="W87" i="11"/>
  <c r="P84" i="11"/>
  <c r="I75" i="11"/>
  <c r="AD74" i="11"/>
  <c r="I53" i="11"/>
  <c r="P36" i="11"/>
  <c r="I16" i="11"/>
  <c r="I14" i="11"/>
  <c r="I12" i="11"/>
  <c r="I13" i="11"/>
  <c r="W11" i="11"/>
  <c r="AD85" i="11"/>
  <c r="P78" i="11"/>
  <c r="I47" i="11"/>
  <c r="P96" i="11"/>
  <c r="W76" i="11"/>
  <c r="AD43" i="11"/>
  <c r="P95" i="11"/>
  <c r="P98" i="11"/>
  <c r="AD105" i="11"/>
  <c r="P105" i="11"/>
  <c r="I105" i="11"/>
  <c r="W89" i="11"/>
  <c r="I108" i="11"/>
  <c r="AD34" i="11"/>
  <c r="P15" i="11"/>
  <c r="AD91" i="11"/>
  <c r="W94" i="11"/>
  <c r="W111" i="11"/>
  <c r="P99" i="11"/>
  <c r="AD90" i="11"/>
  <c r="W109" i="11"/>
  <c r="AD11" i="11"/>
  <c r="P92" i="11"/>
  <c r="AD94" i="11"/>
  <c r="I100" i="11"/>
  <c r="W112" i="11"/>
  <c r="AD104" i="11"/>
  <c r="I107" i="11"/>
  <c r="D94" i="6"/>
  <c r="D95" i="6"/>
  <c r="I6" i="9"/>
  <c r="I27" i="9"/>
  <c r="I31" i="9"/>
  <c r="C6" i="19"/>
  <c r="C32" i="19" s="1"/>
  <c r="C76" i="19" s="1"/>
  <c r="C102" i="19" s="1"/>
  <c r="C68" i="13" s="1"/>
  <c r="C64" i="13" s="1"/>
  <c r="C61" i="13" s="1"/>
  <c r="D61" i="13" s="1"/>
  <c r="E61" i="13" s="1"/>
  <c r="E7" i="6"/>
  <c r="I32" i="9"/>
  <c r="G95" i="6"/>
  <c r="G94" i="6"/>
  <c r="C56" i="8"/>
  <c r="C76" i="8" s="1"/>
  <c r="C86" i="8" s="1"/>
  <c r="C144" i="8"/>
  <c r="C122" i="8"/>
  <c r="D105" i="8"/>
  <c r="D113" i="8" s="1"/>
  <c r="C120" i="8"/>
  <c r="C109" i="8"/>
  <c r="C128" i="8"/>
  <c r="C105" i="8"/>
  <c r="C113" i="8" s="1"/>
  <c r="C129" i="8"/>
  <c r="C93" i="8"/>
  <c r="C99" i="8" s="1"/>
  <c r="Y1" i="4"/>
  <c r="C6" i="3"/>
  <c r="F61" i="13" l="1"/>
  <c r="E70" i="13"/>
  <c r="C116" i="8"/>
  <c r="C115" i="8"/>
  <c r="C133" i="8"/>
  <c r="D116" i="8"/>
  <c r="D115" i="8"/>
  <c r="C37" i="4"/>
  <c r="C40" i="4"/>
  <c r="C39" i="4"/>
  <c r="C38" i="4"/>
  <c r="C29" i="3"/>
  <c r="C28" i="2"/>
  <c r="C24" i="1"/>
  <c r="G61" i="13" l="1"/>
  <c r="F70" i="13"/>
  <c r="G70" i="13" s="1"/>
  <c r="D135" i="8"/>
  <c r="D146" i="8" s="1"/>
  <c r="C30" i="10"/>
  <c r="C32" i="10" s="1"/>
  <c r="C43" i="10" s="1"/>
  <c r="C56" i="10" s="1"/>
  <c r="D30" i="10"/>
  <c r="D32" i="10" s="1"/>
  <c r="D43" i="10" s="1"/>
  <c r="D56" i="10" s="1"/>
  <c r="D80" i="10"/>
  <c r="D82" i="10" s="1"/>
  <c r="D86" i="10" s="1"/>
  <c r="D98" i="10" s="1"/>
  <c r="C80" i="10"/>
  <c r="C82" i="10" s="1"/>
  <c r="C86" i="10" s="1"/>
  <c r="C98" i="10" s="1"/>
  <c r="C135" i="8"/>
  <c r="C146" i="8" s="1"/>
  <c r="F11" i="6" l="1"/>
  <c r="D60" i="10"/>
  <c r="D75" i="10" s="1"/>
  <c r="C60" i="10"/>
  <c r="C75" i="10" s="1"/>
  <c r="C11" i="6"/>
  <c r="F14" i="6" l="1"/>
  <c r="H11" i="6"/>
  <c r="F13" i="6"/>
  <c r="C13" i="6"/>
  <c r="E11" i="6"/>
  <c r="C14" i="6"/>
  <c r="H13" i="6" l="1"/>
  <c r="H14" i="6"/>
  <c r="E14" i="6"/>
  <c r="E13" i="6"/>
  <c r="F26" i="6"/>
  <c r="F25" i="6"/>
  <c r="C26" i="6"/>
  <c r="C25" i="6"/>
  <c r="C61" i="6" l="1"/>
  <c r="C60" i="6"/>
  <c r="E26" i="6"/>
  <c r="E25" i="6"/>
  <c r="H25" i="6"/>
  <c r="H26" i="6"/>
  <c r="F60" i="6"/>
  <c r="F61" i="6"/>
  <c r="C74" i="6" l="1"/>
  <c r="C75" i="6"/>
  <c r="F74" i="6"/>
  <c r="F75" i="6"/>
  <c r="E60" i="6"/>
  <c r="E61" i="6"/>
  <c r="H60" i="6"/>
  <c r="H61" i="6"/>
  <c r="H74" i="6" l="1"/>
  <c r="H75" i="6"/>
  <c r="H13" i="7"/>
  <c r="F94" i="6"/>
  <c r="D228" i="5"/>
  <c r="F95" i="6"/>
  <c r="C95" i="6"/>
  <c r="C6" i="15"/>
  <c r="C228" i="5"/>
  <c r="C94" i="6"/>
  <c r="H38" i="7"/>
  <c r="U38" i="7" s="1"/>
  <c r="I14" i="7"/>
  <c r="D229" i="5"/>
  <c r="E75" i="6"/>
  <c r="E74" i="6"/>
  <c r="C229" i="5"/>
  <c r="C7" i="15"/>
  <c r="I39" i="7"/>
  <c r="U39" i="7" s="1"/>
  <c r="U14" i="7" l="1"/>
  <c r="I31" i="7"/>
  <c r="C14" i="15"/>
  <c r="C15" i="15"/>
  <c r="U13" i="7"/>
  <c r="U31" i="7" s="1"/>
  <c r="H31" i="7"/>
  <c r="E94" i="6"/>
  <c r="E95" i="6"/>
  <c r="H95" i="6"/>
  <c r="H94" i="6"/>
  <c r="C29" i="15" l="1"/>
  <c r="C30" i="15"/>
  <c r="J35" i="7"/>
  <c r="J56" i="7" s="1"/>
  <c r="C230" i="5" s="1"/>
  <c r="H35" i="7"/>
  <c r="H56" i="7" s="1"/>
  <c r="K35" i="7"/>
  <c r="K56" i="7" s="1"/>
  <c r="C231" i="5" s="1"/>
  <c r="I35" i="7"/>
  <c r="I56" i="7" s="1"/>
  <c r="D242" i="5"/>
  <c r="D244" i="5" s="1"/>
  <c r="C35" i="15" l="1"/>
  <c r="C34" i="15"/>
  <c r="U35" i="7"/>
  <c r="U56" i="7" s="1"/>
  <c r="C242" i="5" s="1"/>
  <c r="C244" i="5" s="1"/>
  <c r="C15" i="22"/>
  <c r="C42" i="15" l="1"/>
  <c r="C46" i="15" s="1"/>
  <c r="C33" i="22"/>
  <c r="C10" i="13"/>
  <c r="D10" i="13" s="1"/>
  <c r="E10" i="13" s="1"/>
  <c r="C11" i="22"/>
  <c r="C41" i="15"/>
  <c r="C16" i="22" s="1"/>
  <c r="F10" i="13" l="1"/>
  <c r="F12" i="13" s="1"/>
  <c r="E12" i="13"/>
  <c r="G10" i="13" l="1"/>
  <c r="G12" i="13" s="1"/>
  <c r="E41" i="13"/>
  <c r="C35" i="22"/>
  <c r="E40" i="13"/>
  <c r="F40" i="13"/>
  <c r="F41" i="13"/>
  <c r="F43" i="13" l="1"/>
  <c r="F46" i="13" s="1"/>
  <c r="F48" i="13"/>
  <c r="E43" i="13"/>
  <c r="E46" i="13" s="1"/>
  <c r="G40" i="13"/>
  <c r="E48" i="13"/>
  <c r="C40" i="22"/>
  <c r="C41" i="22"/>
  <c r="C57" i="22" s="1"/>
  <c r="C110" i="22" s="1"/>
  <c r="G41" i="13"/>
  <c r="G46" i="13" l="1"/>
  <c r="G43" i="13"/>
  <c r="G48" i="13"/>
</calcChain>
</file>

<file path=xl/comments1.xml><?xml version="1.0" encoding="utf-8"?>
<comments xmlns="http://schemas.openxmlformats.org/spreadsheetml/2006/main">
  <authors>
    <author>Francisco Garcia</author>
    <author>María del Pilar Ubaldo Juárez</author>
    <author>Administrator</author>
  </authors>
  <commentList>
    <comment ref="B1" authorId="0" shapeId="0">
      <text>
        <r>
          <rPr>
            <b/>
            <sz val="9"/>
            <color indexed="60"/>
            <rFont val="Tahoma"/>
            <family val="2"/>
          </rPr>
          <t>Instrucción: _x000D_
LA CAPTURA DE LOS DATOS DE IDENTIFICACION DEL CONTRIBUYENTE (CON EXCEPCION DEL REGISTRO FEDERAL DE CONTRIBUYENTES) SOLAMENTE SE PODRA REALIZAR OBTENIENDO LA INFORMACION REGISTRADA EN EL SERVICIO DE ADMINISTRACION TRIBUTARIA (SAT), A TRAVES DEL PORTAL DEL SAT, PREVIA IDENTIFICACION CON LA E.FIRMA DEL CONTRIBUYENTE.
CUANDO ALGUNOS DE LOS DATOS DEL CONTRIBUYENTE QUE SE ENCUENTRAN REGISTRADOS EN EL SAT NO COINCIDAN CON LOS ACTUALES, PODRA MODIFICARLOS EN EL LLENADO DEL DICTAMEN; SIN EMBARGO, LA ACTUALIZACION DE ESOS DATOS NO LO EXIME DE PRESENTAR EL AVISO DE CAMBIO CORRESPONDIENTE ANTE EL SAT.
PARA EL LLENADO AUTOMATICO QUE EL SIPRED REALIZA DEL CONCEPTO DENOMINADO “NOMBRE DEL GRUPO ECONOMICO AL QUE PERTENECE”, SE TOMA EN CUENTA LA DESCRIPCION QUE AL EFECTO SE HACE EN EL ANEXO 6 PUBLICADO EN EL DIARIO OFICIAL DE LA FEDERACION EL 21 DE JULIO DE 2014 DE LA RESOLUCION MISCELANEA FISCAL VIGENTE PARA 2014 Y SUS CORRESPONDIENTES MODIFICACIONES PUBLICADAS EN EL MISMO ORDENAMIENTO, DE FECHAS 22 DE DICIEMBRE DE 2014, 20 DE NOVIEMBRE DE 2015 Y 12 DE ENERO DE 2016, UNA VEZ QUE EL USUARIO DEFINE SU CLAVE DE ACTIVIDAD ECONOMICA, EN EL CATALOGO CONTENIDO EN LA APLICACION.</t>
        </r>
      </text>
    </comment>
    <comment ref="C4" authorId="1" shapeId="0">
      <text>
        <r>
          <rPr>
            <b/>
            <sz val="9"/>
            <color indexed="81"/>
            <rFont val="Tahoma"/>
            <family val="2"/>
          </rPr>
          <t>Se replica en:
Anexo: Notas,
Anexo: Declaratoria,
Anexo: Opinión,
Anexo: Informe,
Anexo: Información Adicional,
Anexo: Contribuyente
Índice: 01A013000
Columna: C</t>
        </r>
      </text>
    </comment>
    <comment ref="C17" authorId="2" shapeId="0">
      <text>
        <r>
          <rPr>
            <b/>
            <sz val="9"/>
            <color indexed="81"/>
            <rFont val="Tahoma"/>
            <family val="2"/>
          </rPr>
          <t>DEFINA LA CLAVE DE ACTIVIDAD QUE LE 
CORRESPONDA DE CONFORMIDAD CON EL 
ANEXO 6 DE LA RESOLUCIÓN MISCELÁNEA, 
QUE CONTIENE EL CATÁLOGO DE ACTIVIDADES 
ECONÓMICAS</t>
        </r>
      </text>
    </comment>
    <comment ref="C24" authorId="1" shapeId="0">
      <text>
        <r>
          <rPr>
            <b/>
            <sz val="9"/>
            <color indexed="81"/>
            <rFont val="Tahoma"/>
            <family val="2"/>
          </rPr>
          <t>Es réplica de:
Anexo: Contribuyente
Índice: 01A001000
Columna: C</t>
        </r>
      </text>
    </comment>
  </commentList>
</comments>
</file>

<file path=xl/comments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CAPTURA DE LOS DATOS DE IDENTIFICACION DEL CONTADOR PUBLICO SOLAMENTE SE PODRA REALIZAR OBTENIENDO LA INFORMACION REGISTRADA EN EL SERVICIO DE ADMINISTRACION TRIBUTARIA (SAT), A TRAVES DEL PORTAL DEL SAT PREVIA IDENTIFICACION CON LA E.FIRMA DEL CONTADOR PUBLICO.
CUANDO LOS DATOS DEL DOMICILIO DEL CONTADOR PUBLICO, REGISTRADOS EN EL SAT NO COINCIDAN CON LOS ACTUALES, PODRA MODIFICARLOS EN EL LLENADO DEL DICTAMEN; SIN EMBARGO, ES NECESARIO PRESENTAR EL AVISO DE CAMBIO DE DOMICILIO CORRESPONDIENTE Y NOTIFICAR LOS DATOS CORRECTOS DE SU DOMICILIO, ANTE LA ADMINISTRACION GENERAL DE AUDITORIA FISCAL FEDERAL, MEDIANTE UN ESCRITO LIBRE QUE PODRA PRESENTAR ANTE LA ADMINISTRACION DESCONCENTRADA DE AUDITORIA FISCAL DE SU JURISDICCION.
ES OBLIGATORIA LA CAPTURA DEL DATO “RFC DEL DESPACHO”, CUANDO EL CONTADOR PUBLICO INSCRITO NO PERTENEZCA A NINGÚN DESPACHO, DEBERA ANOTAR SU PROPIO RFC</t>
        </r>
      </text>
    </comment>
    <comment ref="C4" authorId="1" shapeId="0">
      <text>
        <r>
          <rPr>
            <b/>
            <sz val="9"/>
            <color indexed="81"/>
            <rFont val="Tahoma"/>
            <family val="2"/>
          </rPr>
          <t>Se replica en:
Anexo: Contador
Índice: 01B017000
Columna: C</t>
        </r>
      </text>
    </comment>
    <comment ref="C28" authorId="1" shapeId="0">
      <text>
        <r>
          <rPr>
            <b/>
            <sz val="9"/>
            <color indexed="81"/>
            <rFont val="Tahoma"/>
            <family val="2"/>
          </rPr>
          <t>Es réplica de:
Anexo: Contador
Índice: 01B001000
Columna: C</t>
        </r>
      </text>
    </comment>
  </commentList>
</comments>
</file>

<file path=xl/comments3.xml><?xml version="1.0" encoding="utf-8"?>
<comments xmlns="http://schemas.openxmlformats.org/spreadsheetml/2006/main">
  <authors>
    <author>María del Pilar Ubaldo Juárez</author>
  </authors>
  <commentList>
    <comment ref="C4" authorId="0" shapeId="0">
      <text>
        <r>
          <rPr>
            <b/>
            <sz val="9"/>
            <color indexed="81"/>
            <rFont val="Tahoma"/>
            <family val="2"/>
          </rPr>
          <t>Se replica en:
Anexo: Representante
Índice: 01C018000
Columna: C</t>
        </r>
      </text>
    </comment>
    <comment ref="C29" authorId="0" shapeId="0">
      <text>
        <r>
          <rPr>
            <b/>
            <sz val="9"/>
            <color indexed="81"/>
            <rFont val="Tahoma"/>
            <family val="2"/>
          </rPr>
          <t>Es réplica de:
Anexo: Representante
Índice: 01C001000
Columna: C</t>
        </r>
      </text>
    </comment>
  </commentList>
</comments>
</file>

<file path=xl/comments4.xml><?xml version="1.0" encoding="utf-8"?>
<comments xmlns="http://schemas.openxmlformats.org/spreadsheetml/2006/main">
  <authors>
    <author>Francisco Garcia</author>
  </authors>
  <commentList>
    <comment ref="A42" authorId="0" shapeId="0">
      <text>
        <r>
          <rPr>
            <b/>
            <sz val="9"/>
            <color indexed="60"/>
            <rFont val="Tahoma"/>
            <family val="2"/>
          </rPr>
          <t>Instrucción: _x000D_
TIPO DE OPINIÓN OBSERVACIÓN_x000D_
1.- OPINION SIN SALVEDADES: SE ENTENDERA QUE EL CONTRIBUYENTE CUMPLE CON LAS DISPOSICIONES FISCALES Y EL MARCO CONTABLE QUE APLIQUE._x000D_
_x000D_
2.- OPINION CON SALVEDADES QUE TENGAN IMPLICACIONES FISCALES: SE ENTENDERA QUE EL CONTRIBUYENTE NO CUMPLE CON ALGUNA DISPOSICIÓN FISCAL, EN CONSECUENCIA EXISTEN DIFERENCIAS NO ENTERADAS EN EL CÁLCULO DE LOS IMPUESTOS O CONTRIBUCIONES._x000D_
_x000D_
3.- OPINION CON SALVEDADES QUE NO TENGAN IMPLICACIONES FISCALES: SE ENTENDERA QUE EL CONTRIBUYENTE NO APLICA ADECUADAMENTE ALGUNA NORMA DEL MARCO CONTABLE AL QUE ESTA SUJETO. SIN EMBARGO, CUMPLE CON LAS DISPOSICIONES FISCALES A LAS QUE ESTA SUJETO POR LO QUE NO EXISTEN DIFERENCIAS NO ENTERADAS EN EL CÁLCULO DE LOS IMPUESTOS O CONTRIBUCIONES._x000D_
_x000D_
4.- OPINION NEGATIVA QUE TENGA IMPLICACIONES FISCALES: SE ENTENDERA QUE EL CONTRIBUYENTE NO APLICA ADECUADAMENTE ALGUNA NORMA DEL MARCO CONTABLE AL QUE ESTA SUJETO Y/O NO CUMPLE CON ALGUNA DISPOSICIÓN FISCAL QUE LLEVO AL AUDITOR A EMITIR UNA OPINIÓN NEGATIVA, EN CONSECUENCIA EXISTEN DIFERENCIAS NO ENTERADAS EN EL CÁLCULO DE LOS IMPUESTOS O CONTRIBUCIONES._x000D_
_x000D_
5.- OPINION NEGATIVA QUE NO TENGA IMPLICACIONES FISCALES: SE ENTENDERA QUE EL CONTRIBUYENTE NO APLICA ADECUADAMENTE ALGUNA NORMA DEL MARCO CONTABLE AL QUE ESTA SUJETO DE TAL IMPORTANCIA QUE LLEVO AL AUDITOR A EMITIR UNA OPINION NEGATIVA. SIN EMBARGO, CUMPLE CON LAS DISPOSICIONES FISCALES A LAS QUE ESTA SUJETO POR LO QUE NO EXISTEN DIFERENCIAS NO ENTERADAS EN EL CÁLCULO DE LOS IMPUESTOS O CONTRIBUCIONES._x000D_
_x000D_
6.- ABSTENCION DE OPINION: SE ENTENDERÁ QUE EL AUDITOR NO TIENE ELEMENTOS PARA EMITIR SU OPINIÓN, EN CONSECUENCIA DESCONOCE SI EL CONTRIBUYENTE CUMPLIO O NO CON EL MARCO CONTABLE AL QUE ESTA SUJETO O CON SUS OBLIGACIONES FISCALES.</t>
        </r>
      </text>
    </comment>
    <comment ref="B57"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8" authorId="0" shapeId="0">
      <text>
        <r>
          <rPr>
            <b/>
            <sz val="9"/>
            <color indexed="12"/>
            <rFont val="Tahoma"/>
            <family val="2"/>
          </rPr>
          <t>Info TIP: _x000D_
En opinión del SAT son prácticas fiscales indebidas, fundamentadas en el Artículo 33 Fracción H del Código Fiscal de la Federación y publicadas en el anexo 3 de la Resolución Miscelánea, las cuales deben revelarse en el dictamen fiscal en su caso.</t>
        </r>
      </text>
    </comment>
    <comment ref="B91"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92"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118" authorId="0" shapeId="0">
      <text>
        <r>
          <rPr>
            <b/>
            <sz val="9"/>
            <color indexed="12"/>
            <rFont val="Tahoma"/>
            <family val="2"/>
          </rPr>
          <t>Info TIP: _x000D_
En caso de modificaciones al objeto social, se deben actualizar las actividades económicas, con la finalidad de que las erogaciones realizadas  estén relacionadas con la actividad del contribuyente y sean claramente deducibles. Artículo 27 Fracción I LISR.</t>
        </r>
      </text>
    </comment>
    <comment ref="B1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5.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5 DEL SIPRED, DEBERÁ PRESENTARSE DE FORMA COMPARATIVA RESPECTO AL EJERCICIO INMEDIATO ANTERIOR.
POR EL EJERCICIO FISCAL DE 2017 PARA SER ACORDES CON LAS MODIFICACIONES DE LA NORMA DE INFORMACION FINANCIERA B-3 ESTADO DE RESULTADO INTEGRAL, YA NO EXISTE UNA SEPARACION DE INGRESOS OPERATIVOS Y NO OPERATIVOS (OTROS INGRESOS), YA QUE AMBOS SON OPERATIVOS, POR LO QUE EN ESTE ANEXO SE INTEGRARAN LOS INGRESOS DEL CONTRIBUYENTE QUE NO TENGAN RELACION CON SU RESULTADO INTEGRAL DE FINANCIAMIENTO Y, EN SU CASO, CON SU PARTICIPACION EN RESULTADOS DE SUBSIDIARIAS NO CONSOLIDADAS, ASOCIADAS Y NEGOCIOS CONJUNTOS.
EN LA INTEGRACION ANALITICA DE VENTAS O INGRESOS NETOS, EN LAS COLUMNAS DENOMINADAS “TOTAL ACUMULABLES PARA ISR” Y “TOTAL NO ACUMULABLES PARA ISR”, SE PONDRA EL MONTO QUE DE LOS CONCEPTOS DE INGRESOS QUE SE REPORTAN TIENEN EFECTOS FISCAL. LOS INGRESOS NO ACUMULABLES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VENTAS O INGRESOS NETOS ACTUALIZADO (AÑO ACTUAL)” O “PORCENTAJE EN RELACION CON EL TOTAL DE VENTAS O INGRESOS NETOS ACTUALIZADO (AÑO ANTERIOR)”.</t>
        </r>
      </text>
    </comment>
    <comment ref="B30" authorId="0" shapeId="0">
      <text>
        <r>
          <rPr>
            <b/>
            <sz val="9"/>
            <color indexed="12"/>
            <rFont val="Tahoma"/>
            <family val="2"/>
          </rPr>
          <t>Info TIP: _x000D_
Verificar el cálculo fiscal, considerando que no haya aplicado la Deduccion Inmediata de Inversiones en ejercicios anteriores.</t>
        </r>
      </text>
    </comment>
    <comment ref="B34" authorId="0" shapeId="0">
      <text>
        <r>
          <rPr>
            <b/>
            <sz val="9"/>
            <color indexed="12"/>
            <rFont val="Tahoma"/>
            <family val="2"/>
          </rPr>
          <t>Info TIP: _x000D_
No se deberán considerar acumulables para efectos del ISR de conformidad con el ultimo párrafo del art. 16  de la LISR._x000D_
_x000D_
El importe de esta cuenta se deberá adicionar a la cuenta de CUFIN. Art. 77 1er. Párrafo LISR.</t>
        </r>
      </text>
    </comment>
    <comment ref="B35" authorId="0" shapeId="0">
      <text>
        <r>
          <rPr>
            <b/>
            <sz val="9"/>
            <color indexed="12"/>
            <rFont val="Tahoma"/>
            <family val="2"/>
          </rPr>
          <t>Info TIP: _x000D_
En caso de obtenerse de regímenes fiscales preferentes, se deberá incrementar con este importe, el saldo de la cuenta de CUFIN. Art. 77 1er. Párrafo LISR.</t>
        </r>
      </text>
    </comment>
    <comment ref="C43" authorId="1" shapeId="0">
      <text>
        <r>
          <rPr>
            <b/>
            <sz val="9"/>
            <color indexed="81"/>
            <rFont val="Tahoma"/>
            <family val="2"/>
          </rPr>
          <t>Se replica en:
Anexo: ANEXO 2
Índice: 01020000000000
Columna: C</t>
        </r>
      </text>
    </comment>
  </commentList>
</comments>
</file>

<file path=xl/comments6.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7 DE SIPRED , DEBERÁ PRESENTARSE DE FORMA COMPARATIVA RESPECTO AL EJERCICIO INMEDIATO ANTERIOR.
POR EL EJERCICIO FISCAL DE 2017 PARA SER ACORDES CON LAS MODIFICACIONES DE LA NORMA DE INFORMACION FINANCIERA B-3 ESTADO DE RESULTADO INTEGRAL, YA NO SE PRESENTAN OTROS GASTOS NO OPERATIVOS (OTROS GASTOS) POR SEPARADO DE LOS GASTOS DE OPERACION, YA QUE SON OPERATIVOS, POR LO QUE ESTE TIPO DE GASTOS SE INCLUIRAN EN ESTE ANEXO COMO OTROS GASTOS DISTINTOS A GASTOS DE FABRICACION, VENTA, ADMINISTRACION Y GENERALES.
EN EL ANALISIS COMPARATIVO DE LAS SUBCUENTAS DE GASTOS, LAS COLUMNAS DENOMINADAS: “TOTAL DEDUCIBLES PARA ISR” Y “TOTAL NO DEDUCIBLES PARA ISR”, SE PONDRA EL MONTO QUE DE LOS CONCEPTOS DE GASTOS QUE SE REPORTAN TIENEN EFECTO FISCAL EN EL EJERCICIO QUE SE DICTAMINA. LAS PARTIDAS NO DEDUCIBLES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GASTOS ACTUALIZADO (AÑO ACTUAL)” O “PORCENTAJE EN RELACION CON EL TOTAL DE GASTOS ACTUALIZADO (AÑO ANTERIOR)”.</t>
        </r>
      </text>
    </comment>
    <comment ref="B8"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9"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0"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1"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2"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5"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16"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5"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6"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9"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33"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34"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36"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B4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47"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53"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84" authorId="0" shapeId="0">
      <text>
        <r>
          <rPr>
            <b/>
            <sz val="9"/>
            <color indexed="12"/>
            <rFont val="Tahoma"/>
            <family val="2"/>
          </rPr>
          <t>Info TIP: _x000D_
1) Verificar que dentro de esta cuenta no existan pagos realizados que beneficien a socios o accionistas ya que este tipo de erogaciones son consideradas dividendos fictos en los términos del artículo 140 Fracción III de la LISR._x000D_
_x000D_
2) Se recomienda incluir un índice insertado para separar el importe de los Gastos que No reúnen los requisitos fiscales, de los No Deducibles que la LISR considera como tales y  que son los que se  disminuyen del resultado fiscal para efectos de la correcta determinación de la UFIN.</t>
        </r>
      </text>
    </comment>
    <comment ref="B92"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100"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C121" authorId="1" shapeId="0">
      <text>
        <r>
          <rPr>
            <b/>
            <sz val="9"/>
            <color indexed="81"/>
            <rFont val="Tahoma"/>
            <family val="2"/>
          </rPr>
          <t>Se replica en:
Anexo: ANEXO 6
Índice: 01060008000000
Columna: C,
Anexo: ANEXO 6
Índice: 01060030000000
Columna: C</t>
        </r>
      </text>
    </comment>
    <comment ref="J121" authorId="1" shapeId="0">
      <text>
        <r>
          <rPr>
            <b/>
            <sz val="9"/>
            <color indexed="81"/>
            <rFont val="Tahoma"/>
            <family val="2"/>
          </rPr>
          <t>Se replica en:
Anexo: ANEXO 2
Índice: 01020006000000
Columna: C</t>
        </r>
      </text>
    </comment>
    <comment ref="Q121" authorId="1" shapeId="0">
      <text>
        <r>
          <rPr>
            <b/>
            <sz val="9"/>
            <color indexed="81"/>
            <rFont val="Tahoma"/>
            <family val="2"/>
          </rPr>
          <t>Se replica en:
Anexo: ANEXO 2
Índice: 01020005000000
Columna: C</t>
        </r>
      </text>
    </comment>
    <comment ref="X121" authorId="1" shapeId="0">
      <text>
        <r>
          <rPr>
            <b/>
            <sz val="9"/>
            <color indexed="81"/>
            <rFont val="Tahoma"/>
            <family val="2"/>
          </rPr>
          <t>Se replica en:
Anexo: ANEXO 2
Índice: 01020004000000
Columna: C</t>
        </r>
      </text>
    </comment>
  </commentList>
</comments>
</file>

<file path=xl/comments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6 DE SIPRED DEBERÁ PRESENTARSE DE FORMA COMPARATIVA RESPECTO AL EJERCICIO INMEDIATO ANTERIOR.
LOS CONTRIBUYENTES QUE SE DEDIQUEN A LA COMPRAVENTA DE BIENES PARA SU DISTRIBUCION DEJARAN EN BLANCO LA DETERMINACION DEL “COSTO DE PRODUCCION TERMINADA”.</t>
        </r>
      </text>
    </comment>
    <comment ref="C30" authorId="1" shapeId="0">
      <text>
        <r>
          <rPr>
            <b/>
            <sz val="9"/>
            <color indexed="81"/>
            <rFont val="Tahoma"/>
            <family val="2"/>
          </rPr>
          <t>Es réplica de:
Anexo: ANEXO 7
Índice: 01070083000000
Columna: C</t>
        </r>
      </text>
    </comment>
    <comment ref="C56" authorId="1" shapeId="0">
      <text>
        <r>
          <rPr>
            <b/>
            <sz val="9"/>
            <color indexed="81"/>
            <rFont val="Tahoma"/>
            <family val="2"/>
          </rPr>
          <t>Se replica en:
Anexo: ANEXO 2
Índice: 01020001000000
Columna: C</t>
        </r>
      </text>
    </comment>
    <comment ref="B64" authorId="0" shapeId="0">
      <text>
        <r>
          <rPr>
            <b/>
            <sz val="9"/>
            <color indexed="12"/>
            <rFont val="Tahoma"/>
            <family val="2"/>
          </rPr>
          <t>Info TIP: _x000D_
Considerarlo para la conciliación entre el resultado contable y fiscal</t>
        </r>
      </text>
    </comment>
    <comment ref="B65" authorId="0" shapeId="0">
      <text>
        <r>
          <rPr>
            <b/>
            <sz val="9"/>
            <color indexed="12"/>
            <rFont val="Tahoma"/>
            <family val="2"/>
          </rPr>
          <t>Info TIP: _x000D_
Considerarlo para la conciliación entre el resultado contable y fiscal</t>
        </r>
      </text>
    </comment>
    <comment ref="B66" authorId="0" shapeId="0">
      <text>
        <r>
          <rPr>
            <b/>
            <sz val="9"/>
            <color indexed="12"/>
            <rFont val="Tahoma"/>
            <family val="2"/>
          </rPr>
          <t>Info TIP: _x000D_
Considerarlo para la conciliación entre el resultado contable y fiscal</t>
        </r>
      </text>
    </comment>
    <comment ref="B67" authorId="0" shapeId="0">
      <text>
        <r>
          <rPr>
            <b/>
            <sz val="9"/>
            <color indexed="12"/>
            <rFont val="Tahoma"/>
            <family val="2"/>
          </rPr>
          <t>Info TIP: _x000D_
a) Considerarlo para la conciliación entre el resultado contable y fiscal_x000D_
_x000D_
b) Las amortizaciones relacionadas con el proceso de producción se deberán incluir en un índice insertado. 
(01060026000000)</t>
        </r>
      </text>
    </comment>
    <comment ref="B68" authorId="0" shapeId="0">
      <text>
        <r>
          <rPr>
            <b/>
            <sz val="9"/>
            <color indexed="12"/>
            <rFont val="Tahoma"/>
            <family val="2"/>
          </rPr>
          <t>Info TIP: _x000D_
Considerarlo para la conciliación entre el resultado contable y fiscal</t>
        </r>
      </text>
    </comment>
    <comment ref="B72" authorId="0" shapeId="0">
      <text>
        <r>
          <rPr>
            <b/>
            <sz val="9"/>
            <color indexed="12"/>
            <rFont val="Tahoma"/>
            <family val="2"/>
          </rPr>
          <t>Info TIP: _x000D_
Determinar este cálculo aplicando los porcientos máximos autorizados con base en lo establecido en la sección II del Capitulo II del Tilulo II  de las inversiones de la LISR. De acuerdo a la estructura de la conciliación contable y fiscal ,se sugiere incluir este concepto en un índice insertado (01110086000000) del anexo 11.</t>
        </r>
      </text>
    </comment>
    <comment ref="C80" authorId="1" shapeId="0">
      <text>
        <r>
          <rPr>
            <b/>
            <sz val="9"/>
            <color indexed="81"/>
            <rFont val="Tahoma"/>
            <family val="2"/>
          </rPr>
          <t>Es réplica de:
Anexo: ANEXO 7
Índice: 01070083000000
Columna: C</t>
        </r>
      </text>
    </comment>
    <comment ref="C82" authorId="1" shapeId="0">
      <text>
        <r>
          <rPr>
            <b/>
            <sz val="9"/>
            <color indexed="81"/>
            <rFont val="Tahoma"/>
            <family val="2"/>
          </rPr>
          <t>Se replica en:
Anexo: ANEXO 2
Índice: 01020001000000
Columna: C</t>
        </r>
      </text>
    </comment>
  </commentList>
</comments>
</file>

<file path=xl/comments8.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8 DE SIPRED , DEBERÁ PRESENTARSE DE FORMA COMPARATIVA RESPECTO AL EJERCICIO INMEDIATO ANTERIOR.
EN EL ANALISIS COMPARATIVO DE LAS SUBCUENTAS DEL RESULTADO INTEGRAL DE FINANCIAMIENTO, LAS COLUMNAS DENOMINADAS: “ACUMULABLES O DEDUCIBLES PARA ISR”, “NO ACUMULABLES O NO AFECTOS AL ISR (INGRESOS) NO DEDUCIBLES (GASTOS) PARA ISR”, SE PONDRA EL MONTO QUE DE LOS CONCEPTOS DE INGRESOS O GASTOS QUE SE REPORTAN, SEGUN CORRESPONDA, TIENEN EFECTO FISCAL. LAS PARTIDAS NO DEDUCIBLES, NO ACUMULABLES O NO AFECTOS SE REFIEREN A PARTIDAS CONTABLES Y NO FISCALES.</t>
        </r>
      </text>
    </comment>
    <comment ref="C20" authorId="1" shapeId="0">
      <text>
        <r>
          <rPr>
            <b/>
            <sz val="9"/>
            <color indexed="81"/>
            <rFont val="Tahoma"/>
            <family val="2"/>
          </rPr>
          <t>Se replica en:
Anexo: ANEXO 2
Índice: 01020015000000
Columna: C</t>
        </r>
      </text>
    </comment>
    <comment ref="C36" authorId="1" shapeId="0">
      <text>
        <r>
          <rPr>
            <b/>
            <sz val="9"/>
            <color indexed="81"/>
            <rFont val="Tahoma"/>
            <family val="2"/>
          </rPr>
          <t>Se replica en:
Anexo: ANEXO 2
Índice: 01020016000000
Columna: C</t>
        </r>
      </text>
    </comment>
  </commentList>
</comments>
</file>

<file path=xl/comments9.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DEBERA LLENARSE LA INFORMACION CORRESPONDIENTE A LAS COLUMNAS DE “PARTES RELACIONADAS” Y “PARTES NO RELACIONADAS”.
DE MANERA OPCIONAL, EL CONTRIBUYENTE PODRÁ LLENAR LA INFORMACIÓN COMPARATIVA CON EL EJERCICIO ANTERIOR.</t>
        </r>
      </text>
    </comment>
    <comment ref="C7" authorId="1" shapeId="0">
      <text>
        <r>
          <rPr>
            <b/>
            <sz val="9"/>
            <color indexed="81"/>
            <rFont val="Tahoma"/>
            <family val="2"/>
          </rPr>
          <t>Es réplica de:
Anexo: ANEXO 5
Índice: 01050028000000
Columna: C</t>
        </r>
      </text>
    </comment>
    <comment ref="C11" authorId="1" shapeId="0">
      <text>
        <r>
          <rPr>
            <b/>
            <sz val="9"/>
            <color indexed="81"/>
            <rFont val="Tahoma"/>
            <family val="2"/>
          </rPr>
          <t>Es réplica de:
Anexo: ANEXO 6
Índice: 01060019000000
Columna: C,
Anexo: ANEXO 6
Índice: 01060032000000
Columna: C</t>
        </r>
      </text>
    </comment>
    <comment ref="C20" authorId="1" shapeId="0">
      <text>
        <r>
          <rPr>
            <b/>
            <sz val="9"/>
            <color indexed="81"/>
            <rFont val="Tahoma"/>
            <family val="2"/>
          </rPr>
          <t>Es réplica de:
Anexo: ANEXO 7
Índice: 01070083000000
Columna: X</t>
        </r>
      </text>
    </comment>
    <comment ref="C21" authorId="1" shapeId="0">
      <text>
        <r>
          <rPr>
            <b/>
            <sz val="9"/>
            <color indexed="81"/>
            <rFont val="Tahoma"/>
            <family val="2"/>
          </rPr>
          <t>Es réplica de:
Anexo: ANEXO 7
Índice: 01070083000000
Columna: Q</t>
        </r>
      </text>
    </comment>
    <comment ref="C22" authorId="1" shapeId="0">
      <text>
        <r>
          <rPr>
            <b/>
            <sz val="9"/>
            <color indexed="81"/>
            <rFont val="Tahoma"/>
            <family val="2"/>
          </rPr>
          <t>Es réplica de:
Anexo: ANEXO 7
Índice: 01070083000000
Columna: J</t>
        </r>
      </text>
    </comment>
    <comment ref="C41" authorId="1" shapeId="0">
      <text>
        <r>
          <rPr>
            <b/>
            <sz val="9"/>
            <color indexed="81"/>
            <rFont val="Tahoma"/>
            <family val="2"/>
          </rPr>
          <t>Es réplica de:
Anexo: ANEXO 8
Índice: 01080007000000
Columna: C</t>
        </r>
      </text>
    </comment>
    <comment ref="C42" authorId="1" shapeId="0">
      <text>
        <r>
          <rPr>
            <b/>
            <sz val="9"/>
            <color indexed="81"/>
            <rFont val="Tahoma"/>
            <family val="2"/>
          </rPr>
          <t>Es réplica de:
Anexo: ANEXO 8
Índice: 01080015000000
Columna: C</t>
        </r>
      </text>
    </comment>
    <comment ref="C60" authorId="1" shapeId="0">
      <text>
        <r>
          <rPr>
            <b/>
            <sz val="9"/>
            <color indexed="81"/>
            <rFont val="Tahoma"/>
            <family val="2"/>
          </rPr>
          <t>Se replica en:
Anexo: ANEXO 4
Índice: 01040001000000
Columna: C</t>
        </r>
      </text>
    </comment>
    <comment ref="C61" authorId="1" shapeId="0">
      <text>
        <r>
          <rPr>
            <b/>
            <sz val="9"/>
            <color indexed="81"/>
            <rFont val="Tahoma"/>
            <family val="2"/>
          </rPr>
          <t>Se replica en:
Anexo: ANEXO 4
Índice: 01040000000000
Columna: C</t>
        </r>
      </text>
    </comment>
    <comment ref="C74" authorId="1" shapeId="0">
      <text>
        <r>
          <rPr>
            <b/>
            <sz val="9"/>
            <color indexed="81"/>
            <rFont val="Tahoma"/>
            <family val="2"/>
          </rPr>
          <t>Se replica en:
Anexo: ANEXO 1
Índice: 01010136000000
Columna: C,
Anexo: ANEXO 11
Índice: 01110001000000
Columna: C</t>
        </r>
      </text>
    </comment>
    <comment ref="C75" authorId="1" shapeId="0">
      <text>
        <r>
          <rPr>
            <b/>
            <sz val="9"/>
            <color indexed="81"/>
            <rFont val="Tahoma"/>
            <family val="2"/>
          </rPr>
          <t>Se replica en:
Anexo: ANEXO 1
Índice: 01010135000000
Columna: C,
Anexo: ANEXO 11
Índice: 01110000000000
Columna: C</t>
        </r>
      </text>
    </comment>
  </commentList>
</comments>
</file>

<file path=xl/comments10.xml><?xml version="1.0" encoding="utf-8"?>
<comments xmlns="http://schemas.openxmlformats.org/spreadsheetml/2006/main">
  <authors>
    <author>Francisco Garcia</author>
  </authors>
  <commentList>
    <comment ref="B1" authorId="0" shapeId="0">
      <text>
        <r>
          <rPr>
            <b/>
            <sz val="9"/>
            <color indexed="60"/>
            <rFont val="Tahoma"/>
            <family val="2"/>
          </rPr>
          <t>Instrucción: _x000D_
LAS CONTRIBUCIONES QUE AL CIERRE DEL EJERCICIO DICTAMINADO SE HUBIEREN CAUSADO Y ESTEN PENDIENTES DE PAGO, SEGUN EL ESTADO DE SITUACION FINANCIERA, SE RELACIONARAN EN EL ANEXO DENOMINADO “RELACION DE CONTRIBUCIONES POR PAGAR”, IDENTIFICANDOLAS POR TIPO DE CONTRIBUCION Y DENTRO DE ESTA, POR MES, EJERCICIO O PERIODO DE CAUSACION, INDICANDO EL IMPORTE POR PAGAR QUE ES CORRESPONDIENTE AL EJERCICIO FISCAL DICTAMINADO, EL IMPORTE POR PAGAR PROVENIENTE DE EJERCICIOS ANTERIORES, LA SUMA DE DICHOS IMPORTES QUE REPRESENTA EL TOTAL DE CONTRIBUCIONES POR PAGAR AL CIERRE DEL EJERCICIO DICTAMINADO, IDENTIFICANDO, EN SU CASO, DEL TOTAL DE CONTRIBUCIONES, EL IMPORTE DE LA CONTRIBUCION QUE SE ENCUENTRA EN LITIGIO, LA FECHA DE PAGO Y NOMBRE DE LA INSTITUCION DE CREDITO O SAT EN EL QUE SE EFECTUO EL PAGO, O EN SU CASO, NUMERO DE LA OPERACION, O BIEN, DEJANDO EN BLANCO ESTOS DATOS CON EXCEPCION DEL IMPORTE, CUANDO NO SE HUBIERA CUBIERTO LA CONTRIBUCION A LA FECHA DE PRESENTACION DEL DICTAMEN.
EL CONTADOR PUBLICO QUE DICTAMINO DEBERA MANIFESTAR EN EL INFORME SOBRE LA REVISION DE LA SITUACION FISCAL DEL CONTRIBUYENTE, LOS IMPUESTOS RETENIDOS POR CONCEPTO DE I.S.R. PENDIENTES DE PAGO A LA FECHA DE PRESENTACION DEL DICTAMEN, SEÑALANDO: LA BASE DEDUCIDA A LA QUE CORRESPONDEN DICHAS RETENCIONES, EL PERIODO Y EL CONCEPTO DEL PAGO.
EL CONTADOR PUBLICO QUE DICTAMINO QUEDARA RELEVADO DE MANIFESTAR DICHA INFORMACION, CUANDO CON MOTIVO DE SU AUDITORIA, HAYA CONSIDERADO COMO CONCEPTOS NO DEDUCIBLES PARA EL IMPUESTO SOBRE LA RENTA A CARGO DEL CONTRIBUYENTE, LAS BASES A LAS QUE CORRESPONDEN LOS IMPUESTOS RETENIDOS PENDIENTES DE PAGO, DEBIENDO PRECISAR EN SU INFORME ESTA SITUACION.
LOS CONTRIBUYENTES QUE ESTEN EFECTUANDO EL PAGO EN PARCIALIDADES, DE UNA O MAS CONTRIBUCIONES, DEBERAN ANOTAR LOS DATOS DEL AVISO DE OPCION, (ESCRITO LIBRE): NUMERO DE FOLIO, FECHA DE PRESENTACION Y LA ADMINISTRACION RECEPTORA, ASI COMO LOS DATOS DEL OFICIO DE AUTORIZACION DE PAGO EN PARCIALIDADES, INDICANDO EL NUMERO DEL OFICIO Y LA FECHA.
SI POR ALGUNA RAZON EL CONTRIBUYENTE REFLEJA EN SUS CUENTAS DEL PASIVO, CONTRIBUCIONES POR PAGAR CON SALDOS DE CONTRIBUCIONES NO CAUSADAS AL CIERRE DEL EJERCICIO, A PARTIR DEL INDICE “ESPECIFICAR CONCEPTO Y PERIODO AL QUE CORRESPONDE” DEBERA REFLEJAR ESOS SALDOS.
EN LA COLUMNA “IMPORTE DE LA CONTRIBUCION EN LITIGIO”, SE ANOTARAN LAS CONTRIBUCIONES PENDIENTES DE PAGO QUE SE ENCUENTRAN EN LITIGIO POR EL CONTRIBUYENTE Y ADEMAS DEBERA ADICIONAR EN LA CONTRIBUCION DE QUE SE TRATE EN LA COLUMNA DE CONCEPTO, LA PALABRA “LITIGIO” PARA IDENTIFICAR LA RAZON POR LA CUAL NO SE HA CUBIERTO ESA CONTRIBUCION.</t>
        </r>
      </text>
    </comment>
  </commentList>
</comments>
</file>

<file path=xl/comments11.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t>
        </r>
      </text>
    </comment>
    <comment ref="S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T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B36" authorId="0" shapeId="0">
      <text>
        <r>
          <rPr>
            <b/>
            <sz val="9"/>
            <color indexed="12"/>
            <rFont val="Tahoma"/>
            <family val="2"/>
          </rPr>
          <t>Info TIP: _x000D_
Verificar que se cuente con el o las acta(s) de asamblea correspondientes a estos movimientos de capital</t>
        </r>
      </text>
    </comment>
    <comment ref="B37" authorId="0" shapeId="0">
      <text>
        <r>
          <rPr>
            <b/>
            <sz val="9"/>
            <color indexed="12"/>
            <rFont val="Tahoma"/>
            <family val="2"/>
          </rPr>
          <t>Info TIP: _x000D_
Verificar el origen de los dividendos, ya sea de CUFIN, CUFINRE u otros que no hayan pagado impuesto y confirmar que ser hayan pagado los impuestos en términos del artículo 10, 77 y 140 de la LISR. 
Contar con el o las acta(s) de asamblea correspondientes al pago de Dividendos.</t>
        </r>
      </text>
    </comment>
    <comment ref="C56" authorId="1" shapeId="0">
      <text>
        <r>
          <rPr>
            <b/>
            <sz val="9"/>
            <color indexed="81"/>
            <rFont val="Tahoma"/>
            <family val="2"/>
          </rPr>
          <t>Se replica en:
Anexo: ANEXO 1
Índice: 01010130000000
Columna: C</t>
        </r>
      </text>
    </comment>
    <comment ref="D56" authorId="1" shapeId="0">
      <text>
        <r>
          <rPr>
            <b/>
            <sz val="9"/>
            <color indexed="81"/>
            <rFont val="Tahoma"/>
            <family val="2"/>
          </rPr>
          <t>Se replica en:
Anexo: ANEXO 1
Índice: 01010131000000
Columna: C</t>
        </r>
      </text>
    </comment>
    <comment ref="E56" authorId="1" shapeId="0">
      <text>
        <r>
          <rPr>
            <b/>
            <sz val="9"/>
            <color indexed="81"/>
            <rFont val="Tahoma"/>
            <family val="2"/>
          </rPr>
          <t>Se replica en:
Anexo: ANEXO 1
Índice: 01010132000000
Columna: C</t>
        </r>
      </text>
    </comment>
    <comment ref="F56" authorId="1" shapeId="0">
      <text>
        <r>
          <rPr>
            <b/>
            <sz val="9"/>
            <color indexed="81"/>
            <rFont val="Tahoma"/>
            <family val="2"/>
          </rPr>
          <t>Se replica en:
Anexo: ANEXO 1
Índice: 01010133000000
Columna: C</t>
        </r>
      </text>
    </comment>
    <comment ref="G56" authorId="1" shapeId="0">
      <text>
        <r>
          <rPr>
            <b/>
            <sz val="9"/>
            <color indexed="81"/>
            <rFont val="Tahoma"/>
            <family val="2"/>
          </rPr>
          <t>Se replica en:
Anexo: ANEXO 1
Índice: 01010134000000
Columna: C</t>
        </r>
      </text>
    </comment>
    <comment ref="J56" authorId="1" shapeId="0">
      <text>
        <r>
          <rPr>
            <b/>
            <sz val="9"/>
            <color indexed="81"/>
            <rFont val="Tahoma"/>
            <family val="2"/>
          </rPr>
          <t>Se replica en:
Anexo: ANEXO 1
Índice: 01010137000000
Columna: C</t>
        </r>
      </text>
    </comment>
    <comment ref="K56" authorId="1" shapeId="0">
      <text>
        <r>
          <rPr>
            <b/>
            <sz val="9"/>
            <color indexed="81"/>
            <rFont val="Tahoma"/>
            <family val="2"/>
          </rPr>
          <t>Se replica en:
Anexo: ANEXO 1
Índice: 01010138000000
Columna: C</t>
        </r>
      </text>
    </comment>
    <comment ref="P56" authorId="1" shapeId="0">
      <text>
        <r>
          <rPr>
            <b/>
            <sz val="9"/>
            <color indexed="81"/>
            <rFont val="Tahoma"/>
            <family val="2"/>
          </rPr>
          <t>Se replica en:
Anexo: ANEXO 1
Índice: 01010143000000
Columna: C</t>
        </r>
      </text>
    </comment>
    <comment ref="Q56" authorId="1" shapeId="0">
      <text>
        <r>
          <rPr>
            <b/>
            <sz val="9"/>
            <color indexed="81"/>
            <rFont val="Tahoma"/>
            <family val="2"/>
          </rPr>
          <t>Se replica en:
Anexo: ANEXO 1
Índice: 01010144000000
Columna: C</t>
        </r>
      </text>
    </comment>
    <comment ref="R56" authorId="1" shapeId="0">
      <text>
        <r>
          <rPr>
            <b/>
            <sz val="9"/>
            <color indexed="81"/>
            <rFont val="Tahoma"/>
            <family val="2"/>
          </rPr>
          <t>Se replica en:
Anexo: ANEXO 1
Índice: 01010145000000
Columna: C</t>
        </r>
      </text>
    </comment>
    <comment ref="U56" authorId="1" shapeId="0">
      <text>
        <r>
          <rPr>
            <b/>
            <sz val="9"/>
            <color indexed="81"/>
            <rFont val="Tahoma"/>
            <family val="2"/>
          </rPr>
          <t>Se replica en:
Anexo: ANEXO 1
Índice: 01010148000000
Columna: C</t>
        </r>
      </text>
    </comment>
  </commentList>
</comments>
</file>

<file path=xl/comments1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DEL ACTIVO (AÑO ACTUAL)” O “PORCENTAJE EN RELACION CON EL TOTAL DEL ACTIVO (AÑO ANTERIOR)”.</t>
        </r>
      </text>
    </comment>
    <comment ref="B20" authorId="0" shapeId="0">
      <text>
        <r>
          <rPr>
            <b/>
            <sz val="9"/>
            <color indexed="12"/>
            <rFont val="Tahoma"/>
            <family val="2"/>
          </rPr>
          <t>Info TIP: _x000D_
Verificar que el saldo de esta cuenta sea congruente con el IVA no cobrado (01010105000000)</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8" authorId="0" shapeId="0">
      <text>
        <r>
          <rPr>
            <b/>
            <sz val="9"/>
            <color indexed="12"/>
            <rFont val="Tahoma"/>
            <family val="2"/>
          </rPr>
          <t>Info TIP: _x000D_
Revisar cuentas a cargo de socios o accionistas que pudieran considerarse como dividendos fictos conforme a lo establecido en el artículo 140 F-II, III y VI de la LISR</t>
        </r>
      </text>
    </comment>
    <comment ref="B29" authorId="0" shapeId="0">
      <text>
        <r>
          <rPr>
            <b/>
            <sz val="9"/>
            <color indexed="12"/>
            <rFont val="Tahoma"/>
            <family val="2"/>
          </rPr>
          <t>Info TIP: _x000D_
De acuerdo a SIPRED las cancelaciones de las Estimaciones se concideran ingresos contables no fiscales por lo que  se sugiere verificar que las variaciones entre el saldo inicial y final de esta cuenta estén incluidas en la conciliación entre el resultado contable y fiscal en los índices 01110043000000, 01110095000000 y  cuando proceda él 01110078000000 del anexo 11.</t>
        </r>
      </text>
    </comment>
    <comment ref="B38" authorId="0" shapeId="0">
      <text>
        <r>
          <rPr>
            <b/>
            <sz val="9"/>
            <color indexed="12"/>
            <rFont val="Tahoma"/>
            <family val="2"/>
          </rPr>
          <t>Info TIP: _x000D_
Cuando las mercancías pierdan su valor por deterioro u otras causas no imputables al contribuyente podrán deducirlo en los términos y cumpliendo los requisitos del Artículo 27 Fracción XX de la LISR.</t>
        </r>
      </text>
    </comment>
    <comment ref="B4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A53" authorId="0" shapeId="0">
      <text>
        <r>
          <rPr>
            <b/>
            <sz val="9"/>
            <color indexed="60"/>
            <rFont val="Tahoma"/>
            <family val="2"/>
          </rPr>
          <t>Instrucción: _x000D_
EN EL INDICE “IMPUESTO AL VALOR AGREGADO NO PAGADO” SE REFLEJARA EL IMPUESTO AL VALOR AGREGADO QUE NO OBSTANTE QUE CONSTA EN UN COMPROBANTE FISCAL A FAVOR DEL CONTRIBUYENTE, POR LA ADQUISICION DE BIENES Y SERVICIOS, O POR EL USO O GOCE TEMPORAL DE BIENES, AL CIERRE DEL EJERCICIO ESTA PENDIENTE DE PAGO, Y POR LO TANTO TIENE DERECHO A ACREDITARLO HASTA EL MOMENTO EN QUE EFECTIVAMENTE LO PAGUE.</t>
        </r>
      </text>
    </comment>
    <comment ref="B53" authorId="0" shapeId="0">
      <text>
        <r>
          <rPr>
            <b/>
            <sz val="9"/>
            <color indexed="12"/>
            <rFont val="Tahoma"/>
            <family val="2"/>
          </rPr>
          <t>Info TIP: _x000D_
Verificar la congruencia del saldo de esta cuenta con las cuentas por pagar a proveedores y otras cuentas gravadas pendientes de pago.</t>
        </r>
      </text>
    </comment>
    <comment ref="B61"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B87" authorId="0" shapeId="0">
      <text>
        <r>
          <rPr>
            <b/>
            <sz val="9"/>
            <color indexed="12"/>
            <rFont val="Tahoma"/>
            <family val="2"/>
          </rPr>
          <t>Info TIP: _x000D_
Verificar que el total de activos fijos sin considerar los terrenos, coincida con el total del monto original de las inversiones de la cédula de cálculo de depreciaciones, tomando en consideración las ventas y bajas de activos fijos que se hayan depreciado totalmente.</t>
        </r>
      </text>
    </comment>
    <comment ref="B97" authorId="0" shapeId="0">
      <text>
        <r>
          <rPr>
            <b/>
            <sz val="9"/>
            <color indexed="12"/>
            <rFont val="Tahoma"/>
            <family val="2"/>
          </rPr>
          <t>Info TIP: _x000D_
Verificar que el monto de las depreciaciones del ejercicio menos la cancelación de depreciaciones por venta o baja de activo fijo sumada a la depreciación inicial acumulada, coincida con la depreciación acumulada al cierre del ejercicio.</t>
        </r>
      </text>
    </comment>
    <comment ref="B155" authorId="0" shapeId="0">
      <text>
        <r>
          <rPr>
            <b/>
            <sz val="9"/>
            <color indexed="12"/>
            <rFont val="Tahoma"/>
            <family val="2"/>
          </rPr>
          <t>Info TIP: _x000D_
Verificar que en caso de haber obtenido préstamos en efectivo mayores a $ 600,000.00, se hayan presentado las declaraciones informativas correspondientes dentro de los 15 días posteriores de haberlos obtenido conforme a lo establecido en el Artículo 113 del RLISR.</t>
        </r>
      </text>
    </comment>
    <comment ref="B159" authorId="0" shapeId="0">
      <text>
        <r>
          <rPr>
            <b/>
            <sz val="9"/>
            <color indexed="12"/>
            <rFont val="Tahoma"/>
            <family val="2"/>
          </rPr>
          <t>Info TIP: _x000D_
Verificar que el saldo de esta cuenta y otros saldos acreedores gravados sea congruente con el IVA no pagado (01010030000000).</t>
        </r>
      </text>
    </comment>
    <comment ref="A181" authorId="0" shapeId="0">
      <text>
        <r>
          <rPr>
            <b/>
            <sz val="9"/>
            <color indexed="60"/>
            <rFont val="Tahoma"/>
            <family val="2"/>
          </rPr>
          <t>Instrucción: _x000D_
EN EL INDICE “IMPUESTO AL VALOR AGREGADO NO COBRADO” SE REFLEJARA EL IMPUESTO AL VALOR AGREGADO QUE, NO OBSTANTE QUE CONSTA EN UN COMPROBANTE FISCAL EXPEDIDO POR EL CONTRIBUYENTE, POR LA ENAJENACION DE BIENES Y SERVICIOS, O POR OTORGAR EL USO O GOCE TEMPORAL DE BIENES, AL CIERRE DEL EJERCICIO ESTA PENDIENTE DE COBRO, Y POR LO TANTO LO CAUSA EL CONTRIBUYENTE HASTA EL MOMENTO EN QUE EFECTIVAMENTE LO COBRE.</t>
        </r>
      </text>
    </comment>
    <comment ref="B181" authorId="0" shapeId="0">
      <text>
        <r>
          <rPr>
            <b/>
            <sz val="9"/>
            <color indexed="12"/>
            <rFont val="Tahoma"/>
            <family val="2"/>
          </rPr>
          <t>Info TIP: _x000D_
Verificar la congruencia del saldo de esta cuenta contra las cuentas por cobrar a clientes y otras cuentas gravadas por este impuesto.</t>
        </r>
      </text>
    </comment>
    <comment ref="B182" authorId="0" shapeId="0">
      <text>
        <r>
          <rPr>
            <b/>
            <sz val="9"/>
            <color indexed="12"/>
            <rFont val="Tahoma"/>
            <family val="2"/>
          </rPr>
          <t>Info TIP: _x000D_
Verificar que el importe no cobrado por los trabajadores de PTU correspondiente al ejercicio anterior, se incluya en la cantidad a repartir en el ejercicio actual conforme a lo establecido en el artículo 122 de la LFT.</t>
        </r>
      </text>
    </comment>
    <comment ref="B183" authorId="0" shapeId="0">
      <text>
        <r>
          <rPr>
            <b/>
            <sz val="9"/>
            <color indexed="12"/>
            <rFont val="Tahoma"/>
            <family val="2"/>
          </rPr>
          <t>Info TIP: _x000D_
Verificar que los saldos de esta cuenta se hayan incluido como ingresos acumulables para efectos de la LISR. Art. 17 Fracción I Inciso c) LISR.</t>
        </r>
      </text>
    </comment>
    <comment ref="B184" authorId="0" shapeId="0">
      <text>
        <r>
          <rPr>
            <b/>
            <sz val="9"/>
            <color indexed="12"/>
            <rFont val="Tahoma"/>
            <family val="2"/>
          </rPr>
          <t>Info TIP: _x000D_
Verificar que los saldos de esta cuenta se hayan incluido como ingresos acumulables para efectos de la LISR. Art. 17 Fracción I Inciso c) LISR.</t>
        </r>
      </text>
    </comment>
    <comment ref="B185"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186"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6" authorId="0" shapeId="0">
      <text>
        <r>
          <rPr>
            <b/>
            <sz val="9"/>
            <color indexed="12"/>
            <rFont val="Tahoma"/>
            <family val="2"/>
          </rPr>
          <t>Info TIP: _x000D_
De acuerdo a SIPRED las cancelaciones de las Provisiones se deben incluir como ingresos contables no fiscales por lo que  se sugiere  verificar que las variaciones entre el saldo inicial y final de esta cuenta estén incluidas en la conciliación entre el resultado contable y fiscal en los índices 01110042000000, 01110096000000 y cuando proceda él 01110077000000 del anexo 11.</t>
        </r>
      </text>
    </comment>
    <comment ref="B210" authorId="0" shapeId="0">
      <text>
        <r>
          <rPr>
            <b/>
            <sz val="9"/>
            <color indexed="12"/>
            <rFont val="Tahoma"/>
            <family val="2"/>
          </rPr>
          <t>Info TIP: _x000D_
Verificar que el saldo de esta cuenta se haya incluido como ingresos acumulables para efectos de la LISR. Art. 17 Fracción I Inciso c) LISR</t>
        </r>
      </text>
    </comment>
    <comment ref="B223" authorId="0" shapeId="0">
      <text>
        <r>
          <rPr>
            <b/>
            <sz val="9"/>
            <color indexed="12"/>
            <rFont val="Tahoma"/>
            <family val="2"/>
          </rPr>
          <t>Info TIP: _x000D_
Verificar que el saldo de esta cuenta esté integrado con el acta constitutiva y las demás actas de asamblea que modifiquen el capital e incluir esta información en las notas a los estados financieros.</t>
        </r>
      </text>
    </comment>
    <comment ref="C223" authorId="1" shapeId="0">
      <text>
        <r>
          <rPr>
            <b/>
            <sz val="9"/>
            <color indexed="81"/>
            <rFont val="Tahoma"/>
            <family val="2"/>
          </rPr>
          <t>Es réplica de:
Anexo: ANEXO 3
Índice: 01030046000000
Columna: C</t>
        </r>
      </text>
    </comment>
    <comment ref="C224" authorId="1" shapeId="0">
      <text>
        <r>
          <rPr>
            <b/>
            <sz val="9"/>
            <color indexed="81"/>
            <rFont val="Tahoma"/>
            <family val="2"/>
          </rPr>
          <t>Es réplica de:
Anexo: ANEXO 3
Índice: 01030046000000
Columna: D</t>
        </r>
      </text>
    </comment>
    <comment ref="B225" authorId="0" shapeId="0">
      <text>
        <r>
          <rPr>
            <b/>
            <sz val="9"/>
            <color indexed="12"/>
            <rFont val="Tahoma"/>
            <family val="2"/>
          </rPr>
          <t>Info TIP: _x000D_
Verificar que se tenga acta de asamblea en la que se acuerde esta aportación para futuros aumentos de capital , de lo contrario, conforme al artículo 46 de la LISR se deberán considerar como deuda para la determinación del ajuste anual por inflación.</t>
        </r>
      </text>
    </comment>
    <comment ref="C225" authorId="1" shapeId="0">
      <text>
        <r>
          <rPr>
            <b/>
            <sz val="9"/>
            <color indexed="81"/>
            <rFont val="Tahoma"/>
            <family val="2"/>
          </rPr>
          <t>Es réplica de:
Anexo: ANEXO 3
Índice: 01030046000000
Columna: E</t>
        </r>
      </text>
    </comment>
    <comment ref="C226" authorId="1" shapeId="0">
      <text>
        <r>
          <rPr>
            <b/>
            <sz val="9"/>
            <color indexed="81"/>
            <rFont val="Tahoma"/>
            <family val="2"/>
          </rPr>
          <t>Es réplica de:
Anexo: ANEXO 3
Índice: 01030046000000
Columna: F</t>
        </r>
      </text>
    </comment>
    <comment ref="B227" authorId="0" shapeId="0">
      <text>
        <r>
          <rPr>
            <b/>
            <sz val="9"/>
            <color indexed="12"/>
            <rFont val="Tahoma"/>
            <family val="2"/>
          </rPr>
          <t>Info TIP: _x000D_
Deberá separarse como mínimo un 5% de la utilidad neta del ejercicio hasta alcanzar una quinta parte del capital social, para constituir esta reserva, conforme al artículo 20 de la LGSM.</t>
        </r>
      </text>
    </comment>
    <comment ref="C227" authorId="1" shapeId="0">
      <text>
        <r>
          <rPr>
            <b/>
            <sz val="9"/>
            <color indexed="81"/>
            <rFont val="Tahoma"/>
            <family val="2"/>
          </rPr>
          <t>Es réplica de:
Anexo: ANEXO 3
Índice: 01030046000000
Columna: G</t>
        </r>
      </text>
    </comment>
    <comment ref="C228" authorId="1" shapeId="0">
      <text>
        <r>
          <rPr>
            <b/>
            <sz val="9"/>
            <color indexed="81"/>
            <rFont val="Tahoma"/>
            <family val="2"/>
          </rPr>
          <t>Es réplica de:
Anexo: ANEXO 2
Índice: 01020035000000
Columna: C</t>
        </r>
      </text>
    </comment>
    <comment ref="C229" authorId="1" shapeId="0">
      <text>
        <r>
          <rPr>
            <b/>
            <sz val="9"/>
            <color indexed="81"/>
            <rFont val="Tahoma"/>
            <family val="2"/>
          </rPr>
          <t>Es réplica de:
Anexo: ANEXO 2
Índice: 01020034000000
Columna: C</t>
        </r>
      </text>
    </comment>
    <comment ref="C230" authorId="1" shapeId="0">
      <text>
        <r>
          <rPr>
            <b/>
            <sz val="9"/>
            <color indexed="81"/>
            <rFont val="Tahoma"/>
            <family val="2"/>
          </rPr>
          <t>Es réplica de:
Anexo: ANEXO 3
Índice: 01030046000000
Columna: J</t>
        </r>
      </text>
    </comment>
    <comment ref="C231" authorId="1" shapeId="0">
      <text>
        <r>
          <rPr>
            <b/>
            <sz val="9"/>
            <color indexed="81"/>
            <rFont val="Tahoma"/>
            <family val="2"/>
          </rPr>
          <t>Es réplica de:
Anexo: ANEXO 3
Índice: 01030046000000
Columna: K</t>
        </r>
      </text>
    </comment>
    <comment ref="C236" authorId="1" shapeId="0">
      <text>
        <r>
          <rPr>
            <b/>
            <sz val="9"/>
            <color indexed="81"/>
            <rFont val="Tahoma"/>
            <family val="2"/>
          </rPr>
          <t>Es réplica de:
Anexo: ANEXO 3
Índice: 01030046000000
Columna: P</t>
        </r>
      </text>
    </comment>
    <comment ref="C237" authorId="1" shapeId="0">
      <text>
        <r>
          <rPr>
            <b/>
            <sz val="9"/>
            <color indexed="81"/>
            <rFont val="Tahoma"/>
            <family val="2"/>
          </rPr>
          <t>Es réplica de:
Anexo: ANEXO 3
Índice: 01030046000000
Columna: Q</t>
        </r>
      </text>
    </comment>
    <comment ref="C238" authorId="1" shapeId="0">
      <text>
        <r>
          <rPr>
            <b/>
            <sz val="9"/>
            <color indexed="81"/>
            <rFont val="Tahoma"/>
            <family val="2"/>
          </rPr>
          <t>Es réplica de:
Anexo: ANEXO 3
Índice: 01030046000000
Columna: R</t>
        </r>
      </text>
    </comment>
    <comment ref="C242" authorId="1" shapeId="0">
      <text>
        <r>
          <rPr>
            <b/>
            <sz val="9"/>
            <color indexed="81"/>
            <rFont val="Tahoma"/>
            <family val="2"/>
          </rPr>
          <t>Es réplica de:
Anexo: ANEXO 3
Índice: 01030046000000
Columna: U</t>
        </r>
      </text>
    </comment>
  </commentList>
</comments>
</file>

<file path=xl/comments13.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SOCIO O ACCIONISTA QUE EL CONTRIBUYENTE HAYA TENIDO DURANTE EL EJERCICIO, CUANDO EL SOCIO O ACCIONISTA NO SEA DIRECTAMENTE UNA PERSONA FISICA O MORAL SINO UN CONTRATO DE FIDEICOMISO, SE ANOTARA EL NUMERO DE CONTRATO DEL FIDEICOMISO Y EL NOMBRE DE LA INSTITUCION QUE ACTUA COMO FIDUCIARIA.
CUANDO EXISTAN ACCIONES COLOCADAS ENTRE EL GRAN PUBLICO INVERSIONISTA, SE ASENTARA EN EL RENGLON CORRESPONDIENTE AL SOCIO O ACCIONISTA “ACCIONES COLOCADAS ENTRE EL GRAN PUBLICO INVERSIONISTA”</t>
        </r>
      </text>
    </comment>
    <comment ref="C2" authorId="0" shapeId="0">
      <text>
        <r>
          <rPr>
            <b/>
            <sz val="9"/>
            <color indexed="60"/>
            <rFont val="Tahoma"/>
            <family val="2"/>
          </rPr>
          <t>Instrucción: _x000D_
EN LA COLUMNA “NUMERO DE IDENTIFICACION FISCAL O RFC”, SE ANOTARA EL NUMERO O CLAVE DE IDENTIFICACION FISCAL QUE UTILIZA EL SOCIO O ACCIONISTA EN SU PAIS DE RESIDENCIA, EN CASO DE QUE EN EL PAIS DE RESIDENCIA DEL SOCIO O ACCIONISTA NO SE UTILICE DICHA CLAVE, SE ANOTARA N/A. CUANDO EL SOCIO O ACCIONISTA SEA UN RESIDENTE EN TERRITORIO NACIONAL, SE ANOTARA EL REGISTRO FEDERAL DE CONTRIBUYENTES. CUANDO EXISTAN ACCIONISTAS PUBLICO EN GENERAL, SE ANOTARA “VARIOS”, EN NINGUN CASO SE ANOTARA “VARIOS” CUANDO LOS SOCIOS O ACCIONISTAS NO SEAN PUBLICO EN GENERAL, POR LO QUE SIEMPRE SE DEBERA ANOTAR EL RFC O NUMERO O CLAVE DE INDENTIFICACION FISCAL DEL SOCIO O ACCIONISTA SEGÚN CORRESPONDA.</t>
        </r>
      </text>
    </comment>
    <comment ref="E2" authorId="0" shapeId="0">
      <text>
        <r>
          <rPr>
            <b/>
            <sz val="9"/>
            <color indexed="60"/>
            <rFont val="Tahoma"/>
            <family val="2"/>
          </rPr>
          <t>Instrucción: _x000D_
EN LA COLUMNA “PORCENTAJE DE PARTICIPACION DEL SOCIO O ACCIONISTA EN EL EJERCICIO”, SE ANOTARA EL PORCENTAJE DE PARTICIPACIÓN PROMEDIO DURANTE EL EJERCICIO FISCAL DE 2017, QUE PRESENTE LAS ACCIONES PARTES SOCIALES PROPIEDAD DE LOS SOCIOS O ACCIONISTAS DEL CONTRIBUYENTE CON RESPECTO AL TOTAL DE ACCIONES O PARES SOCIALES EMITIDAS POR EL PROPIO CONTRIBUYENTE.</t>
        </r>
      </text>
    </comment>
    <comment ref="F2" authorId="0" shapeId="0">
      <text>
        <r>
          <rPr>
            <b/>
            <sz val="9"/>
            <color indexed="60"/>
            <rFont val="Tahoma"/>
            <family val="2"/>
          </rPr>
          <t>Instrucción: _x000D_
EN LA COLUMNA “PERIODO DE TENENCIA” SE SEÑALARA EL PERIODO DEL 1 DE ENERO AL 31 DE DICIEMBRE, CUANDO EL SOCIO O ACCIONISTA SE HAYA MANTENIDO COMO TAL DURANTE EL EJERCICIO FISCAL DEL CONTRIBUYENTE QUE SE DICTAMINA.
CUANDO UN SOCIO O ACCIONISTA HAYA DEJADO DE TENER TAL CARACTER DURANTE UN EJERCICIO, EL PERIODO DE TENENCIA TERMINARA EN LA FECHA EN QUE SE ASIENTE EN EL REGISTRO DE ACCIONES O EN EL LIBRO ESPECIAL DE LOS SOCIOS, LA TRANSMISION DE LAS ACCIONES O PARTES SOCIALES (ARTICULOS 128 Y 129, Y 73, RESPECTIVAMENTE DE LA LEY GENERAL DE SOCIEDADES MERCANTILES).
CUANDO UN SOCIO O ACCIONISTA COMIENCE A TENER TAL CARACTER DURANTE UN EJERCICIO, EL PERIODO DE TENENCIA INICIARA EN LA FECHA EN QUE SE ASIENTE EN EL REGISTRO DE ACCIONES O EN EL LIBRO ESPECIAL DE LOS SOCIOS, LA TRANSMISION DE LAS ACCIONES O PARTES SOCIALES (ARTICULOS 128 Y 129, Y 73, RESPECTIVAMENTE DE LA LEY GENERAL DE SOCIEDADES MERCANTILES).
PARA LOS ACCIONISTAS PUBLICO EN GENERAL, SE DEJARAN EN BLANCO LAS FECHAS DE LA VIGENCIA.</t>
        </r>
      </text>
    </comment>
    <comment ref="H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I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J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 ref="K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List>
</comments>
</file>

<file path=xl/comments14.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PONDRA UNICAMENTE LA INFORMACION CORRESPONDIENTE AL METODO ELEGIDO POR EL CONTRIBUYENTE.</t>
        </r>
      </text>
    </comment>
    <comment ref="C10" authorId="1" shapeId="0">
      <text>
        <r>
          <rPr>
            <b/>
            <sz val="9"/>
            <color indexed="81"/>
            <rFont val="Tahoma"/>
            <family val="2"/>
          </rPr>
          <t>Es réplica de:
Anexo: ANEXO 2
Índice: 01020029000000
Columna: C</t>
        </r>
      </text>
    </comment>
    <comment ref="C11" authorId="1" shapeId="0">
      <text>
        <r>
          <rPr>
            <b/>
            <sz val="9"/>
            <color indexed="81"/>
            <rFont val="Tahoma"/>
            <family val="2"/>
          </rPr>
          <t>Es réplica de:
Anexo: ANEXO 2
Índice: 01020028000000
Columna: C</t>
        </r>
      </text>
    </comment>
    <comment ref="B47" authorId="0" shapeId="0">
      <text>
        <r>
          <rPr>
            <b/>
            <sz val="9"/>
            <color indexed="12"/>
            <rFont val="Tahoma"/>
            <family val="2"/>
          </rPr>
          <t>Info TIP: _x000D_
El importe obtenido con la formula en este índice incluye el importe neto de las variaciones de activos fijos respecto del ejercicio anterior, en caso de que hayan ventas o bajas de activos fijos deberá incrementarse con el importe del monto original de las inversiones vendidas o dadas de baja.</t>
        </r>
      </text>
    </comment>
    <comment ref="B72" authorId="0" shapeId="0">
      <text>
        <r>
          <rPr>
            <b/>
            <sz val="9"/>
            <color indexed="12"/>
            <rFont val="Tahoma"/>
            <family val="2"/>
          </rPr>
          <t>Info TIP: _x000D_
Considerar en este índice las otras variaciones de capital que no se incluyan en los índices anteriores, así como las modificaciones a los resultados de ejercicios anteriores</t>
        </r>
      </text>
    </comment>
  </commentList>
</comments>
</file>

<file path=xl/comments1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SE PRESENTARA PARA EL EJERCICIO FISCAL DE 2017, AGRUPADOS POR CADA TASA DE DEDUCCION Y TIPO DE CONCEPTO DE INVERSIONES RELATIVO A LOS ACTIVOS FIJOS, LOS GASTOS Y CARGOS DIFERIDOS Y LAS EROGACIONES REALIZADAS EN PERIODOS PREOPERATIVOS A QUE SE REFIERE LA LEY DEL IMPUESTO SOBRE LA RENTA.</t>
        </r>
      </text>
    </comment>
    <comment ref="C2" authorId="0" shapeId="0">
      <text>
        <r>
          <rPr>
            <b/>
            <sz val="9"/>
            <color indexed="60"/>
            <rFont val="Tahoma"/>
            <family val="2"/>
          </rPr>
          <t>Instrucción: _x000D_
EN LA COLUMNA “SALDO PENDIENTE DE DEDUCIR AL INICIO DEL EJERCICIO”, SE ANOTARAN LOS SALDOS FISCALES ACTUALIZADOS UTILIZADOS PARA DETERMINAR LA DEDUCCIÓN</t>
        </r>
      </text>
    </comment>
    <comment ref="D2" authorId="0" shapeId="0">
      <text>
        <r>
          <rPr>
            <b/>
            <sz val="9"/>
            <color indexed="60"/>
            <rFont val="Tahoma"/>
            <family val="2"/>
          </rPr>
          <t>Instrucción: _x000D_
EN LA COLUMNA “MOI DE LAS ADQUISICIONES DURANTE ELEJERCICIO”, DEBERAN ANOTARSE LOS SALDOS FISCALES ACTUALIZADOS CONFORME AL PERIODO DE UTILIZACIÓN PARA DETERMINAR LA DEDUCCIÓN</t>
        </r>
      </text>
    </comment>
    <comment ref="E2" authorId="0" shapeId="0">
      <text>
        <r>
          <rPr>
            <b/>
            <sz val="9"/>
            <color indexed="60"/>
            <rFont val="Tahoma"/>
            <family val="2"/>
          </rPr>
          <t>Instrucción: _x000D_
EN LA COLUMNA “ENAJENACIONES Y/O BAJAS”, SE ANOTARAN LOS SALDOS FISCALES ACTUALIZADOS UTILIZADOS PARA DETERMINAR EL VALOR FISCAL DE LA BAJA.</t>
        </r>
      </text>
    </comment>
    <comment ref="F2" authorId="0" shapeId="0">
      <text>
        <r>
          <rPr>
            <b/>
            <sz val="9"/>
            <color indexed="60"/>
            <rFont val="Tahoma"/>
            <family val="2"/>
          </rPr>
          <t>Instrucción: _x000D_
EN LA COLUMNA “DEDUCCION EN EL EJERCICIO”, SE ANOTARA EL IMPORTE DE LA DEDUCCIÓN DE INVERSIONES APLICADA EN EL EJERCICIO.</t>
        </r>
      </text>
    </comment>
    <comment ref="G2" authorId="0" shapeId="0">
      <text>
        <r>
          <rPr>
            <b/>
            <sz val="9"/>
            <color indexed="60"/>
            <rFont val="Tahoma"/>
            <family val="2"/>
          </rPr>
          <t>Instrucción: _x000D_
EN LA COLUMNA “DEDUCCION INMEDIATA EN EL EJERCICIO”, SE ANOTARA EL IMPORTE DE LA DEDUCCION INMEDIATA DE INVERSIONES APLICADA EN EL EJERCICIO.</t>
        </r>
      </text>
    </comment>
    <comment ref="H2" authorId="0" shapeId="0">
      <text>
        <r>
          <rPr>
            <b/>
            <sz val="9"/>
            <color indexed="60"/>
            <rFont val="Tahoma"/>
            <family val="2"/>
          </rPr>
          <t>Instrucción: _x000D_
EN LA COLUMNA “SALDO PENDIENTE DE DEDUCIR AL FINAL DEL EJERCICIO”, SE ANOTARA EL RESULTADO DE LA OPERACION ARITMETICA DE SUMAR LA COLUMNA “SALDO PENDIENTE DE DEDUCIR AL INICIO DEL EJERCICIO", MAS "MOI DE LAS ADQUISICIONES DURANTE EL EJERCICIO", MENOS "ENAJENACIONES Y/O BAJAS", MENOS "DEDUCCIÓN EN EL EJERCICIO", MENOS "DEDUCCION INMEDIATA EN EL EJERCICIO".</t>
        </r>
      </text>
    </comment>
  </commentList>
</comments>
</file>

<file path=xl/comments16.xml><?xml version="1.0" encoding="utf-8"?>
<comments xmlns="http://schemas.openxmlformats.org/spreadsheetml/2006/main">
  <authors>
    <author>María del Pilar Ubaldo Juárez</author>
    <author>Francisco Garcia</author>
  </authors>
  <commentList>
    <comment ref="C6" authorId="0" shapeId="0">
      <text>
        <r>
          <rPr>
            <b/>
            <sz val="9"/>
            <color indexed="81"/>
            <rFont val="Tahoma"/>
            <family val="2"/>
          </rPr>
          <t>Es réplica de:
Anexo: ANEXO 2
Índice: 01020035000000
Columna: C</t>
        </r>
      </text>
    </comment>
    <comment ref="C7" authorId="0" shapeId="0">
      <text>
        <r>
          <rPr>
            <b/>
            <sz val="9"/>
            <color indexed="81"/>
            <rFont val="Tahoma"/>
            <family val="2"/>
          </rPr>
          <t>Es réplica de:
Anexo: ANEXO 2
Índice: 01020034000000
Columna: C</t>
        </r>
      </text>
    </comment>
    <comment ref="A11" authorId="1" shapeId="0">
      <text>
        <r>
          <rPr>
            <b/>
            <sz val="9"/>
            <color indexed="60"/>
            <rFont val="Tahoma"/>
            <family val="2"/>
          </rPr>
          <t>Instrucción: _x000D_
EN EL CONCEPTO “EFECTO DE LA INFLACION DE LA NIF B-10” SE ANOTARA EL IMPORTE NETO DE LA INFLACION RECONOCIDO EN LA UTILIDAD O PERDIDA NETA SIN CONSIDERAR EL RESULTADO FAVORABLE O DESFAVORABLE CORRESPONDIENTE AL RESULTADO POR POSICION MONETARIA.</t>
        </r>
      </text>
    </comment>
    <comment ref="C18" authorId="0" shapeId="0">
      <text>
        <r>
          <rPr>
            <b/>
            <sz val="9"/>
            <color indexed="81"/>
            <rFont val="Tahoma"/>
            <family val="2"/>
          </rPr>
          <t>Es réplica de:
Anexo: ANEXO 11
Índice: 01110034000000
Columna: C</t>
        </r>
      </text>
    </comment>
    <comment ref="C21" authorId="0" shapeId="0">
      <text>
        <r>
          <rPr>
            <b/>
            <sz val="9"/>
            <color indexed="81"/>
            <rFont val="Tahoma"/>
            <family val="2"/>
          </rPr>
          <t>Es réplica de:
Anexo: ANEXO 11
Índice: 01110057000000
Columna: C</t>
        </r>
      </text>
    </comment>
    <comment ref="C24" authorId="0" shapeId="0">
      <text>
        <r>
          <rPr>
            <b/>
            <sz val="9"/>
            <color indexed="81"/>
            <rFont val="Tahoma"/>
            <family val="2"/>
          </rPr>
          <t>Es réplica de:
Anexo: ANEXO 11
Índice: 01110087000000
Columna: C</t>
        </r>
      </text>
    </comment>
    <comment ref="C27" authorId="0" shapeId="0">
      <text>
        <r>
          <rPr>
            <b/>
            <sz val="9"/>
            <color indexed="81"/>
            <rFont val="Tahoma"/>
            <family val="2"/>
          </rPr>
          <t>Es réplica de:
Anexo: ANEXO 11
Índice: 01110102000000
Columna: C</t>
        </r>
      </text>
    </comment>
    <comment ref="A32" authorId="1" shapeId="0">
      <text>
        <r>
          <rPr>
            <b/>
            <sz val="9"/>
            <color indexed="60"/>
            <rFont val="Tahoma"/>
            <family val="2"/>
          </rPr>
          <t>Instrucción: _x000D_
EN EL CONCEPTO “PERDIDA EN ENAJENACION DE ACCIONES” SE ANOTARA EL IMPORTE DE LA PERDIDA EN ENAJENACION DE ACCIONES DEDUCIDA EN EL EJERCICIO, POR LO MISMO DICHO IMPORTE NO DEBERA REFLEJARSE COMO PARTE DE LAS DEDUCCIONES FISCALES NO CONTABLES</t>
        </r>
      </text>
    </comment>
    <comment ref="B39" authorId="1"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A41" authorId="1" shapeId="0">
      <text>
        <r>
          <rPr>
            <b/>
            <sz val="9"/>
            <color indexed="60"/>
            <rFont val="Tahoma"/>
            <family val="2"/>
          </rPr>
          <t>Instrucción: _x000D_
CUANDO EL CONTRIBUYENTE DETERMINE PERDIDA FISCAL, SOLAMENTE DEBERA LLENAR ESTE ANEXO, HASTA EL INDICE “PERDIDA FISCAL DEL EJERCICIO”, CONCLUYENDO LA CONCILIACION. POR NINGUN MOTIVO DEBERA ANOTAR EL IMPORTE DE LA PERDIDA FISCAL EN EL INDICE “RESULTADO FISCAL O UTILIDAD GRAVABLE”.</t>
        </r>
      </text>
    </comment>
    <comment ref="A45" authorId="1" shapeId="0">
      <text>
        <r>
          <rPr>
            <b/>
            <sz val="9"/>
            <color indexed="60"/>
            <rFont val="Tahoma"/>
            <family val="2"/>
          </rPr>
          <t>Instrucción: _x000D_
CUANDO EL CONTRIBUYENTE AMORTICE PERDIDAS FISCALES DE EJERCICIOS ANTERIORES, NO DEBERA ASENTAR EN ESE RENGLON UN MONTO MAYOR AL DE LA UTILIDAD FISCAL DEL EJERCICIO.</t>
        </r>
      </text>
    </comment>
    <comment ref="B45" authorId="1" shapeId="0">
      <text>
        <r>
          <rPr>
            <b/>
            <sz val="9"/>
            <color indexed="12"/>
            <rFont val="Tahoma"/>
            <family val="2"/>
          </rPr>
          <t>Info TIP: _x000D_
Verificar que se estén aplicando en su caso, las pérdidas fiscales actualizadas de ejercicios anteriores más antiguas ya que en caso de no disminuirlas se perdería el derecho de hacerlo en ejercicios posteriores. Art. 57 LISR.</t>
        </r>
      </text>
    </comment>
    <comment ref="C50" authorId="0" shapeId="0">
      <text>
        <r>
          <rPr>
            <b/>
            <sz val="9"/>
            <color indexed="81"/>
            <rFont val="Tahoma"/>
            <family val="2"/>
          </rPr>
          <t>Se replica en:
Anexo: ANEXO 15
Índice: 01150031000000
Columna: C</t>
        </r>
      </text>
    </comment>
    <comment ref="B5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63" authorId="0" shapeId="0">
      <text>
        <r>
          <rPr>
            <b/>
            <sz val="9"/>
            <color indexed="81"/>
            <rFont val="Tahoma"/>
            <family val="2"/>
          </rPr>
          <t>Se replica en:
Anexo: ANEXO 11
Índice: 01110007000000
Columna: C</t>
        </r>
      </text>
    </comment>
    <comment ref="B70" authorId="1" shapeId="0">
      <text>
        <r>
          <rPr>
            <b/>
            <sz val="9"/>
            <color indexed="12"/>
            <rFont val="Tahoma"/>
            <family val="2"/>
          </rPr>
          <t>Info TIP: _x000D_
1) En esta celda no se incluyen los Gastos No Deducibles relacionados con el proceso de producción ya que estos deben incluirse en las celdas siguientes._x000D_
_x000D_
2) Se recomienda incluir un índice insertado para separar el importe de los Gastos que No reúnen los requisitos fiscales, de los No Deducibles que así los considerta la LISR y que se disminuyen del resultado fiscal para efectos de la determinación de la UFIN.</t>
        </r>
      </text>
    </comment>
    <comment ref="B71" authorId="1" shapeId="0">
      <text>
        <r>
          <rPr>
            <b/>
            <sz val="9"/>
            <color indexed="12"/>
            <rFont val="Tahoma"/>
            <family val="2"/>
          </rPr>
          <t>Info TIP: _x000D_
Utilizar esta celda para incluir las partidas a que se refiere el índice 01060022000000 del anexo 6.</t>
        </r>
      </text>
    </comment>
    <comment ref="B72" authorId="1" shapeId="0">
      <text>
        <r>
          <rPr>
            <b/>
            <sz val="9"/>
            <color indexed="12"/>
            <rFont val="Tahoma"/>
            <family val="2"/>
          </rPr>
          <t>Info TIP: _x000D_
Utilizar esta celda para incluir las partidas a que se refieren los índices 01060023000000, 01060024000000 y 01060035000000 del Anexo 6.</t>
        </r>
      </text>
    </comment>
    <comment ref="B73" authorId="1" shapeId="0">
      <text>
        <r>
          <rPr>
            <b/>
            <sz val="9"/>
            <color indexed="12"/>
            <rFont val="Tahoma"/>
            <family val="2"/>
          </rPr>
          <t>Info TIP: _x000D_
Se incluye en esta celda el importe de las depreciaciones relacionadas con los gastos de operación y las relacionadas con los activos utilizados en el proceso de producción.</t>
        </r>
      </text>
    </comment>
    <comment ref="B83" authorId="1" shapeId="0">
      <text>
        <r>
          <rPr>
            <b/>
            <sz val="9"/>
            <color indexed="12"/>
            <rFont val="Tahoma"/>
            <family val="2"/>
          </rPr>
          <t>Info TIP: _x000D_
Los otros tipos de gastos No Pagados a personas físicas, a asociaciones civiles, a sociedades civiles, a donatarias y otros de este tipo, deberán agregarse en un índice insertado (01110056000000).</t>
        </r>
      </text>
    </comment>
    <comment ref="B86" authorId="1" shapeId="0">
      <text>
        <r>
          <rPr>
            <b/>
            <sz val="9"/>
            <color indexed="12"/>
            <rFont val="Tahoma"/>
            <family val="2"/>
          </rPr>
          <t>Info TIP: _x000D_
La formulación de este índice toma los datos de los Salarios y Prestaciones No Deducibles del anexo 7, por lo que si en ese anexo se incluyeron Salarios y Prestaciones No Deducibles distintos a los solicitados en este índice, deberán separarse e incluirlos en el índice 01110056000000 como índice insertado.</t>
        </r>
      </text>
    </comment>
    <comment ref="B87" authorId="1" shapeId="0">
      <text>
        <r>
          <rPr>
            <b/>
            <sz val="9"/>
            <color indexed="12"/>
            <rFont val="Tahoma"/>
            <family val="2"/>
          </rPr>
          <t>Info TIP: _x000D_
En caso de que haya No Deducibles correspondiente a Partes Relacionadas, estos deberán restarse de las incluidas en el gasto o en el costo, para esta plantilla se disminuye de los gastos.</t>
        </r>
      </text>
    </comment>
    <comment ref="C90" authorId="0" shapeId="0">
      <text>
        <r>
          <rPr>
            <b/>
            <sz val="9"/>
            <color indexed="81"/>
            <rFont val="Tahoma"/>
            <family val="2"/>
          </rPr>
          <t>Se replica en:
Anexo: ANEXO 11
Índice: 01110008000000
Columna: C</t>
        </r>
      </text>
    </comment>
    <comment ref="B121"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B122"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B129"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C131" authorId="0" shapeId="0">
      <text>
        <r>
          <rPr>
            <b/>
            <sz val="9"/>
            <color indexed="81"/>
            <rFont val="Tahoma"/>
            <family val="2"/>
          </rPr>
          <t>Se replica en:
Anexo: ANEXO 11
Índice: 01110009000000
Columna: C</t>
        </r>
      </text>
    </comment>
    <comment ref="B14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150" authorId="0" shapeId="0">
      <text>
        <r>
          <rPr>
            <b/>
            <sz val="9"/>
            <color indexed="81"/>
            <rFont val="Tahoma"/>
            <family val="2"/>
          </rPr>
          <t>Se replica en:
Anexo: ANEXO 11
Índice: 01110010000000
Columna: C</t>
        </r>
      </text>
    </comment>
  </commentList>
</comments>
</file>

<file path=xl/comments1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CUANDO DE LA COMPARACION DEL RENGLON “TOTAL DEL VALOR DE LOS ACTOS O ACTIVIDADES PARA EFECTOS DEL IMPUESTO AL VALOR AGREGADO” DEL EJERCICIO, MANIFESTADOS POR EL CONTRIBUYENTE EN RELACION CON EL DETERMINADO POR EL MISMO CONCEPTO EN LA SUMA DE LAS DECLARACIONES PRESENTADAS CORRESPONDIENTES AL EJERCICIO QUE SE DICTAMINA RESULTE UNA DIFERENCIA POSITIVA O NEGATIVA SUPERIOR AL 4%, EL CONTRIBUYENTE EXPLICARA LA TOTALIDAD DE LA DIFERENCIA EN EL ANEXO DE INFORMACION ADICIONAL Y EL CONTADOR PUBLICO ADEMAS DE REVISARLA, HARA REFERENCIA A DICHA EXPLICACION EN EL INFORME SOBRE LA REVISION DE LA SITUACION FISCAL DEL CONTRIBUYENTE, EN FORMA EXPRESA.</t>
        </r>
      </text>
    </comment>
    <comment ref="C6" authorId="1" shapeId="0">
      <text>
        <r>
          <rPr>
            <b/>
            <sz val="9"/>
            <color indexed="81"/>
            <rFont val="Tahoma"/>
            <family val="2"/>
          </rPr>
          <t>Es réplica de:
Anexo: ANEXO 2
Índice: 01020000000000
Columna: C</t>
        </r>
      </text>
    </comment>
    <comment ref="C48" authorId="1" shapeId="0">
      <text>
        <r>
          <rPr>
            <b/>
            <sz val="9"/>
            <color indexed="81"/>
            <rFont val="Tahoma"/>
            <family val="2"/>
          </rPr>
          <t>Es réplica de:
Anexo: ANEXO 11
Índice: 01110022000000
Columna: C</t>
        </r>
      </text>
    </comment>
  </commentList>
</comments>
</file>

<file path=xl/comments18.xml><?xml version="1.0" encoding="utf-8"?>
<comments xmlns="http://schemas.openxmlformats.org/spreadsheetml/2006/main">
  <authors>
    <author>Francisco Garcia</author>
  </authors>
  <commentList>
    <comment ref="E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t>
        </r>
      </text>
    </comment>
    <comment ref="F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
LA INFORMACION QUE SE REVELE EN LOS INDICES CORRESPONDIENTES A LA COLUMNA "CONTRIBUCION A CARGO O SALDO A FAVOR DETERMINADO POR EL CONTRIBUYENTE", DEBERA CORRESPONDER A LOS IMPUESTOS EFECTIVAMENTE PAGADOS O A LOS SALDOS A FAVOR MANIFESTADOS POR EL CONTRIBUYENTE.</t>
        </r>
      </text>
    </comment>
    <comment ref="A52" authorId="0" shapeId="0">
      <text>
        <r>
          <rPr>
            <b/>
            <sz val="9"/>
            <color indexed="60"/>
            <rFont val="Tahoma"/>
            <family val="2"/>
          </rPr>
          <t>Instrucción: _x000D_
EN RELACION CON ESTE CONCEPTO, SE DEBERA CONSIDERAR COMO BASE GRAVABLE LA SUMA DE TODOS LOS INGRESOS GRAVABLES, UTILIDADES O RESULTADOS FISCALES QUE PROVENGAN DE INGRESOS SUJETOS A REGIMENES FISCALES PREFERENTES OBTENIDOS POR LOS CONTRIBUYENTES A TRAVES DE ENTIDADES O FIGURAS JURIDICAS EXTRANJERAS EN LAS QUE PARTICIPEN, DIRECTA O INDIRECTAMENTE, EN LA PROPORCION QUE LES CORRESPONDA POR SU PARTICIPACION EN ELLAS, ASI COMO POR LOS INGRESOS QUE OBTENGAN A TRAVES DE ENTIDADES O FIGURAS JURIDICAS EXTRANJERAS QUE SEAN TRANSPARENTES FISCALES EN EL EXTRANJERO, LA SUMATORIA DEL IMPUESTO CAUSADO POR CADA UNA DE LAS INVERSIONES POR LAS QUE SE GENERO BASE GRAVABLE Y EL IMPUESTO PAGADO EN EL EJERCICIO. SE DEBERAN OMITIR, EN SU CASO, LAS UTILIDADES O RESULTADOS FISCALES EN LAS QUE SE HAYA GENERADO O AMORTIZADO PERDIDAS, ES DECIR, UNICAMENTE SE CONSIDERARAN LOS INGRESOS GRAVABLES, UTILIDADES O RESULTADOS FISCALES QUE HAYAN GENERADO BASE GRAVABLE PARA LA CAUSACION Y ENTERO DEL IMPUESTO SOBRE LA RENTA.</t>
        </r>
      </text>
    </comment>
    <comment ref="A53"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4"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7" authorId="0" shapeId="0">
      <text>
        <r>
          <rPr>
            <b/>
            <sz val="9"/>
            <color indexed="60"/>
            <rFont val="Tahoma"/>
            <family val="2"/>
          </rPr>
          <t>Instrucción: _x000D_
EN ESTE CONCEPTO SE DEBERAN ASENTAR EN LA COLUMNA DE “BASE GRAVABLE” AQUELLOS INGRESOS SUJETOS AL CALCULO DEL IMPUESTO ANUAL NO PROVENIENTES DE ACTIVIDADES EMPRESARIALES, NO SE DEBERA LLENAR NINGUNA OTRA COLUMNA DE ESTE RENGLON.
 EN EL INDICE “IMPUESTO SOBRE LA RENTA” SE DEBERA ASENTAR EN LA COLUMNA DE “BASE GRAVABLE” LA SUMA DEL INDICE “OTROS INGRESOS MANIFESTADOS COMO PERSONA FISICA”, MAS LA UTILIDAD GRAVABLE DETERMINADA EN LA CONCILIACION ENTRE EL RESULTADO CONTABLE Y FISCAL PARA EFECTOS DEL IMPUESTO SOBRE LA RENTA.
 EN RELACION CON ESTE CONCEPTO, EL CONTADOR PUBLICO INSCRITO PODRA MANIFESTAR, EN SU CASO, EN EL "INFORME SOBRE LA REVISION DE LA SITUACION FISCAL DEL CONTRIBUYENTE" QUE NO DICTAMINO DICHOS INGRESOS Y QUE LOS MISMOS LE FUERON PROPORCIONADOS POR EL CONTRIBUYENTE.</t>
        </r>
      </text>
    </comment>
    <comment ref="A61" authorId="0" shapeId="0">
      <text>
        <r>
          <rPr>
            <b/>
            <sz val="9"/>
            <color indexed="60"/>
            <rFont val="Tahoma"/>
            <family val="2"/>
          </rPr>
          <t>Instrucción: _x000D_
EL CONTRIBUYENTE LLENARA LOS DATOS CORRESPONDIENTES A LA SUMATORIA DE LOS PAGOS MENSUALES DEFINITIVOS DE ENERO A DICIEMBRE</t>
        </r>
      </text>
    </comment>
    <comment ref="A62" authorId="0" shapeId="0">
      <text>
        <r>
          <rPr>
            <b/>
            <sz val="9"/>
            <color indexed="60"/>
            <rFont val="Tahoma"/>
            <family val="2"/>
          </rPr>
          <t>Instrucción: _x000D_
EL CONTRIBUYENTE LLENARA LOS DATOS CORRESPONDIENTES A LA SUMATORIA DE LOS PAGOS MENSUALES DEFINITIVOS DE ENERO A DICIEMBRE</t>
        </r>
      </text>
    </comment>
    <comment ref="A64" authorId="0" shapeId="0">
      <text>
        <r>
          <rPr>
            <b/>
            <sz val="9"/>
            <color indexed="60"/>
            <rFont val="Tahoma"/>
            <family val="2"/>
          </rPr>
          <t>Instrucción: _x000D_
EL CONTRIBUYENTE LLENARA LOS DATOS CORRESPONDIENTES A LA SUMATORIA DE LOS PAGOS MENSUALES DEFINITIVOS DE ENERO A DICIEMBRE</t>
        </r>
      </text>
    </comment>
    <comment ref="A66" authorId="0" shapeId="0">
      <text>
        <r>
          <rPr>
            <b/>
            <sz val="9"/>
            <color indexed="60"/>
            <rFont val="Tahoma"/>
            <family val="2"/>
          </rPr>
          <t>Instrucción: _x000D_
EL CONTRIBUYENTE LLENARA LOS DATOS CORRESPONDIENTES A LA SUMATORIA DE LOS PAGOS MENSUALES DEFINITIVOS DE ENERO A DICIEMBRE</t>
        </r>
      </text>
    </comment>
    <comment ref="A68" authorId="0" shapeId="0">
      <text>
        <r>
          <rPr>
            <b/>
            <sz val="9"/>
            <color indexed="60"/>
            <rFont val="Tahoma"/>
            <family val="2"/>
          </rPr>
          <t>Instrucción: _x000D_
EL CONTRIBUYENTE LLENARA LOS DATOS CORRESPONDIENTES A LA SUMATORIA DE LOS PAGOS MENSUALES DEFINITIVOS DE ENERO A DICIEMBRE</t>
        </r>
      </text>
    </comment>
    <comment ref="A70" authorId="0" shapeId="0">
      <text>
        <r>
          <rPr>
            <b/>
            <sz val="9"/>
            <color indexed="60"/>
            <rFont val="Tahoma"/>
            <family val="2"/>
          </rPr>
          <t>Instrucción: _x000D_
EL CONTRIBUYENTE LLENARA LOS DATOS CORRESPONDIENTES A LA SUMATORIA DE LOS PAGOS MENSUALES DEFINITIVOS DE ENERO A DICIEMBRE</t>
        </r>
      </text>
    </comment>
    <comment ref="A71" authorId="0" shapeId="0">
      <text>
        <r>
          <rPr>
            <b/>
            <sz val="9"/>
            <color indexed="60"/>
            <rFont val="Tahoma"/>
            <family val="2"/>
          </rPr>
          <t>Instrucción: _x000D_
EL CONTRIBUYENTE LLENARA LOS DATOS CORRESPONDIENTES A LA SUMATORIA DE LOS PAGOS MENSUALES DEFINITIVOS DE ENERO A DICIEMBRE</t>
        </r>
      </text>
    </comment>
    <comment ref="B71" authorId="0" shapeId="0">
      <text>
        <r>
          <rPr>
            <b/>
            <sz val="9"/>
            <color indexed="12"/>
            <rFont val="Tahoma"/>
            <family val="2"/>
          </rPr>
          <t>Info TIP: _x000D_
Debido a que no hay un índice especial para incluir el importe del IVA que se le haya retenido al contribuyente, ni hay posibilidad de incertar indices en esta sección, se sugiere adicionar dicho importe en este índice como parte del IVA acreditable total.</t>
        </r>
      </text>
    </comment>
    <comment ref="A73" authorId="0" shapeId="0">
      <text>
        <r>
          <rPr>
            <b/>
            <sz val="9"/>
            <color indexed="60"/>
            <rFont val="Tahoma"/>
            <family val="2"/>
          </rPr>
          <t>Instrucción: _x000D_
EL CONTRIBUYENTE LLENARA LOS DATOS CORRESPONDIENTES A LA SUMATORIA DE LOS PAGOS MENSUALES DEFINITIVOS DE ENERO A DICIEMBRE</t>
        </r>
      </text>
    </comment>
    <comment ref="A74" authorId="0" shapeId="0">
      <text>
        <r>
          <rPr>
            <b/>
            <sz val="9"/>
            <color indexed="60"/>
            <rFont val="Tahoma"/>
            <family val="2"/>
          </rPr>
          <t>Instrucción: _x000D_
EL CONTRIBUYENTE LLENARA LOS DATOS CORRESPONDIENTES A LA SUMATORIA DE LOS PAGOS MENSUALES DEFINITIVOS DE ENERO A DICIEMBRE</t>
        </r>
      </text>
    </comment>
    <comment ref="A75" authorId="0" shapeId="0">
      <text>
        <r>
          <rPr>
            <b/>
            <sz val="9"/>
            <color indexed="60"/>
            <rFont val="Tahoma"/>
            <family val="2"/>
          </rPr>
          <t>Instrucción: _x000D_
EL CONTRIBUYENTE LLENARA LOS DATOS CORRESPONDIENTES A LA SUMATORIA DE LOS PAGOS MENSUALES DEFINITIVOS DE ENERO A DICIEMBRE</t>
        </r>
      </text>
    </comment>
    <comment ref="B80" authorId="0" shapeId="0">
      <text>
        <r>
          <rPr>
            <b/>
            <sz val="9"/>
            <color indexed="12"/>
            <rFont val="Tahoma"/>
            <family val="2"/>
          </rPr>
          <t>Info TIP: _x000D_
Los requisitos a que se refiere la Fracción II del artículo 5o. De IVA para poder acreditar el IVA pagado bajo el régimen de Subcontratación son los establecidos en el art. 15-A de la Ley Federal del Trabajo y son los siguientes: _x000D_
Este tipo de trabajo, deberá cumplir con las siguientes condiciones:_x000D_
a) No podrá abarcar la totalidad de las actividades, iguales o similares en su totalidad, que se desarrollen en el centro de trabajo._x000D_
b) Deberá justificarse por su carácter especializado._x000D_
c) No podrá comprender tareas iguales o similares a las que realizan el resto de los trabajadores al servicio del contratante._x000D_
 En caso de no cumplirse estos requisitos, es probable que se haya acreditado indebidamente el IVA pagado por este concepto</t>
        </r>
      </text>
    </comment>
    <comment ref="A85" authorId="0" shapeId="0">
      <text>
        <r>
          <rPr>
            <b/>
            <sz val="9"/>
            <color indexed="60"/>
            <rFont val="Tahoma"/>
            <family val="2"/>
          </rPr>
          <t>Instrucción: _x000D_
EL CONTRIBUYENTE LLENARA LOS DATOS CORRESPONDIENTES A LA SUMATORIA DE LOS PAGOS MENSUALES DEFINITIVOS DE ENERO A DICIEMBRE</t>
        </r>
      </text>
    </comment>
    <comment ref="A86" authorId="0" shapeId="0">
      <text>
        <r>
          <rPr>
            <b/>
            <sz val="9"/>
            <color indexed="60"/>
            <rFont val="Tahoma"/>
            <family val="2"/>
          </rPr>
          <t>Instrucción: _x000D_
EL CONTRIBUYENTE LLENARA LOS DATOS CORRESPONDIENTES A LA SUMATORIA DE LOS PAGOS MENSUALES DEFINITIVOS DE ENERO A DICIEMBRE</t>
        </r>
      </text>
    </comment>
    <comment ref="A87" authorId="0" shapeId="0">
      <text>
        <r>
          <rPr>
            <b/>
            <sz val="9"/>
            <color indexed="60"/>
            <rFont val="Tahoma"/>
            <family val="2"/>
          </rPr>
          <t>Instrucción: _x000D_
EL CONTRIBUYENTE LLENARA LOS DATOS CORRESPONDIENTES A LA SUMATORIA DE LOS PAGOS MENSUALES DEFINITIVOS DE ENERO A DICIEMBRE</t>
        </r>
      </text>
    </comment>
    <comment ref="A88" authorId="0" shapeId="0">
      <text>
        <r>
          <rPr>
            <b/>
            <sz val="9"/>
            <color indexed="60"/>
            <rFont val="Tahoma"/>
            <family val="2"/>
          </rPr>
          <t>Instrucción: _x000D_
EL CONTRIBUYENTE LLENARA LOS DATOS CORRESPONDIENTES A LA SUMATORIA DE LOS PAGOS MENSUALES DEFINITIVOS DE ENERO A DICIEMBRE</t>
        </r>
      </text>
    </comment>
    <comment ref="A89" authorId="0" shapeId="0">
      <text>
        <r>
          <rPr>
            <b/>
            <sz val="9"/>
            <color indexed="60"/>
            <rFont val="Tahoma"/>
            <family val="2"/>
          </rPr>
          <t>Instrucción: _x000D_
EL CONTRIBUYENTE LLENARA LOS DATOS CORRESPONDIENTES A LA SUMATORIA DE LOS PAGOS MENSUALES DEFINITIVOS DE ENERO A DICIEMBRE</t>
        </r>
      </text>
    </comment>
    <comment ref="A90" authorId="0" shapeId="0">
      <text>
        <r>
          <rPr>
            <b/>
            <sz val="9"/>
            <color indexed="60"/>
            <rFont val="Tahoma"/>
            <family val="2"/>
          </rPr>
          <t>Instrucción: _x000D_
EL CONTRIBUYENTE LLENARA LOS DATOS CORRESPONDIENTES A LA SUMATORIA DE LOS PAGOS MENSUALES DEFINITIVOS DE ENERO A DICIEMBRE</t>
        </r>
      </text>
    </comment>
    <comment ref="A91" authorId="0" shapeId="0">
      <text>
        <r>
          <rPr>
            <b/>
            <sz val="9"/>
            <color indexed="60"/>
            <rFont val="Tahoma"/>
            <family val="2"/>
          </rPr>
          <t>Instrucción: _x000D_
EL CONTRIBUYENTE LLENARA LOS DATOS CORRESPONDIENTES A LA SUMATORIA DE LOS PAGOS MENSUALES DEFINITIVOS DE ENERO A DICIEMBRE</t>
        </r>
      </text>
    </comment>
    <comment ref="A92" authorId="0" shapeId="0">
      <text>
        <r>
          <rPr>
            <b/>
            <sz val="9"/>
            <color indexed="60"/>
            <rFont val="Tahoma"/>
            <family val="2"/>
          </rPr>
          <t>Instrucción: _x000D_
EL CONTRIBUYENTE LLENARA LOS DATOS CORRESPONDIENTES A LA SUMATORIA DE LOS PAGOS MENSUALES DEFINITIVOS DE ENERO A DICIEMBRE</t>
        </r>
      </text>
    </comment>
    <comment ref="A93" authorId="0" shapeId="0">
      <text>
        <r>
          <rPr>
            <b/>
            <sz val="9"/>
            <color indexed="60"/>
            <rFont val="Tahoma"/>
            <family val="2"/>
          </rPr>
          <t>Instrucción: _x000D_
EL CONTRIBUYENTE LLENARA LOS DATOS CORRESPONDIENTES A LA SUMATORIA DE LOS PAGOS MENSUALES DEFINITIVOS DE ENERO A DICIEMBRE</t>
        </r>
      </text>
    </comment>
    <comment ref="A94" authorId="0" shapeId="0">
      <text>
        <r>
          <rPr>
            <b/>
            <sz val="9"/>
            <color indexed="60"/>
            <rFont val="Tahoma"/>
            <family val="2"/>
          </rPr>
          <t>Instrucción: _x000D_
EL CONTRIBUYENTE LLENARA LOS DATOS CORRESPONDIENTES A LA SUMATORIA DE LOS PAGOS MENSUALES DEFINITIVOS DE ENERO A DICIEMBRE</t>
        </r>
      </text>
    </comment>
    <comment ref="A95" authorId="0" shapeId="0">
      <text>
        <r>
          <rPr>
            <b/>
            <sz val="9"/>
            <color indexed="60"/>
            <rFont val="Tahoma"/>
            <family val="2"/>
          </rPr>
          <t>Instrucción: _x000D_
EL CONTRIBUYENTE LLENARA LOS DATOS CORRESPONDIENTES A LA SUMATORIA DE LOS PAGOS MENSUALES DEFINITIVOS DE ENERO A DICIEMBRE</t>
        </r>
      </text>
    </comment>
    <comment ref="A97" authorId="0" shapeId="0">
      <text>
        <r>
          <rPr>
            <b/>
            <sz val="9"/>
            <color indexed="60"/>
            <rFont val="Tahoma"/>
            <family val="2"/>
          </rPr>
          <t>Instrucción: _x000D_
EL CONTRIBUYENTE LLENARA LOS DATOS CORRESPONDIENTES A LA SUMATORIA DE LOS PAGOS MENSUALES DEFINITIVOS DE ENERO A DICIEMBRE</t>
        </r>
      </text>
    </comment>
    <comment ref="A99" authorId="0" shapeId="0">
      <text>
        <r>
          <rPr>
            <b/>
            <sz val="9"/>
            <color indexed="60"/>
            <rFont val="Tahoma"/>
            <family val="2"/>
          </rPr>
          <t>Instrucción: _x000D_
EL CONTRIBUYENTE LLENARA LOS DATOS CORRESPONDIENTES A LA SUMATORIA DE LOS PAGOS MENSUALES DEFINITIVOS DE ENERO A DICIEMBRE</t>
        </r>
      </text>
    </comment>
    <comment ref="A101" authorId="0" shapeId="0">
      <text>
        <r>
          <rPr>
            <b/>
            <sz val="9"/>
            <color indexed="60"/>
            <rFont val="Tahoma"/>
            <family val="2"/>
          </rPr>
          <t>Instrucción: _x000D_
EL CONTRIBUYENTE LLENARA LOS DATOS CORRESPONDIENTES A LA SUMATORIA DE LOS PAGOS MENSUALES DEFINITIVOS DE ENERO A DICIEMBRE</t>
        </r>
      </text>
    </comment>
    <comment ref="A104" authorId="0" shapeId="0">
      <text>
        <r>
          <rPr>
            <b/>
            <sz val="9"/>
            <color indexed="60"/>
            <rFont val="Tahoma"/>
            <family val="2"/>
          </rPr>
          <t>Instrucción: _x000D_
EL CONTRIBUYENTE LLENARA LOS DATOS CORRESPONDIENTES A LA SUMATORIA DE LOS PAGOS MENSUALES DEFINITIVOS DE ENERO A DICIEMBRE</t>
        </r>
      </text>
    </comment>
    <comment ref="A106" authorId="0" shapeId="0">
      <text>
        <r>
          <rPr>
            <b/>
            <sz val="9"/>
            <color indexed="60"/>
            <rFont val="Tahoma"/>
            <family val="2"/>
          </rPr>
          <t>Instrucción: _x000D_
EL CONTRIBUYENTE LLENARA LOS DATOS CORRESPONDIENTES A LA SUMATORIA DE LOS PAGOS MENSUALES DEFINITIVOS DE ENERO A DICIEMBRE</t>
        </r>
      </text>
    </comment>
    <comment ref="A107" authorId="0" shapeId="0">
      <text>
        <r>
          <rPr>
            <b/>
            <sz val="9"/>
            <color indexed="60"/>
            <rFont val="Tahoma"/>
            <family val="2"/>
          </rPr>
          <t>Instrucción: _x000D_
EL CONTRIBUYENTE LLENARA LOS DATOS CORRESPONDIENTES A LA SUMATORIA DE LOS PAGOS MENSUALES DEFINITIVOS DE ENERO A DICIEMBRE</t>
        </r>
      </text>
    </comment>
    <comment ref="A108" authorId="0" shapeId="0">
      <text>
        <r>
          <rPr>
            <b/>
            <sz val="9"/>
            <color indexed="60"/>
            <rFont val="Tahoma"/>
            <family val="2"/>
          </rPr>
          <t>Instrucción: _x000D_
EL CONTRIBUYENTE LLENARA LOS DATOS CORRESPONDIENTES A LA SUMATORIA DE LOS PAGOS MENSUALES DEFINITIVOS DE ENERO A DICIEMBRE</t>
        </r>
      </text>
    </comment>
    <comment ref="A109" authorId="0" shapeId="0">
      <text>
        <r>
          <rPr>
            <b/>
            <sz val="9"/>
            <color indexed="60"/>
            <rFont val="Tahoma"/>
            <family val="2"/>
          </rPr>
          <t>Instrucción: _x000D_
EL CONTRIBUYENTE LLENARA LOS DATOS CORRESPONDIENTES A LA SUMATORIA DE LOS PAGOS MENSUALES DEFINITIVOS DE ENERO A DICIEMBRE</t>
        </r>
      </text>
    </comment>
    <comment ref="A111" authorId="0" shapeId="0">
      <text>
        <r>
          <rPr>
            <b/>
            <sz val="9"/>
            <color indexed="60"/>
            <rFont val="Tahoma"/>
            <family val="2"/>
          </rPr>
          <t>Instrucción: _x000D_
EL CONTRIBUYENTE LLENARA LOS DATOS CORRESPONDIENTES A LA SUMATORIA DE LOS PAGOS MENSUALES DEFINITIVOS DE ENERO A DICIEMBRE</t>
        </r>
      </text>
    </comment>
    <comment ref="A112" authorId="0" shapeId="0">
      <text>
        <r>
          <rPr>
            <b/>
            <sz val="9"/>
            <color indexed="60"/>
            <rFont val="Tahoma"/>
            <family val="2"/>
          </rPr>
          <t>Instrucción: _x000D_
EL CONTRIBUYENTE LLENARA LOS DATOS CORRESPONDIENTES A LA SUMATORIA DE LOS PAGOS MENSUALES DEFINITIVOS DE ENERO A DICIEMBRE</t>
        </r>
      </text>
    </comment>
    <comment ref="A113" authorId="0" shapeId="0">
      <text>
        <r>
          <rPr>
            <b/>
            <sz val="9"/>
            <color indexed="60"/>
            <rFont val="Tahoma"/>
            <family val="2"/>
          </rPr>
          <t>Instrucción: _x000D_
EL CONTRIBUYENTE LLENARA LOS DATOS CORRESPONDIENTES A LA SUMATORIA DE LOS PAGOS MENSUALES DEFINITIVOS DE ENERO A DICIEMBRE</t>
        </r>
      </text>
    </comment>
    <comment ref="A114" authorId="0" shapeId="0">
      <text>
        <r>
          <rPr>
            <b/>
            <sz val="9"/>
            <color indexed="60"/>
            <rFont val="Tahoma"/>
            <family val="2"/>
          </rPr>
          <t>Instrucción: _x000D_
EL CONTRIBUYENTE LLENARA LOS DATOS CORRESPONDIENTES A LA SUMATORIA DE LOS PAGOS MENSUALES DEFINITIVOS DE ENERO A DICIEMBRE</t>
        </r>
      </text>
    </comment>
    <comment ref="A115" authorId="0" shapeId="0">
      <text>
        <r>
          <rPr>
            <b/>
            <sz val="9"/>
            <color indexed="60"/>
            <rFont val="Tahoma"/>
            <family val="2"/>
          </rPr>
          <t>Instrucción: _x000D_
EL CONTRIBUYENTE LLENARA LOS DATOS CORRESPONDIENTES A LA SUMATORIA DE LOS PAGOS MENSUALES DEFINITIVOS DE ENERO A DICIEMBRE</t>
        </r>
      </text>
    </comment>
    <comment ref="A116" authorId="0" shapeId="0">
      <text>
        <r>
          <rPr>
            <b/>
            <sz val="9"/>
            <color indexed="60"/>
            <rFont val="Tahoma"/>
            <family val="2"/>
          </rPr>
          <t>Instrucción: _x000D_
EL CONTRIBUYENTE LLENARA LOS DATOS CORRESPONDIENTES A LA SUMATORIA DE LOS PAGOS MENSUALES DEFINITIVOS DE ENERO A DICIEMBRE</t>
        </r>
      </text>
    </comment>
    <comment ref="A117" authorId="0" shapeId="0">
      <text>
        <r>
          <rPr>
            <b/>
            <sz val="9"/>
            <color indexed="60"/>
            <rFont val="Tahoma"/>
            <family val="2"/>
          </rPr>
          <t>Instrucción: _x000D_
EL CONTRIBUYENTE LLENARA LOS DATOS CORRESPONDIENTES A LA SUMATORIA DE LOS PAGOS MENSUALES DEFINITIVOS DE ENERO A DICIEMBRE</t>
        </r>
      </text>
    </comment>
    <comment ref="A118" authorId="0" shapeId="0">
      <text>
        <r>
          <rPr>
            <b/>
            <sz val="9"/>
            <color indexed="60"/>
            <rFont val="Tahoma"/>
            <family val="2"/>
          </rPr>
          <t>Instrucción: _x000D_
EL CONTRIBUYENTE LLENARA LOS DATOS CORRESPONDIENTES A LA SUMATORIA DE LOS PAGOS MENSUALES DEFINITIVOS DE ENERO A DICIEMBRE</t>
        </r>
      </text>
    </comment>
    <comment ref="A119" authorId="0" shapeId="0">
      <text>
        <r>
          <rPr>
            <b/>
            <sz val="9"/>
            <color indexed="60"/>
            <rFont val="Tahoma"/>
            <family val="2"/>
          </rPr>
          <t>Instrucción: _x000D_
EL CONTRIBUYENTE LLENARA LOS DATOS CORRESPONDIENTES A LA SUMATORIA DE LOS PAGOS MENSUALES DEFINITIVOS DE ENERO A DICIEMBRE</t>
        </r>
      </text>
    </comment>
    <comment ref="A121" authorId="0" shapeId="0">
      <text>
        <r>
          <rPr>
            <b/>
            <sz val="9"/>
            <color indexed="60"/>
            <rFont val="Tahoma"/>
            <family val="2"/>
          </rPr>
          <t>Instrucción: _x000D_
EL CONTRIBUYENTE LLENARA LOS DATOS CORRESPONDIENTES A LA SUMATORIA DE LOS PAGOS MENSUALES DEFINITIVOS DE ENERO A DICIEMBRE</t>
        </r>
      </text>
    </comment>
    <comment ref="A122" authorId="0" shapeId="0">
      <text>
        <r>
          <rPr>
            <b/>
            <sz val="9"/>
            <color indexed="60"/>
            <rFont val="Tahoma"/>
            <family val="2"/>
          </rPr>
          <t>Instrucción: _x000D_
EL CONTRIBUYENTE LLENARA LOS DATOS CORRESPONDIENTES A LA SUMATORIA DE LOS PAGOS MENSUALES DEFINITIVOS DE ENERO A DICIEMBRE</t>
        </r>
      </text>
    </comment>
    <comment ref="A123" authorId="0" shapeId="0">
      <text>
        <r>
          <rPr>
            <b/>
            <sz val="9"/>
            <color indexed="60"/>
            <rFont val="Tahoma"/>
            <family val="2"/>
          </rPr>
          <t>Instrucción: _x000D_
EL CONTRIBUYENTE LLENARA LOS DATOS CORRESPONDIENTES A LA SUMATORIA DE LOS PAGOS MENSUALES DEFINITIVOS DE ENERO A DICIEMBRE</t>
        </r>
      </text>
    </comment>
    <comment ref="A124" authorId="0" shapeId="0">
      <text>
        <r>
          <rPr>
            <b/>
            <sz val="9"/>
            <color indexed="60"/>
            <rFont val="Tahoma"/>
            <family val="2"/>
          </rPr>
          <t>Instrucción: _x000D_
EL CONTRIBUYENTE LLENARA LOS DATOS CORRESPONDIENTES A LA SUMATORIA DE LOS PAGOS MENSUALES DEFINITIVOS DE ENERO A DICIEMBRE</t>
        </r>
      </text>
    </comment>
    <comment ref="A125" authorId="0" shapeId="0">
      <text>
        <r>
          <rPr>
            <b/>
            <sz val="9"/>
            <color indexed="60"/>
            <rFont val="Tahoma"/>
            <family val="2"/>
          </rPr>
          <t>Instrucción: _x000D_
EL CONTRIBUYENTE LLENARA LOS DATOS CORRESPONDIENTES A LA SUMATORIA DE LOS PAGOS MENSUALES DEFINITIVOS DE ENERO A DICIEMBRE</t>
        </r>
      </text>
    </comment>
    <comment ref="A126" authorId="0" shapeId="0">
      <text>
        <r>
          <rPr>
            <b/>
            <sz val="9"/>
            <color indexed="60"/>
            <rFont val="Tahoma"/>
            <family val="2"/>
          </rPr>
          <t>Instrucción: _x000D_
EL CONTRIBUYENTE LLENARA LOS DATOS CORRESPONDIENTES A LA SUMATORIA DE LOS PAGOS MENSUALES DEFINITIVOS DE ENERO A DICIEMBRE</t>
        </r>
      </text>
    </comment>
    <comment ref="A127" authorId="0" shapeId="0">
      <text>
        <r>
          <rPr>
            <b/>
            <sz val="9"/>
            <color indexed="60"/>
            <rFont val="Tahoma"/>
            <family val="2"/>
          </rPr>
          <t>Instrucción: _x000D_
EL CONTRIBUYENTE LLENARA LOS DATOS CORRESPONDIENTES A LA SUMATORIA DE LOS PAGOS MENSUALES DEFINITIVOS DE ENERO A DICIEMBRE</t>
        </r>
      </text>
    </comment>
    <comment ref="A128" authorId="0" shapeId="0">
      <text>
        <r>
          <rPr>
            <b/>
            <sz val="9"/>
            <color indexed="60"/>
            <rFont val="Tahoma"/>
            <family val="2"/>
          </rPr>
          <t>Instrucción: _x000D_
EL CONTRIBUYENTE LLENARA LOS DATOS CORRESPONDIENTES A LA SUMATORIA DE LOS PAGOS MENSUALES DEFINITIVOS DE ENERO A DICIEMBRE</t>
        </r>
      </text>
    </comment>
    <comment ref="A129" authorId="0" shapeId="0">
      <text>
        <r>
          <rPr>
            <b/>
            <sz val="9"/>
            <color indexed="60"/>
            <rFont val="Tahoma"/>
            <family val="2"/>
          </rPr>
          <t>Instrucción: _x000D_
EL CONTRIBUYENTE LLENARA LOS DATOS CORRESPONDIENTES A LA SUMATORIA DE LOS PAGOS MENSUALES DEFINITIVOS DE ENERO A DICIEMBRE</t>
        </r>
      </text>
    </comment>
    <comment ref="A130" authorId="0" shapeId="0">
      <text>
        <r>
          <rPr>
            <b/>
            <sz val="9"/>
            <color indexed="60"/>
            <rFont val="Tahoma"/>
            <family val="2"/>
          </rPr>
          <t>Instrucción: _x000D_
EL CONTRIBUYENTE LLENARA LOS DATOS CORRESPONDIENTES A LA SUMATORIA DE LOS PAGOS MENSUALES DEFINITIVOS DE ENERO A DICIEMBRE</t>
        </r>
      </text>
    </comment>
    <comment ref="A132" authorId="0" shapeId="0">
      <text>
        <r>
          <rPr>
            <b/>
            <sz val="9"/>
            <color indexed="60"/>
            <rFont val="Tahoma"/>
            <family val="2"/>
          </rPr>
          <t>Instrucción: _x000D_
EL CONTRIBUYENTE LLENARA LOS DATOS CORRESPONDIENTES A LA SUMATORIA DE LOS PAGOS MENSUALES DEFINITIVOS DE ENERO A DICIEMBRE</t>
        </r>
      </text>
    </comment>
    <comment ref="A134" authorId="0" shapeId="0">
      <text>
        <r>
          <rPr>
            <b/>
            <sz val="9"/>
            <color indexed="60"/>
            <rFont val="Tahoma"/>
            <family val="2"/>
          </rPr>
          <t>Instrucción: _x000D_
EL CONTRIBUYENTE LLENARA LOS DATOS CORRESPONDIENTES A LA SUMATORIA DE LOS PAGOS MENSUALES DEFINITIVOS DE ENERO A DICIEMBRE</t>
        </r>
      </text>
    </comment>
    <comment ref="A135" authorId="0" shapeId="0">
      <text>
        <r>
          <rPr>
            <b/>
            <sz val="9"/>
            <color indexed="60"/>
            <rFont val="Tahoma"/>
            <family val="2"/>
          </rPr>
          <t>Instrucción: _x000D_
EL CONTRIBUYENTE LLENARA LOS DATOS CORRESPONDIENTES A LA SUMATORIA DE LOS PAGOS MENSUALES DEFINITIVOS DE ENERO A DICIEMBRE</t>
        </r>
      </text>
    </comment>
    <comment ref="A136" authorId="0" shapeId="0">
      <text>
        <r>
          <rPr>
            <b/>
            <sz val="9"/>
            <color indexed="60"/>
            <rFont val="Tahoma"/>
            <family val="2"/>
          </rPr>
          <t>Instrucción: _x000D_
EL CONTRIBUYENTE LLENARA LOS DATOS CORRESPONDIENTES A LA SUMATORIA DE LOS PAGOS MENSUALES DEFINITIVOS DE ENERO A DICIEMBRE</t>
        </r>
      </text>
    </comment>
    <comment ref="A137" authorId="0" shapeId="0">
      <text>
        <r>
          <rPr>
            <b/>
            <sz val="9"/>
            <color indexed="60"/>
            <rFont val="Tahoma"/>
            <family val="2"/>
          </rPr>
          <t>Instrucción: _x000D_
EL CONTRIBUYENTE LLENARA LOS DATOS CORRESPONDIENTES A LA SUMATORIA DE LOS PAGOS MENSUALES DEFINITIVOS DE ENERO A DICIEMBRE</t>
        </r>
      </text>
    </comment>
    <comment ref="A138" authorId="0" shapeId="0">
      <text>
        <r>
          <rPr>
            <b/>
            <sz val="9"/>
            <color indexed="60"/>
            <rFont val="Tahoma"/>
            <family val="2"/>
          </rPr>
          <t>Instrucción: _x000D_
EL CONTRIBUYENTE LLENARA LOS DATOS CORRESPONDIENTES A LA SUMATORIA DE LOS PAGOS MENSUALES DEFINITIVOS DE ENERO A DICIEMBRE</t>
        </r>
      </text>
    </comment>
    <comment ref="A139" authorId="0" shapeId="0">
      <text>
        <r>
          <rPr>
            <b/>
            <sz val="9"/>
            <color indexed="60"/>
            <rFont val="Tahoma"/>
            <family val="2"/>
          </rPr>
          <t>Instrucción: _x000D_
EL CONTRIBUYENTE LLENARA LOS DATOS CORRESPONDIENTES A LA SUMATORIA DE LOS PAGOS MENSUALES DEFINITIVOS DE ENERO A DICIEMBRE</t>
        </r>
      </text>
    </comment>
    <comment ref="A140" authorId="0" shapeId="0">
      <text>
        <r>
          <rPr>
            <b/>
            <sz val="9"/>
            <color indexed="60"/>
            <rFont val="Tahoma"/>
            <family val="2"/>
          </rPr>
          <t>Instrucción: _x000D_
EL CONTRIBUYENTE LLENARA LOS DATOS CORRESPONDIENTES A LA SUMATORIA DE LOS PAGOS MENSUALES DEFINITIVOS DE ENERO A DICIEMBRE</t>
        </r>
      </text>
    </comment>
    <comment ref="A141" authorId="0" shapeId="0">
      <text>
        <r>
          <rPr>
            <b/>
            <sz val="9"/>
            <color indexed="60"/>
            <rFont val="Tahoma"/>
            <family val="2"/>
          </rPr>
          <t>Instrucción: _x000D_
EL CONTRIBUYENTE LLENARA LOS DATOS CORRESPONDIENTES A LA SUMATORIA DE LOS PAGOS MENSUALES DEFINITIVOS DE ENERO A DICIEMBRE</t>
        </r>
      </text>
    </comment>
    <comment ref="A143" authorId="0" shapeId="0">
      <text>
        <r>
          <rPr>
            <b/>
            <sz val="9"/>
            <color indexed="60"/>
            <rFont val="Tahoma"/>
            <family val="2"/>
          </rPr>
          <t>Instrucción: _x000D_
EL CONTRIBUYENTE LLENARA LOS DATOS CORRESPONDIENTES A LA SUMATORIA DE LOS PAGOS MENSUALES DEFINITIVOS DE ENERO A DICIEMBRE</t>
        </r>
      </text>
    </comment>
    <comment ref="A145" authorId="0" shapeId="0">
      <text>
        <r>
          <rPr>
            <b/>
            <sz val="9"/>
            <color indexed="60"/>
            <rFont val="Tahoma"/>
            <family val="2"/>
          </rPr>
          <t>Instrucción: _x000D_
EL CONTRIBUYENTE LLENARA LOS DATOS CORRESPONDIENTES A LA SUMATORIA DE LOS PAGOS MENSUALES DEFINITIVOS DE ENERO A DICIEMBRE</t>
        </r>
      </text>
    </comment>
    <comment ref="A147" authorId="0" shapeId="0">
      <text>
        <r>
          <rPr>
            <b/>
            <sz val="9"/>
            <color indexed="60"/>
            <rFont val="Tahoma"/>
            <family val="2"/>
          </rPr>
          <t>Instrucción: _x000D_
EL CONTRIBUYENTE LLENARA LOS DATOS CORRESPONDIENTES A LA SUMATORIA DE LOS PAGOS MENSUALES DEFINITIVOS DE ENERO A DICIEMBRE</t>
        </r>
      </text>
    </comment>
    <comment ref="A148" authorId="0" shapeId="0">
      <text>
        <r>
          <rPr>
            <b/>
            <sz val="9"/>
            <color indexed="60"/>
            <rFont val="Tahoma"/>
            <family val="2"/>
          </rPr>
          <t>Instrucción: _x000D_
EL CONTRIBUYENTE LLENARA LOS DATOS CORRESPONDIENTES A LA SUMATORIA DE LOS PAGOS MENSUALES DEFINITIVOS DE ENERO A DICIEMBRE</t>
        </r>
      </text>
    </comment>
    <comment ref="A149" authorId="0" shapeId="0">
      <text>
        <r>
          <rPr>
            <b/>
            <sz val="9"/>
            <color indexed="60"/>
            <rFont val="Tahoma"/>
            <family val="2"/>
          </rPr>
          <t>Instrucción: _x000D_
EL CONTRIBUYENTE LLENARA LOS DATOS CORRESPONDIENTES A LA SUMATORIA DE LOS PAGOS MENSUALES DEFINITIVOS DE ENERO A DICIEMBRE</t>
        </r>
      </text>
    </comment>
    <comment ref="A150" authorId="0" shapeId="0">
      <text>
        <r>
          <rPr>
            <b/>
            <sz val="9"/>
            <color indexed="60"/>
            <rFont val="Tahoma"/>
            <family val="2"/>
          </rPr>
          <t>Instrucción: _x000D_
EL CONTRIBUYENTE LLENARA LOS DATOS CORRESPONDIENTES A LA SUMATORIA DE LOS PAGOS MENSUALES DEFINITIVOS DE ENERO A DICIEMBRE</t>
        </r>
      </text>
    </comment>
    <comment ref="A152" authorId="0" shapeId="0">
      <text>
        <r>
          <rPr>
            <b/>
            <sz val="9"/>
            <color indexed="60"/>
            <rFont val="Tahoma"/>
            <family val="2"/>
          </rPr>
          <t>Instrucción: _x000D_
EL CONTRIBUYENTE LLENARA LOS DATOS CORRESPONDIENTES A LA SUMATORIA DE LOS PAGOS MENSUALES DEFINITIVOS DE ENERO A DICIEMBRE</t>
        </r>
      </text>
    </comment>
    <comment ref="A153" authorId="0" shapeId="0">
      <text>
        <r>
          <rPr>
            <b/>
            <sz val="9"/>
            <color indexed="60"/>
            <rFont val="Tahoma"/>
            <family val="2"/>
          </rPr>
          <t>Instrucción: _x000D_
EL CONTRIBUYENTE LLENARA LOS DATOS CORRESPONDIENTES A LA SUMATORIA DE LOS PAGOS MENSUALES DEFINITIVOS DE ENERO A DICIEMBRE</t>
        </r>
      </text>
    </comment>
    <comment ref="A154" authorId="0" shapeId="0">
      <text>
        <r>
          <rPr>
            <b/>
            <sz val="9"/>
            <color indexed="60"/>
            <rFont val="Tahoma"/>
            <family val="2"/>
          </rPr>
          <t>Instrucción: _x000D_
EL CONTRIBUYENTE LLENARA LOS DATOS CORRESPONDIENTES A LA SUMATORIA DE LOS PAGOS MENSUALES DEFINITIVOS DE ENERO A DICIEMBRE</t>
        </r>
      </text>
    </comment>
    <comment ref="A155" authorId="0" shapeId="0">
      <text>
        <r>
          <rPr>
            <b/>
            <sz val="9"/>
            <color indexed="60"/>
            <rFont val="Tahoma"/>
            <family val="2"/>
          </rPr>
          <t>Instrucción: _x000D_
EL CONTRIBUYENTE LLENARA LOS DATOS CORRESPONDIENTES A LA SUMATORIA DE LOS PAGOS MENSUALES DEFINITIVOS DE ENERO A DICIEMBRE</t>
        </r>
      </text>
    </comment>
    <comment ref="A156" authorId="0" shapeId="0">
      <text>
        <r>
          <rPr>
            <b/>
            <sz val="9"/>
            <color indexed="60"/>
            <rFont val="Tahoma"/>
            <family val="2"/>
          </rPr>
          <t>Instrucción: _x000D_
EL CONTRIBUYENTE LLENARA LOS DATOS CORRESPONDIENTES A LA SUMATORIA DE LOS PAGOS MENSUALES DEFINITIVOS DE ENERO A DICIEMBRE</t>
        </r>
      </text>
    </comment>
    <comment ref="A157" authorId="0" shapeId="0">
      <text>
        <r>
          <rPr>
            <b/>
            <sz val="9"/>
            <color indexed="60"/>
            <rFont val="Tahoma"/>
            <family val="2"/>
          </rPr>
          <t>Instrucción: _x000D_
EL CONTRIBUYENTE LLENARA LOS DATOS CORRESPONDIENTES A LA SUMATORIA DE LOS PAGOS MENSUALES DEFINITIVOS DE ENERO A DICIEMBRE</t>
        </r>
      </text>
    </comment>
    <comment ref="A158" authorId="0" shapeId="0">
      <text>
        <r>
          <rPr>
            <b/>
            <sz val="9"/>
            <color indexed="60"/>
            <rFont val="Tahoma"/>
            <family val="2"/>
          </rPr>
          <t>Instrucción: _x000D_
EL CONTRIBUYENTE LLENARA LOS DATOS CORRESPONDIENTES A LA SUMATORIA DE LOS PAGOS MENSUALES DEFINITIVOS DE ENERO A DICIEMBRE</t>
        </r>
      </text>
    </comment>
    <comment ref="A159" authorId="0" shapeId="0">
      <text>
        <r>
          <rPr>
            <b/>
            <sz val="9"/>
            <color indexed="60"/>
            <rFont val="Tahoma"/>
            <family val="2"/>
          </rPr>
          <t>Instrucción: _x000D_
EL CONTRIBUYENTE LLENARA LOS DATOS CORRESPONDIENTES A LA SUMATORIA DE LOS PAGOS MENSUALES DEFINITIVOS DE ENERO A DICIEMBRE</t>
        </r>
      </text>
    </comment>
    <comment ref="A160" authorId="0" shapeId="0">
      <text>
        <r>
          <rPr>
            <b/>
            <sz val="9"/>
            <color indexed="60"/>
            <rFont val="Tahoma"/>
            <family val="2"/>
          </rPr>
          <t>Instrucción: _x000D_
EL CONTRIBUYENTE LLENARA LOS DATOS CORRESPONDIENTES A LA SUMATORIA DE LOS PAGOS MENSUALES DEFINITIVOS DE ENERO A DICIEMBRE</t>
        </r>
      </text>
    </comment>
    <comment ref="A162" authorId="0" shapeId="0">
      <text>
        <r>
          <rPr>
            <b/>
            <sz val="9"/>
            <color indexed="60"/>
            <rFont val="Tahoma"/>
            <family val="2"/>
          </rPr>
          <t>Instrucción: _x000D_
EL CONTRIBUYENTE LLENARA LOS DATOS CORRESPONDIENTES A LA SUMATORIA DE LOS PAGOS MENSUALES DEFINITIVOS DE ENERO A DICIEMBRE</t>
        </r>
      </text>
    </comment>
    <comment ref="A163" authorId="0" shapeId="0">
      <text>
        <r>
          <rPr>
            <b/>
            <sz val="9"/>
            <color indexed="60"/>
            <rFont val="Tahoma"/>
            <family val="2"/>
          </rPr>
          <t>Instrucción: _x000D_
EL CONTRIBUYENTE LLENARA LOS DATOS CORRESPONDIENTES A LA SUMATORIA DE LOS PAGOS MENSUALES DEFINITIVOS DE ENERO A DICIEMBRE</t>
        </r>
      </text>
    </comment>
    <comment ref="A164" authorId="0" shapeId="0">
      <text>
        <r>
          <rPr>
            <b/>
            <sz val="9"/>
            <color indexed="60"/>
            <rFont val="Tahoma"/>
            <family val="2"/>
          </rPr>
          <t>Instrucción: _x000D_
EL CONTRIBUYENTE LLENARA LOS DATOS CORRESPONDIENTES A LA SUMATORIA DE LOS PAGOS MENSUALES DEFINITIVOS DE ENERO A DICIEMBRE</t>
        </r>
      </text>
    </comment>
    <comment ref="A165" authorId="0" shapeId="0">
      <text>
        <r>
          <rPr>
            <b/>
            <sz val="9"/>
            <color indexed="60"/>
            <rFont val="Tahoma"/>
            <family val="2"/>
          </rPr>
          <t>Instrucción: _x000D_
EL CONTRIBUYENTE LLENARA LOS DATOS CORRESPONDIENTES A LA SUMATORIA DE LOS PAGOS MENSUALES DEFINITIVOS DE ENERO A DICIEMBRE</t>
        </r>
      </text>
    </comment>
    <comment ref="A166" authorId="0" shapeId="0">
      <text>
        <r>
          <rPr>
            <b/>
            <sz val="9"/>
            <color indexed="60"/>
            <rFont val="Tahoma"/>
            <family val="2"/>
          </rPr>
          <t>Instrucción: _x000D_
EL CONTRIBUYENTE LLENARA LOS DATOS CORRESPONDIENTES A LA SUMATORIA DE LOS PAGOS MENSUALES DEFINITIVOS DE ENERO A DICIEMBRE</t>
        </r>
      </text>
    </comment>
    <comment ref="A167" authorId="0" shapeId="0">
      <text>
        <r>
          <rPr>
            <b/>
            <sz val="9"/>
            <color indexed="60"/>
            <rFont val="Tahoma"/>
            <family val="2"/>
          </rPr>
          <t>Instrucción: _x000D_
EL CONTRIBUYENTE LLENARA LOS DATOS CORRESPONDIENTES A LA SUMATORIA DE LOS PAGOS MENSUALES DEFINITIVOS DE ENERO A DICIEMBRE</t>
        </r>
      </text>
    </comment>
    <comment ref="A168" authorId="0" shapeId="0">
      <text>
        <r>
          <rPr>
            <b/>
            <sz val="9"/>
            <color indexed="60"/>
            <rFont val="Tahoma"/>
            <family val="2"/>
          </rPr>
          <t>Instrucción: _x000D_
EL CONTRIBUYENTE LLENARA LOS DATOS CORRESPONDIENTES A LA SUMATORIA DE LOS PAGOS MENSUALES DEFINITIVOS DE ENERO A DICIEMBRE</t>
        </r>
      </text>
    </comment>
    <comment ref="A169" authorId="0" shapeId="0">
      <text>
        <r>
          <rPr>
            <b/>
            <sz val="9"/>
            <color indexed="60"/>
            <rFont val="Tahoma"/>
            <family val="2"/>
          </rPr>
          <t>Instrucción: _x000D_
EL CONTRIBUYENTE LLENARA LOS DATOS CORRESPONDIENTES A LA SUMATORIA DE LOS PAGOS MENSUALES DEFINITIVOS DE ENERO A DICIEMBRE</t>
        </r>
      </text>
    </comment>
    <comment ref="A170" authorId="0" shapeId="0">
      <text>
        <r>
          <rPr>
            <b/>
            <sz val="9"/>
            <color indexed="60"/>
            <rFont val="Tahoma"/>
            <family val="2"/>
          </rPr>
          <t>Instrucción: _x000D_
EL CONTRIBUYENTE LLENARA LOS DATOS CORRESPONDIENTES A LA SUMATORIA DE LOS PAGOS MENSUALES DEFINITIVOS DE ENERO A DICIEMBRE</t>
        </r>
      </text>
    </comment>
    <comment ref="A171" authorId="0" shapeId="0">
      <text>
        <r>
          <rPr>
            <b/>
            <sz val="9"/>
            <color indexed="60"/>
            <rFont val="Tahoma"/>
            <family val="2"/>
          </rPr>
          <t>Instrucción: _x000D_
EL CONTRIBUYENTE LLENARA LOS DATOS CORRESPONDIENTES A LA SUMATORIA DE LOS PAGOS MENSUALES DEFINITIVOS DE ENERO A DICIEMBRE</t>
        </r>
      </text>
    </comment>
    <comment ref="A173" authorId="0" shapeId="0">
      <text>
        <r>
          <rPr>
            <b/>
            <sz val="9"/>
            <color indexed="60"/>
            <rFont val="Tahoma"/>
            <family val="2"/>
          </rPr>
          <t>Instrucción: _x000D_
EL CONTRIBUYENTE LLENARA LOS DATOS CORRESPONDIENTES A LA SUMATORIA DE LOS PAGOS MENSUALES DEFINITIVOS DE ENERO A DICIEMBRE</t>
        </r>
      </text>
    </comment>
    <comment ref="A174" authorId="0" shapeId="0">
      <text>
        <r>
          <rPr>
            <b/>
            <sz val="9"/>
            <color indexed="60"/>
            <rFont val="Tahoma"/>
            <family val="2"/>
          </rPr>
          <t>Instrucción: _x000D_
EL CONTRIBUYENTE LLENARA LOS DATOS CORRESPONDIENTES A LA SUMATORIA DE LOS PAGOS MENSUALES DEFINITIVOS DE ENERO A DICIEMBRE</t>
        </r>
      </text>
    </comment>
    <comment ref="A175" authorId="0" shapeId="0">
      <text>
        <r>
          <rPr>
            <b/>
            <sz val="9"/>
            <color indexed="60"/>
            <rFont val="Tahoma"/>
            <family val="2"/>
          </rPr>
          <t>Instrucción: _x000D_
EL CONTRIBUYENTE LLENARA LOS DATOS CORRESPONDIENTES A LA SUMATORIA DE LOS PAGOS MENSUALES DEFINITIVOS DE ENERO A DICIEMBRE</t>
        </r>
      </text>
    </comment>
    <comment ref="A176" authorId="0" shapeId="0">
      <text>
        <r>
          <rPr>
            <b/>
            <sz val="9"/>
            <color indexed="60"/>
            <rFont val="Tahoma"/>
            <family val="2"/>
          </rPr>
          <t>Instrucción: _x000D_
EL CONTRIBUYENTE LLENARA LOS DATOS CORRESPONDIENTES A LA SUMATORIA DE LOS PAGOS MENSUALES DEFINITIVOS DE ENERO A DICIEMBRE</t>
        </r>
      </text>
    </comment>
    <comment ref="A177" authorId="0" shapeId="0">
      <text>
        <r>
          <rPr>
            <b/>
            <sz val="9"/>
            <color indexed="60"/>
            <rFont val="Tahoma"/>
            <family val="2"/>
          </rPr>
          <t>Instrucción: _x000D_
EL CONTRIBUYENTE LLENARA LOS DATOS CORRESPONDIENTES A LA SUMATORIA DE LOS PAGOS MENSUALES DEFINITIVOS DE ENERO A DICIEMBRE</t>
        </r>
      </text>
    </comment>
    <comment ref="A178" authorId="0" shapeId="0">
      <text>
        <r>
          <rPr>
            <b/>
            <sz val="9"/>
            <color indexed="60"/>
            <rFont val="Tahoma"/>
            <family val="2"/>
          </rPr>
          <t>Instrucción: _x000D_
EL CONTRIBUYENTE LLENARA LOS DATOS CORRESPONDIENTES A LA SUMATORIA DE LOS PAGOS MENSUALES DEFINITIVOS DE ENERO A DICIEMBRE</t>
        </r>
      </text>
    </comment>
    <comment ref="A180" authorId="0" shapeId="0">
      <text>
        <r>
          <rPr>
            <b/>
            <sz val="9"/>
            <color indexed="60"/>
            <rFont val="Tahoma"/>
            <family val="2"/>
          </rPr>
          <t>Instrucción: _x000D_
EL CONTRIBUYENTE LLENARA LOS DATOS CORRESPONDIENTES A LA SUMATORIA DE LOS PAGOS MENSUALES DEFINITIVOS DE ENERO A DICIEMBRE</t>
        </r>
      </text>
    </comment>
    <comment ref="A181" authorId="0" shapeId="0">
      <text>
        <r>
          <rPr>
            <b/>
            <sz val="9"/>
            <color indexed="60"/>
            <rFont val="Tahoma"/>
            <family val="2"/>
          </rPr>
          <t>Instrucción: _x000D_
EL CONTRIBUYENTE LLENARA LOS DATOS CORRESPONDIENTES A LA SUMATORIA DE LOS PAGOS MENSUALES DEFINITIVOS DE ENERO A DICIEMBRE</t>
        </r>
      </text>
    </comment>
    <comment ref="A183" authorId="0" shapeId="0">
      <text>
        <r>
          <rPr>
            <b/>
            <sz val="9"/>
            <color indexed="60"/>
            <rFont val="Tahoma"/>
            <family val="2"/>
          </rPr>
          <t>Instrucción: _x000D_
EL CONTRIBUYENTE LLENARA LOS DATOS CORRESPONDIENTES A LA SUMATORIA DE LOS PAGOS MENSUALES DEFINITIVOS DE ENERO A DICIEMBRE</t>
        </r>
      </text>
    </comment>
    <comment ref="A185" authorId="0" shapeId="0">
      <text>
        <r>
          <rPr>
            <b/>
            <sz val="9"/>
            <color indexed="60"/>
            <rFont val="Tahoma"/>
            <family val="2"/>
          </rPr>
          <t>Instrucción: _x000D_
EL CONTRIBUYENTE LLENARA LOS DATOS CORRESPONDIENTES A LA SUMATORIA DE LOS PAGOS MENSUALES DEFINITIVOS DE ENERO A DICIEMBRE</t>
        </r>
      </text>
    </comment>
    <comment ref="A186" authorId="0" shapeId="0">
      <text>
        <r>
          <rPr>
            <b/>
            <sz val="9"/>
            <color indexed="60"/>
            <rFont val="Tahoma"/>
            <family val="2"/>
          </rPr>
          <t>Instrucción: _x000D_
EL CONTRIBUYENTE LLENARA LOS DATOS CORRESPONDIENTES A LA SUMATORIA DE LOS PAGOS MENSUALES DEFINITIVOS DE ENERO A DICIEMBRE</t>
        </r>
      </text>
    </comment>
    <comment ref="A187" authorId="0" shapeId="0">
      <text>
        <r>
          <rPr>
            <b/>
            <sz val="9"/>
            <color indexed="60"/>
            <rFont val="Tahoma"/>
            <family val="2"/>
          </rPr>
          <t>Instrucción: _x000D_
EL CONTRIBUYENTE LLENARA LOS DATOS CORRESPONDIENTES A LA SUMATORIA DE LOS PAGOS MENSUALES DEFINITIVOS DE ENERO A DICIEMBRE</t>
        </r>
      </text>
    </comment>
    <comment ref="A188" authorId="0" shapeId="0">
      <text>
        <r>
          <rPr>
            <b/>
            <sz val="9"/>
            <color indexed="60"/>
            <rFont val="Tahoma"/>
            <family val="2"/>
          </rPr>
          <t>Instrucción: _x000D_
EL CONTRIBUYENTE LLENARA LOS DATOS CORRESPONDIENTES A LA SUMATORIA DE LOS PAGOS MENSUALES DEFINITIVOS DE ENERO A DICIEMBRE</t>
        </r>
      </text>
    </comment>
    <comment ref="A198" authorId="0" shapeId="0">
      <text>
        <r>
          <rPr>
            <b/>
            <sz val="9"/>
            <color indexed="60"/>
            <rFont val="Tahoma"/>
            <family val="2"/>
          </rPr>
          <t>Instrucción: _x000D_
NO SE DEBERA LLENAR LA INFORMACION CONTENIDA EN LAS COLUMNAS: “BASE GRAVABLE” Y “TASA, TARIFA O CUOTA”.</t>
        </r>
      </text>
    </comment>
    <comment ref="B202"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203"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204"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A208" authorId="0" shapeId="0">
      <text>
        <r>
          <rPr>
            <b/>
            <sz val="9"/>
            <color indexed="60"/>
            <rFont val="Tahoma"/>
            <family val="2"/>
          </rPr>
          <t>Instrucción: _x000D_
EL INDICE: “EL INSTITUTO NACIONAL DE MIGRACION (INM)”, CORRESPONDE A LOS DERECHOS DE VISITANTE SIN PERMISO PARA REALIZAR ACTIVIDADES REMUNERADAS (ARTÍCULO 8, FRACCION I DE LA LEY FEDERAL DE DERECHOS VIGENTE EN 2017) Y A LOS SERVICIOS MIGRATORIOS (ARTÍCULO 12 DE LA LEY FEDERAL DE DERECHOS VIGENTE EN 2017).</t>
        </r>
      </text>
    </comment>
    <comment ref="A210" authorId="0" shapeId="0">
      <text>
        <r>
          <rPr>
            <b/>
            <sz val="9"/>
            <color indexed="60"/>
            <rFont val="Tahoma"/>
            <family val="2"/>
          </rPr>
          <t>Instrucción: _x000D_
EL INDICE: “SERVICIOS A LA NAVEGACION EN EL ESPACIO AEREO MEXICANO (SENEAM)” CORRESPONDE A LOS DERECHOS ESTABLECIDOS EN EL ARTÍCULO 289, FRACCIONES I, II Y III DE LA LEY FEDERAL DE DERECHOS VIGENTE EN 2017.</t>
        </r>
      </text>
    </comment>
    <comment ref="A211" authorId="0" shapeId="0">
      <text>
        <r>
          <rPr>
            <b/>
            <sz val="9"/>
            <color indexed="60"/>
            <rFont val="Tahoma"/>
            <family val="2"/>
          </rPr>
          <t>Instrucción: _x000D_
EL INDICE: “INSTITUTO FEDERAL DE TELECOMUNICACIONES (IFT), CORRESPONDE A LOS DERECHOS ESTABLECIDOS EN LOS ARTÍCULOS 244-B, 244-C, 244-D Y 244-E DE LA LEY FEDERAL DE DERECHOS VIGENTE EN 2017.</t>
        </r>
      </text>
    </comment>
    <comment ref="A212" authorId="0" shapeId="0">
      <text>
        <r>
          <rPr>
            <b/>
            <sz val="9"/>
            <color indexed="60"/>
            <rFont val="Tahoma"/>
            <family val="2"/>
          </rPr>
          <t>Instrucción: _x000D_
EN EL INDICE: “OTROS ESPECIFICAR CONCEPTO” SE ANOTARAN LOS DERECHOS FEDERALES MAS REPRESENTATIVOS EN CUANTO A MONTO QUE HAYA CAUSADO EL CONTRIBUYENTE DURANTE EL EJERCICIO. EN EL CASO DE CONTRIBUYENTES QUE SE DEDIQUEN A LAS ACTIVIDADES MINERAS, DEBERAN ANOTAR LOS DERECHOS SOBRE MINERIA QUE HAYAN CAUSADO.</t>
        </r>
      </text>
    </comment>
    <comment ref="B220"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21"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223" authorId="0" shapeId="0">
      <text>
        <r>
          <rPr>
            <b/>
            <sz val="9"/>
            <color indexed="12"/>
            <rFont val="Tahoma"/>
            <family val="2"/>
          </rPr>
          <t>Info TIP: _x000D_
Para determinar la base de ISR de los honorarios pagados a personas físicas, se deberá considerar el importe del indice 01070023000000 del anexo 7, más los registradas en cuentas de Inversiones en Activos, menos el importe no pagado al cierre del ejercicio, más el importe pagado del ejercicio anterior.</t>
        </r>
      </text>
    </comment>
    <comment ref="B224"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229" authorId="0" shapeId="0">
      <text>
        <r>
          <rPr>
            <b/>
            <sz val="9"/>
            <color indexed="12"/>
            <rFont val="Tahoma"/>
            <family val="2"/>
          </rPr>
          <t>Info TIP: _x000D_
Se debe incluir esta información tratándose de dividendos aplicados contra la CUFIN generada a partir del ejercicio 2014</t>
        </r>
      </text>
    </comment>
    <comment ref="B27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274" authorId="0" shapeId="0">
      <text>
        <r>
          <rPr>
            <b/>
            <sz val="9"/>
            <color indexed="12"/>
            <rFont val="Tahoma"/>
            <family val="2"/>
          </rPr>
          <t>Info TIP: _x000D_
Para determinar la base IVA de los Arrendamientos pagados a personas físicas, se deberá considerar el importe de las cuentas de Gastos de operación del indice 01070029000000del anexo 7, más los registradas en cuentas de Inversiones en Activos, menos el importe no pagado al cierre del ejercicio, más el importe pagado del ejercicio anterior.</t>
        </r>
      </text>
    </comment>
    <comment ref="B276"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277"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A285" authorId="0" shapeId="0">
      <text>
        <r>
          <rPr>
            <b/>
            <sz val="9"/>
            <color indexed="60"/>
            <rFont val="Tahoma"/>
            <family val="2"/>
          </rPr>
          <t>Instrucción: _x000D_
NO SE DEBERA LLENAR LA INFORMACION CONTENIDA EN LAS COLUMNAS: “BASE GRAVABLE” Y “TASA, TARIFA O CUOTA”.</t>
        </r>
      </text>
    </comment>
    <comment ref="A286" authorId="0" shapeId="0">
      <text>
        <r>
          <rPr>
            <b/>
            <sz val="9"/>
            <color indexed="60"/>
            <rFont val="Tahoma"/>
            <family val="2"/>
          </rPr>
          <t>Instrucción: _x000D_
NO SE DEBERA LLENAR LA INFORMACION CONTENIDA EN LAS COLUMNAS: “BASE GRAVABLE” Y “TASA, TARIFA O CUOTA”.</t>
        </r>
      </text>
    </comment>
    <comment ref="B286" authorId="0" shapeId="0">
      <text>
        <r>
          <rPr>
            <b/>
            <sz val="9"/>
            <color indexed="12"/>
            <rFont val="Tahoma"/>
            <family val="2"/>
          </rPr>
          <t>Info TIP: _x000D_
Estas cuotas no serán deducibles aun cuando sean pagadas por el patrón. Art. 25 Fracc. VI LISR.</t>
        </r>
      </text>
    </comment>
    <comment ref="A287" authorId="0" shapeId="0">
      <text>
        <r>
          <rPr>
            <b/>
            <sz val="9"/>
            <color indexed="60"/>
            <rFont val="Tahoma"/>
            <family val="2"/>
          </rPr>
          <t>Instrucción: _x000D_
NO SE DEBERA LLENAR LA INFORMACION CONTENIDA EN LAS COLUMNAS: “BASE GRAVABLE” Y “TASA, TARIFA O CUOTA”.</t>
        </r>
      </text>
    </comment>
    <comment ref="B29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8"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0"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19.xml><?xml version="1.0" encoding="utf-8"?>
<comments xmlns="http://schemas.openxmlformats.org/spreadsheetml/2006/main">
  <authors>
    <author>Francisco Garcia</author>
  </authors>
  <commentList>
    <comment ref="B11" authorId="0" shapeId="0">
      <text>
        <r>
          <rPr>
            <b/>
            <sz val="9"/>
            <color indexed="12"/>
            <rFont val="Tahoma"/>
            <family val="2"/>
          </rPr>
          <t>Info TIP: _x000D_
Si en el ejercicio no se obtuvo base para PTU, se colocará CERO, favor de confirmar.</t>
        </r>
      </text>
    </comment>
    <comment ref="B16" authorId="0" shapeId="0">
      <text>
        <r>
          <rPr>
            <b/>
            <sz val="9"/>
            <color indexed="12"/>
            <rFont val="Tahoma"/>
            <family val="2"/>
          </rPr>
          <t>Info TIP: _x000D_
En caso de que en el ejercicio no se obtenga coeficiente de utilidad para aplicar en el ejercicio siguiente, se deberá anotar el último que se conozca de hasta cinco ejercicios anteriores. Artículo 14 F-I LISR</t>
        </r>
      </text>
    </comment>
    <comment ref="B31" authorId="0" shapeId="0">
      <text>
        <r>
          <rPr>
            <b/>
            <sz val="9"/>
            <color indexed="12"/>
            <rFont val="Tahoma"/>
            <family val="2"/>
          </rPr>
          <t>Info TIP: _x000D_
El dato solicitado en este índice corresponde a la CUFIN de 2014 a 2017 actualizada al cierre del ejercicio dictaminado o al mes en que se hayan recibido o pagado dividendos, caso en el que se sugiere utilizar algun indice entre 01180028000000 al 01180032000000 para incluir la actualización al cierre del ejercicio.</t>
        </r>
      </text>
    </comment>
    <comment ref="B36" authorId="0" shapeId="0">
      <text>
        <r>
          <rPr>
            <b/>
            <sz val="9"/>
            <color indexed="12"/>
            <rFont val="Tahoma"/>
            <family val="2"/>
          </rPr>
          <t>Info TIP: _x000D_
Para la determinación de este concepto, se deben tomar en cuenta los No Deducibles de los gastos de operación más los correspondientes al costo de lo vendido y el correspondiente a la proporción de prestaciones exentas para los trabajadores.</t>
        </r>
      </text>
    </comment>
    <comment ref="B37" authorId="0" shapeId="0">
      <text>
        <r>
          <rPr>
            <b/>
            <sz val="9"/>
            <color indexed="12"/>
            <rFont val="Tahoma"/>
            <family val="2"/>
          </rPr>
          <t>Info TIP: _x000D_
No se vincula este dato en este anexo, tomando en consideración el Criterio Normativo 36/ISR/N publicado en el anexo 7 de la Resolución Miscelánea el día 27 de diciembre de 2016, en el cual la autoridad considera que no debe disminuirse para la determinación de la UFIN, debido a que la disminución se realiza al determinar el Resultado Fiscal, conforme al Art. 9 de la LISR.</t>
        </r>
      </text>
    </comment>
    <comment ref="B41" authorId="0" shapeId="0">
      <text>
        <r>
          <rPr>
            <b/>
            <sz val="9"/>
            <color indexed="12"/>
            <rFont val="Tahoma"/>
            <family val="2"/>
          </rPr>
          <t>Info TIP: _x000D_
La formulación se realizó tomando en consideración el pronunciamiento siguiente:_x000D_
_x000D_
Tesis: 1a. IV/2011 (10a.). IUS: 2’000,145. Tesis Aislada; 10a. Época; 1a. Sala; S.J.F. y su Gaceta; Libro IV, Enero de 2012, Tomo 3; Pág. 2920_x000D_
_x000D_
RENTA. CONFORME AL ARTÍCULO 10 DE LA LEY DEL IMPUESTO_x000D_
RELATIVO, CUANDO LAS DEDUCCIONES AUTORIZADAS EXCEDEN A LOS INGRESOS ACUMULABLES SE OBTIENE UNA "PÉRDIDA FISCAL", Y EL RESULTADO FISCAL DEBERÁ CONSIDERARSE COMO CERO Y NO COMO "NEGATIVO"._x000D_
_x000D_
Se recomienda revisar el otro criterio, de no determinar "RESULTADO NEGATIVO" cuando en el ejercicio no se determine resultado fiscal.</t>
        </r>
      </text>
    </comment>
    <comment ref="B43" authorId="0" shapeId="0">
      <text>
        <r>
          <rPr>
            <b/>
            <sz val="9"/>
            <color indexed="12"/>
            <rFont val="Tahoma"/>
            <family val="2"/>
          </rPr>
          <t>Info TIP: _x000D_
El dato solicitado en el índice 01180017000000 correspondiente al saldo actualizado de la CUFIN de los ejercicios de 2014 a 2017, el cual es el mismo que podría incluirse en este índice por lo que únicamente debe utilizarse uno de los dos._x000D_
_x000D_
Ver Dictatip del índice 01180017000000</t>
        </r>
      </text>
    </comment>
    <comment ref="B61" authorId="0" shapeId="0">
      <text>
        <r>
          <rPr>
            <b/>
            <sz val="9"/>
            <color indexed="12"/>
            <rFont val="Tahoma"/>
            <family val="2"/>
          </rPr>
          <t>Info TIP: _x000D_
El dato solicitado en este índice corresponde a la CUFIN generada de 2001 a 2013 actualizada al cierre del ejercicio anterior.</t>
        </r>
      </text>
    </comment>
    <comment ref="B67" authorId="0" shapeId="0">
      <text>
        <r>
          <rPr>
            <b/>
            <sz val="9"/>
            <color indexed="12"/>
            <rFont val="Tahoma"/>
            <family val="2"/>
          </rPr>
          <t>Info TIP: _x000D_
Esta actualización es la correspondiente al ejercicio dictaminado.</t>
        </r>
      </text>
    </comment>
    <comment ref="B81" authorId="0" shapeId="0">
      <text>
        <r>
          <rPr>
            <b/>
            <sz val="9"/>
            <color indexed="12"/>
            <rFont val="Tahoma"/>
            <family val="2"/>
          </rPr>
          <t>Info TIP: _x000D_
El dato solicitado en este índice corresponde a la CUFIN generada desde el inicio de operaciones y hasta el el ejercicio 2000 actualizada al cierre del ejercicio anterior._x000D_
_x000D_
Se sugiere incluir la CUFIN del ejercicio 2000, ya que en la sección anterior se solicita el dato de los ejercicios 2001 a 2013.</t>
        </r>
      </text>
    </comment>
    <comment ref="B87" authorId="0" shapeId="0">
      <text>
        <r>
          <rPr>
            <b/>
            <sz val="9"/>
            <color indexed="12"/>
            <rFont val="Tahoma"/>
            <family val="2"/>
          </rPr>
          <t>Info TIP: _x000D_
Esta actualización es la correspondiente al ejercicio dictaminado.</t>
        </r>
      </text>
    </comment>
  </commentList>
</comments>
</file>

<file path=xl/comments20.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OPERACION Y MONTO CONTRATADO.</t>
        </r>
      </text>
    </comment>
    <comment ref="C2" authorId="0" shapeId="0">
      <text>
        <r>
          <rPr>
            <b/>
            <sz val="9"/>
            <color indexed="60"/>
            <rFont val="Tahoma"/>
            <family val="2"/>
          </rPr>
          <t>Instrucción: _x000D_
EN LA COLUMNA “NÚMERO DE IDENTIFICACION FISCAL”, SE ANOTARA EL NÚMERO O CLAVE DE IDENTIFICACION FISCAL QUE UTILIZA EL RESIDENTE EN EL EXTRANJERO EN SU PAIS DE RESIDENCIA, EN CASO DE QUE EN EL PAIS DE RESIDENCIA NO SE UTILICE DICHA CLAVE, SE ANOTARA N/A.</t>
        </r>
      </text>
    </comment>
    <comment ref="F2" authorId="0" shapeId="0">
      <text>
        <r>
          <rPr>
            <b/>
            <sz val="9"/>
            <color indexed="60"/>
            <rFont val="Tahoma"/>
            <family val="2"/>
          </rPr>
          <t>Instrucción: _x000D_
EL DATO DE LA COLUMNA “TIPO DE OPERACION CONTRATADA, DEUDA O CAPITAL” SE LLENARA DE CONFORMIDAD CON LO DISPUESTO EN EL ULTIMO PARRAFO DEL ARTICULO 16-A DEL CODIGO FISCAL DE LA FEDERACION, QUE ESTABLECE LO SIGUIENTE:
 “16-A PARA LOS EFECTOS DE LAS DISPOSICIONES FISCALES, SE ENTIENDE POR OPERACIONES FINANCIERAS DERIVADAS LAS SIGUIENTES:
 …SE CONSIDERAN OPERACIONES FINANCIERAS DERIVADAS DE DEUDA, AQUELLAS QUE ESTEN REFERIDAS A TASAS DE INTERES, TITULOS DE DEUDA O AL INDICE NACIONAL DE PRECIOS AL CONSUMIDOR; ASIMISMO, SE ENTIENDE POR OPERACIONES FINANCIERAS DERIVADAS DE CAPITAL, AQUELLAS QUE ESTEN REFERIDAS A OTROS TITULOS, MERCANCIAS, DIVISAS O CANASTAS O INDICES ACCIONARIOS. LAS OPERACIONES FINANCIERAS DERIVADAS QUE NO SE ENCUADREN DENTRO DE LOS SUPUESTOS A QUE SE REFIERE ESTE PARRAFO, SE CONSIDERARAN DE CAPITAL O DE DEUDA ATENDIENDO A LA NATURALEZA DEL SUBYACENTE.”</t>
        </r>
      </text>
    </comment>
    <comment ref="G2" authorId="0" shapeId="0">
      <text>
        <r>
          <rPr>
            <b/>
            <sz val="9"/>
            <color indexed="60"/>
            <rFont val="Tahoma"/>
            <family val="2"/>
          </rPr>
          <t>Instrucción: _x000D_
EL DATO DEL “MONTO CONTRATADO” SE EXPRESARA EN MONEDA EXTRANJERA.</t>
        </r>
      </text>
    </comment>
    <comment ref="I2" authorId="0" shapeId="0">
      <text>
        <r>
          <rPr>
            <b/>
            <sz val="9"/>
            <color indexed="60"/>
            <rFont val="Tahoma"/>
            <family val="2"/>
          </rPr>
          <t>Instrucción: _x000D_
EL DATO PORCENTAJE DE LA COLUMNA “TASA DE INTERES” SE EXPRESARA EN PORCENTAJE.</t>
        </r>
      </text>
    </comment>
    <comment ref="K2" authorId="0" shapeId="0">
      <text>
        <r>
          <rPr>
            <b/>
            <sz val="9"/>
            <color indexed="60"/>
            <rFont val="Tahoma"/>
            <family val="2"/>
          </rPr>
          <t>Instrucción: _x000D_
EN EL DATO DE LA “VIGENCIA”, SE DEBERA ANOTAR “31 DE DICIEMBRE DE 2017”.</t>
        </r>
      </text>
    </comment>
  </commentList>
</comments>
</file>

<file path=xl/comments21.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QUE SEA UNA ENTIDAD SUBSIDIARIA, ASOCIADA O AFILIADA DEL CONTRIBUYENTE, GLOBALIZANDO LAS OPERACIONES POR MONTO DE LA INVERSION.
 PARA ESTOS EFECTOS LOS TERMINOS “SUBSIDIARIA”, “ASOCIADA” O “PARTE RELACIONADA” O “AFILIADA” SERAN LOS DEFINIDOS EN LAS NORMAS DE INFORMACION FINANCIERA NIF B-7, B-8 Y C-13 EMITIDAS POR EL CONSEJO MEXICANO PARA LA INVESTIGACION Y DESARROLLO DE NORMAS DE INFORMACION FINANCIERA (CINIF), EN LOS TERMINOS SIGUIENTES:
 SUBSIDIARIA.- ES UNA ENTIDAD QUE ES CONTROLADA POR OTRA ENTIDAD.
 ASOCIADA.- ES UNA ENTIDAD EN LA CUAL OTRA ENTIDAD TIENE UNA INVERSION PERMANENTE Y EJERCE SOBRE ELLA, INFLUENCIA SIGNIFICATIVA.
 AFILIADAS O PARTES RELACIONADAS.- SON AQUELLAS ENTIDADES QUE ENTRE OTROS ASPECTOS TIENEN DUEÑOS COMUNES.</t>
        </r>
      </text>
    </comment>
    <comment ref="C2" authorId="0" shapeId="0">
      <text>
        <r>
          <rPr>
            <b/>
            <sz val="9"/>
            <color indexed="60"/>
            <rFont val="Tahoma"/>
            <family val="2"/>
          </rPr>
          <t>Instrucción: _x000D_
EN LA COLUMNA “NÚMERO DE IDENTIFICACION FISCAL”, SE ANOTARA EL DATO DEL NÚMERO O CLAVE DE IDENTIFICACION FISCAL QUE UTILIZA EL RESIDENTE EN EL EXTRANJERO EN SU PAIS DE RESIDENCIA, EN CASO DE QUE EN EL PAIS DE RESIDENCIA NO SE UTILICE DICHA CLAVE, SE ANOTARA N/A.</t>
        </r>
      </text>
    </comment>
    <comment ref="E2" authorId="0" shapeId="0">
      <text>
        <r>
          <rPr>
            <b/>
            <sz val="9"/>
            <color indexed="60"/>
            <rFont val="Tahoma"/>
            <family val="2"/>
          </rPr>
          <t>Instrucción: _x000D_
EN LA COLUMNA “PORCENTAJE DE PARTICIPACION EN EL CAPITAL DE LA ENTIDAD” SE ANOTARA EL PORCENTAJE DE PARTICIPACION PROMEDIO DURANTE EL EJERCICIO FISCAL DE 2017, QUE REPRESENTEN LAS ACCIONES, PARTES SOCIALES O SUS EQUIVALENTES PROPIEDAD DEL CONTRIBUYENTE CON RESPECTO AL TOTAL DE ACCIONES, PARTES SOCIALES O EQUIVALENTES QUE HAYA EMITIDO LA ENTIDAD SUBSIDIARIA, ASOCIADA O AFILIADA EN EL EXTRANJERO.</t>
        </r>
      </text>
    </comment>
    <comment ref="F2" authorId="0" shapeId="0">
      <text>
        <r>
          <rPr>
            <b/>
            <sz val="9"/>
            <color indexed="60"/>
            <rFont val="Tahoma"/>
            <family val="2"/>
          </rPr>
          <t>Instrucción: _x000D_
EN LA COLUMNA “MONTO DE LA INVERSION” SE ANOTARA EL MONTO DE LAS APORTACIONES AL CAPITAL SOCIAL O SU EQUIVALENTE EN LA ENTIDAD SUBSIDIARIA, ASOCIADA O AFILIADA EN EL EXTRANJERO. O BIEN, EL VALOR TOTAL NETO DE ADQUISICION DE LAS ACCIONES O PARTES SOCIALES, INCLUYENDO, EN SU CASO, EL MONTO CORRESPONDIENTE AL CREDITO MERCANTIL O COMERCIAL; ESTE ULTIMO DATO SE PODRA ANOTAR EN UN RENGLON POR SEPARADO, ASENTANDO EL MONTO EN ESTA MISMA COLUMNA.</t>
        </r>
      </text>
    </comment>
    <comment ref="G2" authorId="0" shapeId="0">
      <text>
        <r>
          <rPr>
            <b/>
            <sz val="9"/>
            <color indexed="60"/>
            <rFont val="Tahoma"/>
            <family val="2"/>
          </rPr>
          <t>Instrucción: _x000D_
EN LA COLUMNA “MONTO DE LAS UTILIDADES (PERDIDAS) DE EJERCICIOS ANTERIORES EN EL PORCENTAJE DE PARTICIPACION” SE ANOTARAN LAS UTILIDADES O PERDIDAS CONTABLES DE EJERCICIOS FISCALES ANTERIORES QUE SE HAYAN GENERADO EN LA ENTIDAD SUBSIDIARIA, ASOCIADA O AFILIADA EN EL EXTRANJERO, DESDE EL EJERCICIO FISCAL EN EL QUE EL CONTRIBUYENTE ES SOCIO O ACCIONISTA Y HASTA EL EJERCICIO FISCAL INMEDIATO ANTERIOR DEL CONTRIBUYENTE, ESTAS UTILIDADES O PERDIDAS CONTABLES DE EJERCICIOS FISCALES ANTERIORES, SE DEBERAN MULTIPLICAR POR EL PORCENTAJE DE PARTICIPACION QUE EN EL CAPITAL SOCIAL TENGA EL CONTRIBUYENTE EN LA ENTIDAD RESIDENTE EN EL EXTRANJERO, AL CIERRE DEL EJERCICIO FISCAL DEL CONTRIBUYENTE QUE SE DICTAMINA.</t>
        </r>
      </text>
    </comment>
    <comment ref="H2" authorId="0" shapeId="0">
      <text>
        <r>
          <rPr>
            <b/>
            <sz val="9"/>
            <color indexed="60"/>
            <rFont val="Tahoma"/>
            <family val="2"/>
          </rPr>
          <t>Instrucción: _x000D_
EN LA COLUMNA “MONTO DE LA UTILIDAD (PERDIDA) DEL EJERCICIO EN EL PORCENTAJE DE PARTICIPACION” SE DEBERA SEÑALAR LA UTILIDAD O PERDIDA CONTABLE CORRESPONDIENTE AL EJERCICIO FISCAL DEL CONTRIBUYENTE MULTIPLICADA POR EL PORCENTAJE DE PARTICIPACION QUE EN EL CAPITAL SOCIAL TENGA EL CONTRIBUYENTE QUE SE DICTAMINA, EN LA ENTIDAD RESIDENTE EN EL EXTRANJERO AL CIERRE DEL MISMO EJERCICIO FISCAL.</t>
        </r>
      </text>
    </comment>
    <comment ref="I2" authorId="0" shapeId="0">
      <text>
        <r>
          <rPr>
            <b/>
            <sz val="9"/>
            <color indexed="60"/>
            <rFont val="Tahoma"/>
            <family val="2"/>
          </rPr>
          <t>Instrucción: _x000D_
EN LA COLUMNA “VALOR DE LA INVERSION” SE ANOTARA LA SUMA DE LAS CANTIDADES ASENTADAS POR RENGLON DE LAS COLUMNAS: “MONTO DE LA INVERSION”, “MONTO DE LAS UTILIDADES (PERDIDAS) DE EJERCICIOS ANTERIORES EN EL PORCENTAJE DE PARTICIPACION” Y “MONTO DE LA UTILIDAD (PERDIDA) DEL EJERCICIO EN EL PORCENTAJE DE PARTICIPACION”, EN NINGUN CASO PROCEDERA ANOTAR VALORES NEGATIVOS EN ESTA COLUMNA, POR LO QUE, SI ARITMETICAMENTE SE DIERA EL CASO, SE ANOTARA “0”.</t>
        </r>
      </text>
    </comment>
  </commentList>
</comments>
</file>

<file path=xl/comments22.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APARTADO LOS DATOS SE PROPORCIONARAN AGRUPADOS POR CADA PARTE RELACIONADA, GLOBALIZANDO LAS OPERACIONES POR TIPO DE OPERACION DURANTE EL EJERCICIO PARA EFECTOS DEL IMPUESTO SOBRE LA RENTA.
SE DEBERAN RELACIONAR TODAS LAS OPERACIONES QUE SE HAYAN REALIZADO EN EL EJERCICIO CONFORME AL CATALOGO DE TIPO DE OPERACION CONTENIDO EN EL APENDICE IV DE ESTE INSTRUCTIVO.</t>
        </r>
      </text>
    </comment>
    <comment ref="C2" authorId="0" shapeId="0">
      <text>
        <r>
          <rPr>
            <b/>
            <sz val="9"/>
            <color indexed="60"/>
            <rFont val="Tahoma"/>
            <family val="2"/>
          </rPr>
          <t>Instrucción: _x000D_
EN LA COLUMNA “NÚMERO DE IDENTIFICACION FISCAL O RFC”, SE ANOTARA EL NÚMERO O CLAVE DE IDENTIFICACION FISCAL QUE UTILIZA LA PARTE RELACIONADA EN SU PAIS DE RESIDENCIA, EN CASO DE QUE EN EL PAIS DE RESIDENCIA DE LA PARTE RELACIONADA NO SE UTILICE DICHA CLAVE, SE ANOTARA N/A.
CUANDO LA PARTE RELACIONADA SEA UN RESIDENTE EN TERRITORIO NACIONAL, SE ANOTARA EL REGISTRO FEDERAL DE CONTRIBUYENTES.</t>
        </r>
      </text>
    </comment>
    <comment ref="G2" authorId="0" shapeId="0">
      <text>
        <r>
          <rPr>
            <b/>
            <sz val="9"/>
            <color indexed="60"/>
            <rFont val="Tahoma"/>
            <family val="2"/>
          </rPr>
          <t>Instrucción: _x000D_
EN LA COLUMNA “VALOR DE LA OPERACIÓN Y/O INVERSION PARA EFECTOS FISCALES (INCLUSO CON VALOR CERO)” CONTENDRA LOS IMPORTES DE LAS OPERACIONES REALIZADAS QUE DIERON ORIGEN A INGRESOS ACUMULABLES Y DEDUCCIONES AUTORIZADAS PARA EFECTOS DEL IMPUESTO SOBRE LA RENTA.</t>
        </r>
      </text>
    </comment>
    <comment ref="I2" authorId="0" shapeId="0">
      <text>
        <r>
          <rPr>
            <b/>
            <sz val="9"/>
            <color indexed="60"/>
            <rFont val="Tahoma"/>
            <family val="2"/>
          </rPr>
          <t>Instrucción: _x000D_
CUANDO EN LA COLUMNA “LA OPERACION ESTA PACTADA COMO CON PARTES INDEPENDIENTES EN OPERACIONES COMPARABLES”, SE ANOTE “SI”, ES PORQUE SE CUENTA CON LA INFORMACION QUE DEMUESTRA QUE LAS OPERACIONES ESTAN PACTADAS COMO LO HARIAN PARTES INDEPENDIENTES EN OPERACIONES COMPARABLES.</t>
        </r>
      </text>
    </comment>
    <comment ref="J2" authorId="0" shapeId="0">
      <text>
        <r>
          <rPr>
            <b/>
            <sz val="9"/>
            <color indexed="60"/>
            <rFont val="Tahoma"/>
            <family val="2"/>
          </rPr>
          <t>Instrucción: _x000D_
EN LA COLUMNA “AJUSTE FISCAL PARA QUE LA OPERACION SE CONSIDERE PACTADA COMO CON PARTES INDEPENDIENTES EN OPERACIONES COMPARABLES”, SE DEBERA PRESENTAR EL AJUSTE DE PRECIOS DE TRANSFERENCIA QUE DE MANERA CONTABLE Y/O FISCAL, HAYAN REALIZADO LOS CONTRIBUYENTES PARA QUE LA OPERACION CON PARTES RELACIONADAS QUE SE ESTA MANIFESTANDO HAYA QUEDADO DETERMINADA COMO LO HUBIERAN HECHO CON PARTES INDEPENDIENTES EN OPERACIONES COMPARABLES. EN CASO DE NO EXISTIR AJUSTE SE DEJARA EN BLANCO EL RENGLON DE ESTA COLUMNA.</t>
        </r>
      </text>
    </comment>
    <comment ref="B16"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List>
</comments>
</file>

<file path=xl/comments23.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CUALQUIER EXPLICACION SOLICITADA EN ESTE APARTADO, CUYO ESPACIO ASIGNADO RESULTE INSUFICIENTE, DEBERA HACERSE A TRAVES DEL APARTADO DENOMINADO “INFORMACION ADICIONAL”.
SI A CRITERIO DE LA PERSONA QUE RESPONDA EL CUESTIONARIO NO HAY UNA RESPUESTA POSIBLE PARA UNA PREGUNTA EN UN RENGLON DETERMINADO, SE PODRA DEJAR EN BLANCO EL RENGLON QUE CORRESPONDA.
EN ESTE CASO, SE DEBERAN HACER ACLARACIONES DEL PORQUE SE QUEDO EN BLANCO LA RESPUESTA A UNA PREGUNTA DETERMINADA, ESTO SE PODRA HACER EN EL APARTADO DENOMINADO INFORMACION ADICIONAL, YA QUE DE NO HACERLO EL SERVICIO DE ADMINISTRACION TRIBUTARIA ENTENDERA QUE EL CONTRIBUYENTE TENIA LA OBLIGACION CUESTIONADA Y NO LE DIO CUMPLIMIENTO.
EN GENERAL UNA RESPUESTA NO APLICABLE (N/A) SIGNIFICA QUE EL CONTRIBUYENTE NO SE ENCUENTRA ANTE EL SUPUESTO ESTABLECIDO PARA LA PREGUNTA.
SI UN CONTRIBUYENTE TIENE MAS DE UNA ACTIVIDAD PREPONDERANTE SE PUEDEN PRESENTAR SIN LIMITACION LA(S) OTRA(S) ACTIVIDADES DEL CONTRIBUYENTE.</t>
        </r>
      </text>
    </comment>
    <comment ref="A44" authorId="0" shapeId="0">
      <text>
        <r>
          <rPr>
            <b/>
            <sz val="9"/>
            <color indexed="60"/>
            <rFont val="Tahoma"/>
            <family val="2"/>
          </rPr>
          <t>Instrucción: _x000D_
EN EL RENGLON VALOR DEL ACTIVO INTANGIBLE QUE TIENE REGISTRADO EN SU CONTABILIDAD, SE ASENTARA EL SALDO FINAL REFLEJADO EN LOS ESTADOS FINANCIEROS DEL CONTRIBUYENTE. EN CASO DE HABER DADO DE BAJA O ENAJENADO DURANTE EL EJERCICIO ALGUN ACTIVO INTANGIBLE DEBERA REFLEJAR EL VALOR DEL MISMO EN LOS ESTADOS FINANCIEROS A LA FECHA DE LA BAJA O ENAJENACION.</t>
        </r>
      </text>
    </comment>
    <comment ref="A61" authorId="0" shapeId="0">
      <text>
        <r>
          <rPr>
            <b/>
            <sz val="9"/>
            <color indexed="60"/>
            <rFont val="Tahoma"/>
            <family val="2"/>
          </rPr>
          <t>Instrucción: _x000D_
EL RENGLON “EL CONTRIBUYENTE CUENTA CON EVIDENCIA DOCUMENTAL QUE DEMUESTRE HABER DADO CUMPLIMIENTO A LO DISPUESTO POR LA FRACCION XII DEL ARTÍCULO 76 DE LA LISR POR SUS OPERACIONES CON PARTES RELACIONADAS”, TANTO PARA RESIDENTES EN TERRITORIO NACIONAL, COMO RESIDENTES EN EL EXTRANJERO, SE REFIERE A QUE LOS CONTRIBUYENTES QUE CELEBRARON OPERACIONES CON PARTES RELACIONADAS DEBERAN CONTAR CON EL SOPORTE QUE ACREDITE QUE SE DETERMINARON SUS INGRESOS ACUMULABLES Y DEDUCCIONES AUTORIZADAS, CONSIDERANDO PARA ESAS OPERACIONES LOS PRECIOS Y MONTOS DE CONTRAPRESTACIONES QUE HUBIERAN UTILIZADO CON O ENTRE PARTES INDEPENDIENTES EN OPERACIONES COMPARABLES, APLICANDO PARA ESTE EFECTO LOS METODOS ESTABLECIDOS EN EL ARTÍCULO 180 DE LA LISR, EN EL ORDEN ESTABLECIDO EN EL CITADO ARTÍCULO.</t>
        </r>
      </text>
    </comment>
    <comment ref="C225" authorId="1" shapeId="0">
      <text>
        <r>
          <rPr>
            <b/>
            <sz val="9"/>
            <color indexed="81"/>
            <rFont val="Tahoma"/>
            <family val="2"/>
          </rPr>
          <t>Es réplica de:
Anexo: ANEXO 2
Índice: 01020000000000
Columna: C</t>
        </r>
      </text>
    </comment>
  </commentList>
</comments>
</file>

<file path=xl/comments24.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DEUDOR O ACREEDOR, GLOBALIZANDO LAS OPERACIONES POR CONCEPTO DE SALDOS EN MONEDA EXTRANJERA.</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t>
        </r>
      </text>
    </comment>
    <comment ref="G2" authorId="0" shapeId="0">
      <text>
        <r>
          <rPr>
            <b/>
            <sz val="9"/>
            <color indexed="60"/>
            <rFont val="Tahoma"/>
            <family val="2"/>
          </rPr>
          <t>Instrucción: _x000D_
EN LA COLUMNA “SALDO EN MONEDA NACIONAL” SE ANOTARA LA CONVERSION A MONEDA NACIONAL DEL SALDO EN MONEDA EXTRANJERA, DEUDOR O ACREEDOR DE QUE SE TRATE, CUYO MONTO FORMA PARTE INTEGRANTE DE LOS SALDOS REFLEJADOS EN EL ESTADO DE POSICION FINANCIERA.</t>
        </r>
      </text>
    </comment>
    <comment ref="H2" authorId="0" shapeId="0">
      <text>
        <r>
          <rPr>
            <b/>
            <sz val="9"/>
            <color indexed="60"/>
            <rFont val="Tahoma"/>
            <family val="2"/>
          </rPr>
          <t>Instrucción: _x000D_
EN LA COLUMNA “CONCEPTO MAS IMPORTANTE QUE ORIGINO EL SALDO”, SE ANOTARA LA CLAVE Y CONCEPTO QUE ORIGINO LA CUENTA, DE CONFORMIDAD CON EL CATALOGO CONTENIDO EN EL APENDICE IX DE ESTE INSTRUCTIVO.</t>
        </r>
      </text>
    </comment>
  </commentList>
</comments>
</file>

<file path=xl/comments2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FINANCIAMIENTO, O BIEN, POR COLOCACIONES EN EL EXTRANJERO.</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
CUANDO SE ANOTE “SI” EN LA COLUMNA “EFECTUO COLOCACIONES EN EL EXTRANJERO”, EN ESTA COLUMNA SE SE ANOTARA “VARIOS”</t>
        </r>
      </text>
    </comment>
    <comment ref="D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E2" authorId="0" shapeId="0">
      <text>
        <r>
          <rPr>
            <b/>
            <sz val="9"/>
            <color indexed="60"/>
            <rFont val="Tahoma"/>
            <family val="2"/>
          </rPr>
          <t>Instrucción: _x000D_
EN LA COLUMNA “TIPO DE FINANCIAMIENTO”, SE SELECCIONARA EL DATO DE LA CLAVE Y EL CONCEPTO DEL TIPO DE FINANCIAMIENTO, DE CONFORMIDAD CON EL CATALOGO CONTENIDO EN EL APENDICE X DE ESTE INSTRUCTIVO.
CUANDO SE ANOTE “SI” EN LA COLUMNA “EFECTUO COLOCACIONES EN EL EXTRANJERO”  SE ANOTARA “COLOCACIONES”.</t>
        </r>
      </text>
    </comment>
    <comment ref="G2" authorId="0" shapeId="0">
      <text>
        <r>
          <rPr>
            <b/>
            <sz val="9"/>
            <color indexed="60"/>
            <rFont val="Tahoma"/>
            <family val="2"/>
          </rPr>
          <t>Instrucción: _x000D_
PARA EL DATO DE LA COLUMNA “FUE BENEFICIARIO EFECTIVO DE LOS INTERESES”, SE TOMARA EN CUENTA LO DISPUESTO POR EL ARTICULO 166 DE LA LEY DEL IMPUESTO SOBRE LA RENTA, LOS TRATADOS PARA EVITAR DOBLE TRIBUTACION CELEBRADOS POR MEXICO, ASI COMO POR LOS COMENTARIOS DEL MODELO DE CONVENIO PARA EVITAR LA DOBLE IMPOSICION E IMPEDIR LA EVASION FISCAL A QUE HACE REFERENCIA LA RECOMENDACIÓN ADOPTADA POR EL CONSEJO DE LA ORGANIZACIÓN PARA LA COOPERACION Y EL DESARROLLO ECONOMICO, EL 21 DE SEPTIEMBRE DE 1995, O AQUELLA QUE LA SUSTITUYA, EN LA MEDIDA EN QUE TALES COMENTARIOS SEAN CONGRUENTES CON LAS DISPOSICIONES DE LOS TRATADOS INTERNACIONALES CELEBRADOS POR MEXICO.
CUANDO SE ANOTE “SI” EN LA COLUMNA “EFECTUO COLOCACIONES EN EL EXTRANJERO” SE ANOTARA “N/A”.</t>
        </r>
      </text>
    </comment>
    <comment ref="H2" authorId="0" shapeId="0">
      <text>
        <r>
          <rPr>
            <b/>
            <sz val="9"/>
            <color indexed="60"/>
            <rFont val="Tahoma"/>
            <family val="2"/>
          </rPr>
          <t>Instrucción: _x000D_
EN LA COLUMNA “NUMERO DE REGISTRO DEL ACREEDOR RESIDENTE EN EL EXTRANJERO ANTE EL SAT VIGENTE DURANTE EL EJERCICIO DICTAMINADO”, SE DEBERA ANOTAR EL NUMERO DE REGISTRO DE BANCOS, ENTIDADES DE FINANCIAMIENTO, FONDOS DE PENSIONES Y JUBILACIONES Y FONDOS DE INVERSION DEL EXTRANJERO PARA LOS EFECTOS DE LOS ARTICULOS 153, 166 DE LA LEY DEL IMPUESTO SOBRE LA RENTA, CUANDO NO RESULTE APLICABLE ESTE DATO SE ANOTARA N/A.
CUANDO SE ANOTE “SI” EN LA COLUMNA “EFECTUO COLOCACIONES EN EL EXTRANJERO” SE ANOTARA “N/A”.</t>
        </r>
      </text>
    </comment>
    <comment ref="I2" authorId="0" shapeId="0">
      <text>
        <r>
          <rPr>
            <b/>
            <sz val="9"/>
            <color indexed="60"/>
            <rFont val="Tahoma"/>
            <family val="2"/>
          </rPr>
          <t>Instrucción: _x000D_
EN LA COLUMNA “PAIS DE RESIDENCIA PARA EFECTOS FISCALES”, SE SELECCIONARA EL DATO DE LA CLAVE Y NOMBRE DEL PAIS DE RESIDENCIA, DE CONFORMIDAD CON EL CATALOGO CONTENIDO EN EL APENDICE VI DE ESTE INSTRUCTIVO. EN CASO DE HABER ANOTADO “SI” EN LA COLUMNA “FUE BENEFICIARIO EFECTIVO DE LOS INTERESES”, SE ANOTARA LA CLAVE DEL PAIS QUE FUE BENEFICIARIO EFECTIVO DE LOS INTERESES.
CUANDO SE ANOTE “SI” EN LA COLUMNA “EFECTUO COLOCACIONES EN EL EXTRANJERO”  SE ANOTARA EL PAIS EN EL QUE SE REALIZO LA COLOCACION, SI FUERON VARIOS PAISES SE ANOTARA AQUEL EN EL QUE SE COLOCO EL IMPORTE MAS REPRESENTATIVO EN CUANTO A MONTO.</t>
        </r>
      </text>
    </comment>
    <comment ref="J2" authorId="0" shapeId="0">
      <text>
        <r>
          <rPr>
            <b/>
            <sz val="9"/>
            <color indexed="60"/>
            <rFont val="Tahoma"/>
            <family val="2"/>
          </rPr>
          <t>Instrucción: _x000D_
EN LA COLUMNA “TIPO DE MONEDA”, SE SELECCIONARA LA MONEDA Y EL PAIS AL QUE CORRESPONDE DE CONFORMIDAD CON EL CATALOGO CONTENIDO EN EL APENDICE VII DE ESTE INSTRUCTIVO.
CUANDO SE ANOTE “SI” EN LA COLUMNA “EFECTUO COLOCACIONES EN EL EXTRANJERO” SE PONDRA LA CLAVE DE LA MONEDA Y EL PAIS EN EL QUE SE REALIZO LA COLOCACION, SI FUERON VARIOS PAISES SE ANOTARA LA DE AQUEL EN EL QUE SE COLOCO EL IMPORTE MAS REPRESENTATIVO EN CUANTO A MONTO.</t>
        </r>
      </text>
    </comment>
    <comment ref="K2" authorId="0" shapeId="0">
      <text>
        <r>
          <rPr>
            <b/>
            <sz val="9"/>
            <color indexed="60"/>
            <rFont val="Tahoma"/>
            <family val="2"/>
          </rPr>
          <t>Instrucción: _x000D_
EN LA COLUMNA “DENOMINACION DE LA TASA DE INTERES”, SE ANOTARA EL NOMBRE DE LA TASA DE INTERES DE REFERENCIA CON LA CUAL SE PACTO EL PRESTAMO. EJEMPLO: “LIBOR, PRIME RATE, ETC”.</t>
        </r>
      </text>
    </comment>
    <comment ref="L2" authorId="0" shapeId="0">
      <text>
        <r>
          <rPr>
            <b/>
            <sz val="9"/>
            <color indexed="60"/>
            <rFont val="Tahoma"/>
            <family val="2"/>
          </rPr>
          <t>Instrucción: _x000D_
EN LA COLUMNA “PORCENTAJE DE LA TASA DE INTERES”, SE ANOTARA LA TASA DE INTERES PACTADA EN TERMINOS NETOS Y EN PORCENTAJE, QUE FUE LA TASA DE INTERES BASE DEL CALCULO DE LOS INTERESES DEVENGADOS EN MONEDA EXTRANJERA.
POR EJEMPLO: SI SE PACTARA UNA TASA LIBOR DE UN 8% MAS 3%, SE EXPRESARA 11.00.</t>
        </r>
      </text>
    </comment>
    <comment ref="M2" authorId="0" shapeId="0">
      <text>
        <r>
          <rPr>
            <b/>
            <sz val="9"/>
            <color indexed="60"/>
            <rFont val="Tahoma"/>
            <family val="2"/>
          </rPr>
          <t xml:space="preserve">Instrucción: _x000D_
EN LA COLUMNA “IMPORTE TOTAL DE LOS INTERESES PAGADOS Y/O EXIGIBLES” SE ANOTARAN LOS INTERESES EN MONEDA NACIONAL QUE SE HAYAN PAGADO EN EFECTIVO, EN BIENES, EN SERVICIOS O EN CREDITO, O BIEN QUE HAYAN SIDO EXIGIBLES PARA SU PAGO.
 TAMBIEN SE INCLUIRA EN ESTA COLUMNA LOS IMPORTES QUE CORRESPONDAN AL PAGO DEL IMPUESTO SOBRE LA RENTA REALIZADO POR CUENTA DEL CONTRIBUYENTE RESIDENTE EN EL EXTRANJERO.
POR LO ANTERIOR, EL IMPORTE REFLEJADO EN ESTA COLUMNA SERA LA BASE DEL CALCULO DE LA RETENCION DEL IMPUESTO SOBRE LA RENTA.
</t>
        </r>
      </text>
    </comment>
    <comment ref="R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S2" authorId="0" shapeId="0">
      <text>
        <r>
          <rPr>
            <b/>
            <sz val="9"/>
            <color indexed="60"/>
            <rFont val="Tahoma"/>
            <family val="2"/>
          </rPr>
          <t>Instrucción: _x000D_
EN LA COLUMNA “FRECUENCIA DE EXIGIBILIDAD DEL PAGO DE INTERESES”, SE SELECCIONARA EL DATO DE LA CLAVE Y EL CONCEPTO DE LA FRECUENCIA DE EXIGIBILIDAD DEL PAGO DE INTERESES, DE CONFORMIDAD CON EL CATALOGO CONTENIDO EN EL APENDICE XI DE ESTE INSTRUCTIVO.</t>
        </r>
      </text>
    </comment>
  </commentList>
</comments>
</file>

<file path=xl/comments26.xml><?xml version="1.0" encoding="utf-8"?>
<comments xmlns="http://schemas.openxmlformats.org/spreadsheetml/2006/main">
  <authors>
    <author>Francisco Garcia</author>
  </authors>
  <commentList>
    <comment ref="B1" authorId="0" shapeId="0">
      <text>
        <r>
          <rPr>
            <b/>
            <sz val="9"/>
            <color indexed="60"/>
            <rFont val="Tahoma"/>
            <family val="2"/>
          </rPr>
          <t>Instrucción: _x000D_
LA INFORMACION DE ESTE ANEXO, SE PRESENTARA SOLO CUANDO EN EL EJERCICIO EXISTAN MOVIMIENTOS DISTINTOS DE SU ACTUALIZACIÓN O DE SU INCREMENTO POR LA PÉRDIDA O POR LA PARTICIPACIÓN DE LOS TRABAJADORES EN LAS UTILIDADES DE LAS EMPRESAS DEL PROPIO EJERCICIO, A QUE SE REFIEREN LOS ARTÍCULOS 57 Y 58 DE LA LEY DEL IMPUESTO SOBRE LA RENTA.</t>
        </r>
      </text>
    </comment>
    <comment ref="A9" authorId="0" shapeId="0">
      <text>
        <r>
          <rPr>
            <b/>
            <sz val="9"/>
            <color indexed="60"/>
            <rFont val="Tahoma"/>
            <family val="2"/>
          </rPr>
          <t>Instrucción: _x000D_
CUANDO EN EL CONCEPTO “LA PERDIDA APLICADA PROVIENE TOTAL O PARCIALMENTE DE UNA ESCISIÓN”, SE ANOTE “SI”, ES PORQUE LA PÉRDIDA FISCAL DE EJERCICIOS ANTERIORES APLICADA EN EL EJERCICIO DICTAMINADO PROVIENE DE UNA ESCISIÓN.</t>
        </r>
      </text>
    </comment>
    <comment ref="A10" authorId="0" shapeId="0">
      <text>
        <r>
          <rPr>
            <b/>
            <sz val="9"/>
            <color indexed="60"/>
            <rFont val="Tahoma"/>
            <family val="2"/>
          </rPr>
          <t>Instrucción: _x000D_
EN EL CONCEPTO “SEÑALE EL RFC DE LA ESCINDENTE”, SE ANOTARÁ EL RFC DE LA ENTIDAD QUE TRANSMITIÓ LA PÉRDIDA FISCAL APLICADA EN EL EJERCICIO DICTAMINADO PROVENIENTE DE LA ESCISIÓN.</t>
        </r>
      </text>
    </comment>
    <comment ref="A11" authorId="0" shapeId="0">
      <text>
        <r>
          <rPr>
            <b/>
            <sz val="9"/>
            <color indexed="60"/>
            <rFont val="Tahoma"/>
            <family val="2"/>
          </rPr>
          <t>Instrucción: _x000D_
EN EL CONCEPTO “SEÑALE EL MONTO APLICADO EN EL EJERCICIO, PROVENIENTE DE LA ESCISION”, SE ANOTARÁ EL MONTO HISTÓRICO DE LA PÉRDIDA FISCAL APLICADA SEGÚN EL EJERCICIO EN EL QUE FUERON ORIGINADAS.</t>
        </r>
      </text>
    </comment>
  </commentList>
</comments>
</file>

<file path=xl/sharedStrings.xml><?xml version="1.0" encoding="utf-8"?>
<sst xmlns="http://schemas.openxmlformats.org/spreadsheetml/2006/main" count="7501" uniqueCount="6024">
  <si>
    <t/>
  </si>
  <si>
    <t>DATO</t>
  </si>
  <si>
    <t>01A000000</t>
  </si>
  <si>
    <t>RFC:</t>
  </si>
  <si>
    <t>01A001000</t>
  </si>
  <si>
    <t>NOMBRE (APELLIDO PATERNO, APELLIDO MATERNO, NOMBRE(S)), DENOMINACION O RAZON SOCIAL:</t>
  </si>
  <si>
    <t>01A002000</t>
  </si>
  <si>
    <t>CURP:</t>
  </si>
  <si>
    <t>01A002010</t>
  </si>
  <si>
    <t>01A002011</t>
  </si>
  <si>
    <t>DOMICILIO FISCAL:</t>
  </si>
  <si>
    <t>01A003000</t>
  </si>
  <si>
    <t>ENTIDAD FEDERATIVA:</t>
  </si>
  <si>
    <t>01A004000</t>
  </si>
  <si>
    <t>DELEGACION O MUNICIPIO:</t>
  </si>
  <si>
    <t>01A005000</t>
  </si>
  <si>
    <t>COLONIA O LOCALIDAD:</t>
  </si>
  <si>
    <t>01A006000</t>
  </si>
  <si>
    <t>CODIGO POSTAL:</t>
  </si>
  <si>
    <t>01A007000</t>
  </si>
  <si>
    <t>CALLE, NUMERO EXTERIOR E INTERIOR:</t>
  </si>
  <si>
    <t>01A008000</t>
  </si>
  <si>
    <t>CIUDAD O POBLACION:</t>
  </si>
  <si>
    <t>01A009000</t>
  </si>
  <si>
    <t>TELEFONO:</t>
  </si>
  <si>
    <t>01A010000</t>
  </si>
  <si>
    <t>CORREO ELECTRONICO:</t>
  </si>
  <si>
    <t>01A010010</t>
  </si>
  <si>
    <t>01A011000</t>
  </si>
  <si>
    <t>NOMBRE DEL GRUPO ECONOMICO AL QUE PERTENECE:</t>
  </si>
  <si>
    <t>01A012000</t>
  </si>
  <si>
    <t>CLAVE DE ACTIVIDAD PARA EFECTOS FISCALES:</t>
  </si>
  <si>
    <t>01A012010</t>
  </si>
  <si>
    <t>01A012011</t>
  </si>
  <si>
    <t>DECLARATORIA DEL CONTRIBUYENTE:</t>
  </si>
  <si>
    <t>01A012012</t>
  </si>
  <si>
    <t>01A012013</t>
  </si>
  <si>
    <t>DECLARO QUE LA INFORMACION PROPORCIONADA EN ESTE DOCUMENTO, REFLEJA LAS OPERACIONES REALES QUE LLEVE A CABO DURANTE EL EJERCICIO, MISMAS QUE ESTAN REGISTRADAS CONTABLEMENTE Y SE ENCUENTRAN AMPARADAS CON DOCUMENTACION COMPROBATORIA.</t>
  </si>
  <si>
    <t>01A012014</t>
  </si>
  <si>
    <t>01A013000</t>
  </si>
  <si>
    <t>NOMBRE DEL CONTRIBUYENTE:</t>
  </si>
  <si>
    <t>01B000000</t>
  </si>
  <si>
    <t>01B001000</t>
  </si>
  <si>
    <t>NOMBRE (APELLIDO PATERNO, APELLIDO MATERNO, NOMBRE(S))</t>
  </si>
  <si>
    <t>01B002000</t>
  </si>
  <si>
    <t>01B003000</t>
  </si>
  <si>
    <t>NUMERO DE REGISTRO:</t>
  </si>
  <si>
    <t>01B003010</t>
  </si>
  <si>
    <t>01B003011</t>
  </si>
  <si>
    <t>01B004000</t>
  </si>
  <si>
    <t>01B005000</t>
  </si>
  <si>
    <t>01B006000</t>
  </si>
  <si>
    <t>01B007000</t>
  </si>
  <si>
    <t>01B008000</t>
  </si>
  <si>
    <t>01B009000</t>
  </si>
  <si>
    <t>01B010000</t>
  </si>
  <si>
    <t>TELEFONO DEL CPI O DESPACHO:</t>
  </si>
  <si>
    <t>01B011000</t>
  </si>
  <si>
    <t>01B012000</t>
  </si>
  <si>
    <t>CORREO ELECTRONICO DEL BUZON TRIBUTARIO:</t>
  </si>
  <si>
    <t>01B013000</t>
  </si>
  <si>
    <t>COLEGIO AL QUE PERTENECE:</t>
  </si>
  <si>
    <t>01B013010</t>
  </si>
  <si>
    <t>01B014000</t>
  </si>
  <si>
    <t>NOMBRE DEL DESPACHO:</t>
  </si>
  <si>
    <t>01B015000</t>
  </si>
  <si>
    <t>RFC DEL DESPACHO:</t>
  </si>
  <si>
    <t>01B016000</t>
  </si>
  <si>
    <t>NUMERO DE REGISTRO DEL DESPACHO:</t>
  </si>
  <si>
    <t>01B016010</t>
  </si>
  <si>
    <t>01B016011</t>
  </si>
  <si>
    <t>DECLARATORIA DEL CONTADOR PUBLICO QUE DICTAMINO:</t>
  </si>
  <si>
    <t>01B016012</t>
  </si>
  <si>
    <t>01B016013</t>
  </si>
  <si>
    <t>DECLARO QUE LA INFORMACION QUE PROPORCIONA EL CONTRIBUYENTE CITADO, CONSTA EN LIBROS, REGISTROS, DOCUMENTOS Y DECLARACIONES EN PODER DEL PROPIO CONTRIBUYENTE, MISMOS QUE EXAMINE, COMO LO MANIFIESTO EN EL INFORME DEL AUDITOR INDEPENDIENTE Y EN EL INFORME SOBRE LA REVISION DE LA SITUACION FISCAL DEL CONTRIBUYENTE QUE ADJUNTO.</t>
  </si>
  <si>
    <t>01B016014</t>
  </si>
  <si>
    <t>01B017000</t>
  </si>
  <si>
    <t>NOMBRE DEL CONTADOR PUBLICO QUE DICTAMINO:</t>
  </si>
  <si>
    <t>01C000000</t>
  </si>
  <si>
    <t>01C001000</t>
  </si>
  <si>
    <t>01C002000</t>
  </si>
  <si>
    <t>NACIONAL:</t>
  </si>
  <si>
    <t>01C003000</t>
  </si>
  <si>
    <t>EXTRANJERO:</t>
  </si>
  <si>
    <t>01C004000</t>
  </si>
  <si>
    <t>01C004010</t>
  </si>
  <si>
    <t>01C004011</t>
  </si>
  <si>
    <t>01C005000</t>
  </si>
  <si>
    <t>01C006000</t>
  </si>
  <si>
    <t>01C007000</t>
  </si>
  <si>
    <t>01C008000</t>
  </si>
  <si>
    <t>01C009000</t>
  </si>
  <si>
    <t>01C010000</t>
  </si>
  <si>
    <t>01C011000</t>
  </si>
  <si>
    <t>01C012000</t>
  </si>
  <si>
    <t>01C012010</t>
  </si>
  <si>
    <t>01C013000</t>
  </si>
  <si>
    <t>NUMERO DE ESCRITURA:</t>
  </si>
  <si>
    <t>01C014000</t>
  </si>
  <si>
    <t>NUMERO DE NOTARIA</t>
  </si>
  <si>
    <t>01C015000</t>
  </si>
  <si>
    <t>ENTIDAD EN LA QUE SE UBICA LA NOTARIA:</t>
  </si>
  <si>
    <t>01C016000</t>
  </si>
  <si>
    <t>FECHA DEL PODER:</t>
  </si>
  <si>
    <t>01C017000</t>
  </si>
  <si>
    <t>FECHA DE DESIGNACION:</t>
  </si>
  <si>
    <t>01C017010</t>
  </si>
  <si>
    <t>01C017011</t>
  </si>
  <si>
    <t>DECLARATORIA DEL REPRESENTANTE LEGAL:</t>
  </si>
  <si>
    <t>01C017012</t>
  </si>
  <si>
    <t>01C017013</t>
  </si>
  <si>
    <t>DECLARO QUE LA INFORMACION PROPORCIONADA EN ESTE DOCUMENTO, REFLEJA LAS OPERACIONES REALES QUE LLEVO A CABO MI REPRESENTADA DURANTE EL EJERCICIO, MISMAS QUE ESTAN REGISTRADAS CONTABLEMENTE Y SE ENCUENTRAN AMPARADAS CON DOCUMENTACION COMPROBATORIA.</t>
  </si>
  <si>
    <t>01C017014</t>
  </si>
  <si>
    <t>01C018000</t>
  </si>
  <si>
    <t>NOMBRE DEL REPRESENTANTE LEGAL:</t>
  </si>
  <si>
    <t>ESTADOS FINANCIEROS GENERAL</t>
  </si>
  <si>
    <t>01D000000</t>
  </si>
  <si>
    <t>AUTORIDAD COMPETENTE</t>
  </si>
  <si>
    <t>01D001000</t>
  </si>
  <si>
    <t>SEDE A LA QUE PERTENECE LA ADAF</t>
  </si>
  <si>
    <t>01D002000</t>
  </si>
  <si>
    <t>ADMINISTRACION</t>
  </si>
  <si>
    <t>01D003000</t>
  </si>
  <si>
    <t>01D004000</t>
  </si>
  <si>
    <t>01D005000</t>
  </si>
  <si>
    <t>01D006000</t>
  </si>
  <si>
    <t>EN CASO NEGATIVO EN TODAS LAS PREGUNTAS DE LOS INDICES 01D003000, 01D004000 Y 01D005000 ANTERIORES, MENCIONE EL MOTIVO POR EL QUE PRESENTA EL DICTAMEN</t>
  </si>
  <si>
    <t>01D007000</t>
  </si>
  <si>
    <t>FORMA PARTE DE UNA ASOCIACION EN PARTICIPACION</t>
  </si>
  <si>
    <t>01D008000</t>
  </si>
  <si>
    <t>01D009000</t>
  </si>
  <si>
    <t>PRIMER DICTAMEN</t>
  </si>
  <si>
    <t>01D010000</t>
  </si>
  <si>
    <t>REALIZO OBRAS DE CONSTRUCCION</t>
  </si>
  <si>
    <t>01D011000</t>
  </si>
  <si>
    <t>INDUSTRIA MAQUILADORA</t>
  </si>
  <si>
    <t>01D012000</t>
  </si>
  <si>
    <t>TIPO DE CONTRIBUYENTE ESPECIAL</t>
  </si>
  <si>
    <t>01D013000</t>
  </si>
  <si>
    <t>EMPRESA FILIAL</t>
  </si>
  <si>
    <t>01D014000</t>
  </si>
  <si>
    <t>EMPRESA SUBSIDIARIA</t>
  </si>
  <si>
    <t>01D015000</t>
  </si>
  <si>
    <t>SOCIEDAD COOPERATIVA</t>
  </si>
  <si>
    <t>01D016000</t>
  </si>
  <si>
    <t>INICIO DE OPERACIONES</t>
  </si>
  <si>
    <t>01D017000</t>
  </si>
  <si>
    <t>FECHA DE INICIO DEL EJERCICIO FISCAL</t>
  </si>
  <si>
    <t>01D018000</t>
  </si>
  <si>
    <t>FECHA DE TERMINACION DEL EJERCICIO FISCAL</t>
  </si>
  <si>
    <t>01D019000</t>
  </si>
  <si>
    <t>FECHA DE INICIO DEL EJERCICIO FISCAL ANTERIOR</t>
  </si>
  <si>
    <t>01D020000</t>
  </si>
  <si>
    <t>FECHA DE TERMINACION DEL EJERCICIO FISCAL ANTERIOR</t>
  </si>
  <si>
    <t>01D021000</t>
  </si>
  <si>
    <t>SELECCIONE EL SISTEMA DE COSTEO QUE UTILIZA PARA EFECTOS FISCALES:</t>
  </si>
  <si>
    <t>EN CASO DE HABER SELECCIONADO ALGUN SISTEMA DE COSTEO, ESTARA A LO SIGUIENTE:</t>
  </si>
  <si>
    <t>01D022000</t>
  </si>
  <si>
    <t>COSTO DE VENTAS: UTILIZA EL SISTEMA DE COSTEO ABSORBENTE PARA EFECTOS FISCALES Y EL METODO DE VALUACION DE COSTO DE ADQUISICION PARA EFECTOS CONTABLES (COSTOS HISTORICOS) (EN CASO AFIRMATIVO DEBE LLENAR DEL INDICE 01060000000000 AL 01060029000000 DEL ANEXO 6)</t>
  </si>
  <si>
    <t>01D023000</t>
  </si>
  <si>
    <t>COSTO DE VENTAS: UTILIZA EL SISTEMA DE COSTEO ABSORBENTE PARA EFECTOS FISCALES (COSTOS PREDETERMINADOS ESTIMADOS) (EN CASO AFIRMATIVO DEBE LLENAR DEL INDICE 01060000000000 AL 01060029000000 DEL ANEXO 6)</t>
  </si>
  <si>
    <t>01D024000</t>
  </si>
  <si>
    <t>COSTO DE VENTAS: UTILIZA EL SISTEMA DE COSTEO ABSORBENTE PARA EFECTOS FISCALES Y EL METODO DE VALUACION DE COSTO ESTANDAR PARA EFECTOS CONTABLES (EN CASO AFIRMATIVO DEBE LLENAR DEL INDICE 01060000000000 AL 01060029000000 DEL ANEXO 6)</t>
  </si>
  <si>
    <t>01D025000</t>
  </si>
  <si>
    <t>COSTO DE VENTAS: UTILIZA UN SISTEMA DISTINTO A LOS ANTERIORES (EN CASO AFIRMATIVO DEBE LLENAR DEL INDICE 01060030000000 AL 01060039000000 DEL ANEXO 6)</t>
  </si>
  <si>
    <t>01D026000</t>
  </si>
  <si>
    <t>TIPO DE OPINION</t>
  </si>
  <si>
    <t>01D027000</t>
  </si>
  <si>
    <t>ESTADO DE FLUJOS DE EFECTIVO. UTILIZO EL METODO INDIRECTO (EN CASO AFIRMATIVO DEBE LLENAR DEL INDICE 01040000000000 AL 01040050000000 DEL ANEXO 4)</t>
  </si>
  <si>
    <t>01D028000</t>
  </si>
  <si>
    <t>ESTADO DE FLUJOS DE EFECTIVO. UTILIZO EL METODO DIRECTO (EN CASO AFIRMATIVO DEBE LLENAR DEL INDICE 01040051000000 AL 01040089000000 DEL ANEXO 4)</t>
  </si>
  <si>
    <t>INDIQUE EL RFC DE LA(S) PERSONA(S) FISICA(S) O MORAL(ES) QUE ASESORO(ARON) FISCALMENTE AL CONTRIBUYENTE, MEDIANTE UNA OPINIÓN POR ESCRITO:</t>
  </si>
  <si>
    <t>01D029000</t>
  </si>
  <si>
    <t>RFC 1</t>
  </si>
  <si>
    <t>01D030000</t>
  </si>
  <si>
    <t>RFC 2</t>
  </si>
  <si>
    <t>01D031000</t>
  </si>
  <si>
    <t>RFC 3</t>
  </si>
  <si>
    <t>01D032000</t>
  </si>
  <si>
    <t>RFC 4</t>
  </si>
  <si>
    <t>01D033000</t>
  </si>
  <si>
    <t>RFC 5</t>
  </si>
  <si>
    <t>EFECTOS FISCALES</t>
  </si>
  <si>
    <t>01D034000</t>
  </si>
  <si>
    <t>01D035000</t>
  </si>
  <si>
    <t>01D036000</t>
  </si>
  <si>
    <t>01D037000</t>
  </si>
  <si>
    <t>01D038000</t>
  </si>
  <si>
    <t>01D039000</t>
  </si>
  <si>
    <t>APLICO LA OPCION A QUE SE REFIERE EL ARTICULO SEGUNDO, FRACCION IX, DE LAS DISPOSICIONES TRANSITORIAS DE LA LISR, PUBLICADAS EL 18 DE NOVIEMBRE DE 2015, EN VIGOR A PARTIR DEL 1 DE ENERO DE 2016</t>
  </si>
  <si>
    <t>OTROS ASPECTOS</t>
  </si>
  <si>
    <t>01D040000</t>
  </si>
  <si>
    <t>EL CONTRIBUYENTE APLICO CRITERIOS CONTRARIOS A LOS PUBLICADOS EN EL D.O.F. COMO CRITERIOS NO VINCULATIVOS DE LAS DISPOSICIONES FISCALES Y ADUANERAS</t>
  </si>
  <si>
    <t>01D041000</t>
  </si>
  <si>
    <t>ESPECIFIQUE EL O LOS NUMERO(S) DE CRITERIO(S)</t>
  </si>
  <si>
    <t>01D042000</t>
  </si>
  <si>
    <t>EN CASO AFIRMATIVO INDIQUE LO SIGUIENTE:</t>
  </si>
  <si>
    <t>01D043000</t>
  </si>
  <si>
    <t>SE TRATA DE:</t>
  </si>
  <si>
    <t>01D044000</t>
  </si>
  <si>
    <t>SE CUMPLIERON LOS REQUISITOS ESTABLECIDOS EN LA RESOLUCION (AUTORIZACION O CONSULTA)</t>
  </si>
  <si>
    <t>01D045000</t>
  </si>
  <si>
    <t>NÚMERO DE OFICIO 1</t>
  </si>
  <si>
    <t>01D046000</t>
  </si>
  <si>
    <t>FECHA DEL OFICIO 1</t>
  </si>
  <si>
    <t>01D047000</t>
  </si>
  <si>
    <t>NÚMERO DE OFICIO 2</t>
  </si>
  <si>
    <t>01D048000</t>
  </si>
  <si>
    <t>FECHA DEL OFICIO 2</t>
  </si>
  <si>
    <t>01D049000</t>
  </si>
  <si>
    <t>01D050000</t>
  </si>
  <si>
    <t>FECHA DEL OFICIO 3</t>
  </si>
  <si>
    <t>01D051000</t>
  </si>
  <si>
    <t>OBTUVO ALGUNA RESOLUCION FAVORABLE POR PARTE DE AUTORIDADES JURISDICCIONALES QUE HAYA AFECTADO SU SITUACION FISCAL DURANTE EL EJERCICIO (INCLUYE PTU)</t>
  </si>
  <si>
    <t>01D052000</t>
  </si>
  <si>
    <t>NUMERO DE RESOLUCION 1</t>
  </si>
  <si>
    <t>01D053000</t>
  </si>
  <si>
    <t>FECHA DE LA RESOLUCION 1</t>
  </si>
  <si>
    <t>01D054000</t>
  </si>
  <si>
    <t>NUMERO DE RESOLUCION 2</t>
  </si>
  <si>
    <t>01D055000</t>
  </si>
  <si>
    <t>FECHA DE LA RESOLUCION 2</t>
  </si>
  <si>
    <t>01D056000</t>
  </si>
  <si>
    <t>NUMERO DE RESOLUCION 3</t>
  </si>
  <si>
    <t>01D057000</t>
  </si>
  <si>
    <t>FECHA DE LA RESOLUCION 3</t>
  </si>
  <si>
    <t>01D058000</t>
  </si>
  <si>
    <t>FECHA DE ENVIO DE LA DECLARACION INFORMATIVA MULTIPLE. (NORMAL)</t>
  </si>
  <si>
    <t>01D059000</t>
  </si>
  <si>
    <t>FECHA DE ENVIO DE LA DECLARACION INFORMATIVA MULTIPLE. (ULTIMA COMPLEMENTARIA)</t>
  </si>
  <si>
    <t>OPERACIONES CON RESIDENTES EN EL EXTRANJERO</t>
  </si>
  <si>
    <t>01D060000</t>
  </si>
  <si>
    <t>01D061000</t>
  </si>
  <si>
    <t>MANTUVO INVERSIONES PERMANENTES EN SUBSIDIARIAS, ASOCIADAS Y AFILIADAS DURANTE EL EJERCICIO (EN CASO AFIRMATIVO DEBE LLENAR EL ANEXO 13)</t>
  </si>
  <si>
    <t>01D062000</t>
  </si>
  <si>
    <t>01D063000</t>
  </si>
  <si>
    <t>01D064000</t>
  </si>
  <si>
    <t>DIAGNOSTICO FISCAL DEL CONTRIBUYENTE</t>
  </si>
  <si>
    <t>GENERALIDADES FISCALES</t>
  </si>
  <si>
    <t>01D065000</t>
  </si>
  <si>
    <t>HA TENIDO CAMBIOS DE DENOMINACION O RAZON SOCIAL DURANTE EL EJERCICIO FISCAL AUDITADO</t>
  </si>
  <si>
    <t>01D066000</t>
  </si>
  <si>
    <t>EN CASO AFIRMATIVO AL INDICE 01D065000, CUENTA CON LOS AVISOS DE CAMBIO DE DENOMINACION O RAZON SOCIAL ANTE EL REGISTRO FEDERAL DE CONTRIBUYENTES (ARTICULO 29 FRACCION I DEL RCFF), ASIMISMO ESPECIFIQUE EL RFC Y NOMBRES ANTERIORES</t>
  </si>
  <si>
    <t>01D067000</t>
  </si>
  <si>
    <t>01D068000</t>
  </si>
  <si>
    <t>01D069000</t>
  </si>
  <si>
    <t>01D070000</t>
  </si>
  <si>
    <t>01D071000</t>
  </si>
  <si>
    <t>01D072000</t>
  </si>
  <si>
    <t>01D073000</t>
  </si>
  <si>
    <t>EN CASO AFIRMATIVO, CUENTA CON TODOS LOS AVISOS DE CAMBIO DE DOMICILIO FISCAL (ARTICULOS 29 FRACCION III DEL RCFF)</t>
  </si>
  <si>
    <t>01D074000</t>
  </si>
  <si>
    <t>HA ACTUALIZADO LAS ACTIVIDADES ECONOMICAS Y OBLIGACIONES DURANTE EL EJERCICIO FISCAL AUDITADO</t>
  </si>
  <si>
    <t>01D075000</t>
  </si>
  <si>
    <t>EN CASO AFIRMATIVO, CUENTA CON TODOS LOS AVISOS DE ACTUALIZACION DE ACTIVIDADES ECONOMICAS Y OBLIGACIONES (ARTICULOS 29 FRACCION VII RCFF)</t>
  </si>
  <si>
    <t>01D076000</t>
  </si>
  <si>
    <t>01D077000</t>
  </si>
  <si>
    <t>01D078000</t>
  </si>
  <si>
    <t>TIENE ACCIONISTAS RESIDENTES EN EL PAIS</t>
  </si>
  <si>
    <t>01D079000</t>
  </si>
  <si>
    <t>EN CASO AFIRMATIVO, ESTAN INSCRITOS EN EL REGISTRO FEDERAL DE CONTRIBUYENTES (ARTICULO 27 CFF)</t>
  </si>
  <si>
    <t>01D080000</t>
  </si>
  <si>
    <t>01D081000</t>
  </si>
  <si>
    <t>EN CASO AFIRMATIVO, ESTAN INSCRITOS EN EL REGISTRO FEDERAL DE CONTRIBUYENTES</t>
  </si>
  <si>
    <t>01D082000</t>
  </si>
  <si>
    <t>TIENE INVENTARIOS REGISTRADOS EN SU CONTABILIDAD</t>
  </si>
  <si>
    <t>01D083000</t>
  </si>
  <si>
    <t>EN CASO AFIRMATIVO, LLEVA UN CONTROL DE LOS INVENTARIOS DE MERCANCIAS, MATERIAS PRIMAS, PRODUCTOS EN PROCESO Y PRODUCTOS TERMINADOS, SEGUN SE TRATE (ARTICULO 76 FRACCION XIV DE LA LEY DE ISR)</t>
  </si>
  <si>
    <t>01D084000</t>
  </si>
  <si>
    <t>INDIQUE SI IDENTIFICO PROVEEDORES O CLIENTES CON EL LISTADO DEFINITIVO EMITIDO POR EL SAT DE OPERACIONES PRESUNTAMENTE INEXISTENTES POR TODO EL EJERCICIO FISCAL REVISADO</t>
  </si>
  <si>
    <t>01D085000</t>
  </si>
  <si>
    <t>INDIQUE SI VERIFICO QUE LAS OPERACIONES CON ESE CLIENTE O PROVEEDOR NO SE LES DE EFECTO FISCAL DE CONFORMIDAD CON EL ARTÍCULO 69-B DEL CÓDIGO FISCAL DE LA FEDERACIÓN</t>
  </si>
  <si>
    <t>01D086000</t>
  </si>
  <si>
    <t>REALIZO OPERACIONES CON EL PUBLICO EN GENERAL</t>
  </si>
  <si>
    <t>01D087000</t>
  </si>
  <si>
    <t>TIENE EMPLEADOS</t>
  </si>
  <si>
    <t>EN CASO AFIRMATIVO A LA PREGUNTA DEL INDICE 01D087000 INDIQUE:</t>
  </si>
  <si>
    <t>01D088000</t>
  </si>
  <si>
    <t>CREO UNA RESERVA DE FONDO DE PENSIONES O JUBILACIONES DE PERSONAL O BIEN EFECTUO CAMBIOS A DICHO FONDO (ARTICULO 29 DE LA LEY DEL I.S.R. Y 59 DEL REGLAMENTO DE LA LEY I.S.R.)</t>
  </si>
  <si>
    <t>01D089000</t>
  </si>
  <si>
    <t>EN CASO NEGATIVO A LA PREGUNTA DEL INDICE 01D087000 TIENE ALGUN CONTRATO DE SERVICIOS DE PERSONAL (OUTSOURCING)</t>
  </si>
  <si>
    <t>EN CASO DE TENER ALGUN CONTRATO DE SERVICIOS DE PERSONAL (OUTSOURCING), SEÑALE EL RFC Y NOMBRE DE LA(S) SOCIEDAD(ES) QUE LE PRESTA(N) LOS SERVICIOS DE PERSONAL (OUTSOURCING)</t>
  </si>
  <si>
    <t>01D090000</t>
  </si>
  <si>
    <t>01D091000</t>
  </si>
  <si>
    <t>01D092000</t>
  </si>
  <si>
    <t>01D093000</t>
  </si>
  <si>
    <t>01D094000</t>
  </si>
  <si>
    <t>OBTUVO INGRESOS POR:</t>
  </si>
  <si>
    <t>01D095000</t>
  </si>
  <si>
    <t>ENAJENACION DE BIENES</t>
  </si>
  <si>
    <t>01D096000</t>
  </si>
  <si>
    <t>PRESTACION DE SERVICIOS</t>
  </si>
  <si>
    <t>01D097000</t>
  </si>
  <si>
    <t>OTORGAMIENTO DEL USO O GOCE TEMPORAL DE BIENES</t>
  </si>
  <si>
    <t>01D098000</t>
  </si>
  <si>
    <t>OTROS, EN CASO AFIRMATIVO ESPECIFICAR ABAJO:</t>
  </si>
  <si>
    <t>01D099000</t>
  </si>
  <si>
    <t>01D100000</t>
  </si>
  <si>
    <t>01D101000</t>
  </si>
  <si>
    <t>01D102000</t>
  </si>
  <si>
    <t>OBTUVO PERDIDA POR LA ENAJENACION DE CUENTAS Y DOCUMENTOS POR COBRAR EN EL EJERCICIO</t>
  </si>
  <si>
    <t>CONTABILIDAD ELECTRONICA</t>
  </si>
  <si>
    <t>01D103000</t>
  </si>
  <si>
    <t>01D104000</t>
  </si>
  <si>
    <t>NOTA: EN CASO NEGATIVO, SEÑALE EL DOMICILIO EN EL CUAL CONSERVA LA DOCUMENTACION COMPROBATORIA DE LOS REGISTROS O ASIENTOS, A TRAVES DEL ANEXO DENOMINADO INFORMACION ADICIONAL DEL DICTAMEN.</t>
  </si>
  <si>
    <t>PARA EFECTOS DEL I.V.A. INDIQUE LO SIGUIENTE:</t>
  </si>
  <si>
    <t>01D105000</t>
  </si>
  <si>
    <t>01D106000</t>
  </si>
  <si>
    <t>01D107000</t>
  </si>
  <si>
    <t>01D108000</t>
  </si>
  <si>
    <t>01D109000</t>
  </si>
  <si>
    <t>CUENTA CON LOS SIGUIENTES LIBROS ACTUALIZADOS:</t>
  </si>
  <si>
    <t>01D110000</t>
  </si>
  <si>
    <t>DIARIO</t>
  </si>
  <si>
    <t>01D111000</t>
  </si>
  <si>
    <t>MAYOR</t>
  </si>
  <si>
    <t>01D112000</t>
  </si>
  <si>
    <t>ACTAS DE ASAMBLEA DE SOCIOS O ACCIONISTAS</t>
  </si>
  <si>
    <t>01D113000</t>
  </si>
  <si>
    <t>SOCIOS O ACCIONISTAS</t>
  </si>
  <si>
    <t>IMPUESTO SOBRE LA RENTA (I.S.R.)</t>
  </si>
  <si>
    <t>01D114000</t>
  </si>
  <si>
    <t>REALIZO OPERACIONES FINANCIERAS DERIVADAS (ARTICULO 20 LISR)</t>
  </si>
  <si>
    <t>01D115000</t>
  </si>
  <si>
    <t>SE REALIZARON CON FINES DE:</t>
  </si>
  <si>
    <t>01D116000</t>
  </si>
  <si>
    <t>MONTO DE LA GANANCIA ACUMULABLE EN EL EJERCICIO</t>
  </si>
  <si>
    <t>01D117000</t>
  </si>
  <si>
    <t>MONTO DE LA PERDIDA DEDUCIBLE EN EL EJERCICIO</t>
  </si>
  <si>
    <t>01D118000</t>
  </si>
  <si>
    <t>EL CONTRIBUYENTE PARTICIPO EN UNA REESTRUCTURA EN LA QUE SE HAYA AUTORIZADO LA ENAJENACION DE SUS ACCIONES A COSTO FISCAL, O BIEN, EL DIFERIMIENTO DEL IMPUESTO DERIVADO DE LA ENAJENACION DE SUS ACCIONES DENTRO DEL GRUPO AL QUE PERTENECE (ARTICULO 24 LISR)</t>
  </si>
  <si>
    <t>01D119000</t>
  </si>
  <si>
    <t xml:space="preserve">DIO CUMPLIMIENTO A LAS SIGUIENTES OBLIGACIONES FISCALES: </t>
  </si>
  <si>
    <t>01D120000</t>
  </si>
  <si>
    <t>01D121000</t>
  </si>
  <si>
    <t>EXPEDIR COMPROBANTES FISCALES EN LOS QUE SE ASIENTEN EL MONTO DE LOS PAGOS EFECTUADOS A RESIDENTES EN EL EXTRANJERO EN LOS TERMINOS DEL TITULO V DE LA LEY Y DEL IMPUESTO RETENIDO (ARTICULO 76 FRACCION III DE LA LEY)</t>
  </si>
  <si>
    <t>01D122000</t>
  </si>
  <si>
    <t>01D123000</t>
  </si>
  <si>
    <t>LLEVAR UN REGISTRO DE LAS OPERACIONES QUE EFECTUO CON TITULOS VALOR EMITIDOS EN SERIE (ARTICULOS 76 FRACCION VIII DE LA LEY Y 92 DEL REGLAMENTO DE LA LEY)</t>
  </si>
  <si>
    <t>01D124000</t>
  </si>
  <si>
    <t>EFECTUAR PAGOS DE DIVIDENDOS O UTILIDADES CON CHEQUE NOMINATIVO NO NEGOCIABLE EXPEDIDO A NOMBRE DEL SOCIO O ACCIONISTA O A TRAVES DE TRANSFERENCIAS DE FONDOS AL SOCIO O ACCIONISTA (ARTICULO 76 FRACCION XI INCISO A) DE LA LEY)</t>
  </si>
  <si>
    <t>01D125000</t>
  </si>
  <si>
    <t>PROPORCIONAR A LOS SOCIOS O ACCIONISTAS A LOS QUE LES PAGARON DIVIDENDOS, COMPROBANTE FISCAL EN EL QUE SE SEÑALE SU MONTO, DONDE SE INDIQUE SI LOS DIVIDENDOS PROVIENEN DE ALGUNA CUENTA O REGISTRO ESPECIFICO (ARTICULO 76 FRACCION XI INCISO B) DE LA LEY)</t>
  </si>
  <si>
    <t>01D126000</t>
  </si>
  <si>
    <t>PRESENTAR EN TIEMPO LA DECLARACION DE OPERACIONES EFECTUADAS EN EL AÑO DE CALENDARIO ANTERIOR, A TRAVES DE FIDEICOMISOS POR LOS QUE SE REALICEN ACTIVIDADES EMPRESARIALES EN LOS QUE INTERVINO (ARTICULO 76 FRACCION XIII DE LA LEY)</t>
  </si>
  <si>
    <t>01D127000</t>
  </si>
  <si>
    <t>INFORMAR A LAS AUTORIDADES FISCALES COMO SEÑALAN LAS DISPOSICIONES FISCALES DE LAS CONTRAPRESTACIONES RECIBIDAS EN EFECTIVO EN MONEDA NACIONAL O EXTRANJERA, ASI COMO EN PIEZAS DE ORO O DE PLATA, CUYO MONTO SEA SUPERIOR A CIEN MIL PESOS (ARTICULOS 76 FRACCION XV Y 110 FRACCION VII DE LA LEY)</t>
  </si>
  <si>
    <t>01D128000</t>
  </si>
  <si>
    <t>DAR A CONOCER EN LA ASAMBLEA GENERAL ORDINARIA DE ACCIONISTAS O SOCIOS UN REPORTE EN EL QUE SE INFORME SOBRE EL CUMPLIMIENTO DE SUS OBLIGACIONES FISCALES POR EL EJERCICIO INMEDIATO ANTERIOR (ARTICULOS 76 FRACCION XIX DE LA LEY Y 93-A DEL REGLAMENTO DE LA LEY)</t>
  </si>
  <si>
    <t>01D129000</t>
  </si>
  <si>
    <t>01D130000</t>
  </si>
  <si>
    <t>RETENER Y ENTERAR EL ISR ADICIONAL A LA TASA DEL 10% SOBRE LOS DIVIDENDOS O UTILIDADES DISTRIBUIDOS (ARTICULO 140 PARRAFO SEGUNDO DE LA LEY)</t>
  </si>
  <si>
    <t>(I.S.R.) OBTUVO INGRESOS POR</t>
  </si>
  <si>
    <t>01D131000</t>
  </si>
  <si>
    <t>01D132000</t>
  </si>
  <si>
    <t>01D133000</t>
  </si>
  <si>
    <t>OTORGAMIENTO DEL USO O GOCE TEMPORAL DE BIENES (ARTICULOS 17 FRACCION II DE LA LEY Y 13 DEL REGLAMENTO DE LA LEY)</t>
  </si>
  <si>
    <t>01D134000</t>
  </si>
  <si>
    <t>CONTRATOS DE ARRENDAMIENTO FINANCIERO (ARTICULOS 17 FRACCION III Y 40 DE LA LEY)</t>
  </si>
  <si>
    <t>01D135000</t>
  </si>
  <si>
    <t>ENAJENACIONES A PLAZO. PRECIO PACTADO (ARTICULOS 17 FRACCION III, SEGUNDO PARRAFO Y 40 DE LA LEY)</t>
  </si>
  <si>
    <t>01D136000</t>
  </si>
  <si>
    <t>ENAJENACIONES A PLAZO. PRECIO COBRADO (ARTICULOS 17 FRACCION III, TERCER PARRAFO Y 40 DE LA LEY)</t>
  </si>
  <si>
    <t>01D137000</t>
  </si>
  <si>
    <t>DEUDAS NO CUBIERTAS POR PRESCRIPCION, CONDONACION O NOTORIA IMPOSIBILIDAD PRACTICA DE COBRO (ARTICULO 17 FRACCION IV DE LA LEY)</t>
  </si>
  <si>
    <t>01D138000</t>
  </si>
  <si>
    <t>CONTRATOS DE OBRA INMUEBLE. QUE LAS ESTIMACIONES SEAN AUTORIZADAS O APROBADAS PARA SU COBRO (ARTICULOS 17 PENULTIMO PARRAFO DE LA LEY Y 15, 16 Y 18 DEL REGLAMENTO DE LA LEY)</t>
  </si>
  <si>
    <t>01D139000</t>
  </si>
  <si>
    <t>CONTRATOS DE OBRA INMUEBLE. QUE LAS ESTIMACIONES SEAN EFECTIVAMENTE PAGADAS (ARTICULOS 17 DE LA LEY Y 15, 16 Y 18 DEL REGLAMENTO DE LA LEY)</t>
  </si>
  <si>
    <t>01D140000</t>
  </si>
  <si>
    <t>CONSIDERO COMO INGRESO ACUMULABLE DEL EJERCICIO LAS ESTIMACIONES POR EL AVANCE DE OBRA CONFORME A LO PREVISTO EN EL ARTICULO 1.7. DEL DECRETO PUBLICADO EN EL DIARIO OFICIAL DE LA FEDERACION EL 26 DE DICIEMBRE DE 2013.</t>
  </si>
  <si>
    <t>01D141000</t>
  </si>
  <si>
    <t>GANANCIA POR ENAJENACION DE ACCIONES</t>
  </si>
  <si>
    <t>DEDUCCIONES (I.S.R.)</t>
  </si>
  <si>
    <t xml:space="preserve">REUNIO LOS SIGUIENTES REQUISITOS FISCALES PARA SUS DEDUCCIONES: </t>
  </si>
  <si>
    <t>01D142000</t>
  </si>
  <si>
    <t>SER ESTRICTAMENTE INDISPENSABLES PARA LOS FINES DE SU ACTIVIDAD, A EXCEPCION DE LOS DONATIVOS AUTORIZADOS PARA SU DEDUCCION POR LAS DISPOSICIONES FISCALES (ARTICULOS 27 FRACCION I Y 105 FRACCION II DE LA LEY Y 31,32, 33, 87, 88, 88-A, 88-B, 89 Y 111 DEL REGLAMENTO DE LA LEY)</t>
  </si>
  <si>
    <t>01D143000</t>
  </si>
  <si>
    <t>EN EL CASO DE DONATIVOS CUMPLIO CON TODOS LOS REQUISITOS PARA SU DEDUCCION (ARTICULOS 27 FRACCION I DE LA LEY Y 31 ,32, 33, 87, 88, 88-A, 88-B, 89 Y 111 DEL REGLAMENTO DE LA LEY)</t>
  </si>
  <si>
    <t>01D144000</t>
  </si>
  <si>
    <t>01D145000</t>
  </si>
  <si>
    <t>01D146000</t>
  </si>
  <si>
    <t>ESTAR DEBIDAMENTE REGISTRADAS EN CONTABILIDAD (ARTICULOS 27 FRACCION IV Y 105 ULTIMO PARRAFO DE LA LEY Y 36 DEL REGLAMENTO DE LA LEY)</t>
  </si>
  <si>
    <t>01D147000</t>
  </si>
  <si>
    <t>01D148000</t>
  </si>
  <si>
    <t>CUMPLIR LAS OBLIGACIONES EN MATERIA DE RETENCION Y ENTERO DE IMPUESTOS A CARGO DE TERCEROS, ASI COMO LAS DEMAS FORMALIDADES ESTABLECIDAS (ARTICULOS 27 FRACCION V Y 105 ULTIMO PARRAFO DE LA LEY)</t>
  </si>
  <si>
    <t>01D149000</t>
  </si>
  <si>
    <t>QUE EN EL COMPROBANTE FISCAL, EL IMPUESTO AL VALOR AGREGADO CONSTE EN FORMA EXPRESA Y POR SEPARADO CUANDO ASI SEA PROCEDENTE (ARTICULOS 27 FRACCION VI Y 105 ULTIMO PARRAFO DE LA LEY)</t>
  </si>
  <si>
    <t>01D150000</t>
  </si>
  <si>
    <t>EN EL CASO DE INTERESES POR CAPITALES TOMADOS EN PRESTAMO, ESTOS SE HAYAN INVERTIDO EN LOS FINES DEL NEGOCIO (ARTICULOS 27 FRACCION VII DE LA LEY Y 38 DEL REGLAMENTO DE LA LEY)</t>
  </si>
  <si>
    <t>01D151000</t>
  </si>
  <si>
    <t>POR CAPITALES TOMADOS EN PRESTAMO Y OTORGAMIENTO DE PRESTAMOS A TERCEROS, SE APLICO EL TOPE ESTABLECIDO PARA SU DEDUCCION (ARTICULO 27 FRACCION VII DE LA LEY)</t>
  </si>
  <si>
    <t>01D152000</t>
  </si>
  <si>
    <t>01D153000</t>
  </si>
  <si>
    <t>EN EL CASO DE HONORARIOS O GRATIFICACIONES A ADMINISTRADORES, COMISARIOS, DIRECTORES, GERENTES GENERALES O MIEMBROS DEL CONSEJO DIRECTIVO, DE VIGILANCIA, CONSULTIVOS O DE CUALQUIER OTRA INDOLE, SE CUMPLIERON LOS REQUISITOS A QUE ESTAN SUJETOS (ARTICULO 27 FRACCION IX DE LA LEY)</t>
  </si>
  <si>
    <t>01D154000</t>
  </si>
  <si>
    <t>EN LOS CASOS DE ASISTENCIA TECNICA, DE TRANSFERENCIA DE TECNOLOGIA O DE REGALIAS, SE HAYA COMPROBADO QUE QUIEN PROPORCIONO LOS CONOCIMIENTOS CONTABA CON ELEMENTOS TECNICOS PROPIOS PARA ELLO, LOS PRESTO EN FORMA DIRECTA Y EFECTIVAMENTE SE LLEVARON A CABO (ARTICULOS 27 FRACCION X Y 105 ULTIMO PARRAFO DE LA LEY)</t>
  </si>
  <si>
    <t>01D155000</t>
  </si>
  <si>
    <t>01D156000</t>
  </si>
  <si>
    <t>01D157000</t>
  </si>
  <si>
    <t>01D158000</t>
  </si>
  <si>
    <t>EN EL CASO DE IMPORTACION DE MERCANCIAS SE CUMPLIO CON LOS REQUISITOS LEGALES PARA SU IMPORTACION (ARTICULOS 27 FRACCION XIV Y 105 ULTIMO PARRAFO DE LA LEY Y DEMAS APLICABLES DE LAS DISPOSICIONES ADUANERAS)</t>
  </si>
  <si>
    <t>01D159000</t>
  </si>
  <si>
    <t>EN EL CASO DE PERDIDAS POR CREDITOS INCOBRABLES, SE CONSIDERARON REALIZADAS EN EL MES EN QUE SE CONSUMO EL PLAZO DE PRESCRIPCION, QUE CORRESPONDA, O ANTES SIEMPRE QUE HAYA SIDO NOTORIA LA IMPOSIBILIDAD PRACTICA DE COBRO Y SE PUEDE COMPROBAR (ARTICULO 27 FRACCION XV DE LA LEY).</t>
  </si>
  <si>
    <t>NOTA: EN CASO AFIRMATIVO, AL INDICE 01D159000 SEÑALE EN EL ANEXO DENOMINADO INFORMACION ADICIONAL DEL DICTAMEN LA CAUSA QUE ORIGINO LA DEDUCCION.</t>
  </si>
  <si>
    <t>01D160000</t>
  </si>
  <si>
    <t>01D161000</t>
  </si>
  <si>
    <t>LOS COMPROBANTES FISCALES REUNEN LOS REQUISITOS QUE ESTABLECEN LAS DISPOSICIONES FISCALES Y SE OBTUVIERON A MAS TARDAR EL DIA EN QUE DEBIO PRESENTAR SU DECLARACION Y QUE LAS FECHAS DE EXPEDICION CORRESPONDIERON AL EJERCICIO POR EL QUE SE EFECTUO LA DEDUCCION (ARTICULOS 27 FRACCION XVIII Y 105 ULTIMO PARRAFO DE LA LEY)</t>
  </si>
  <si>
    <t>01D162000</t>
  </si>
  <si>
    <t>EN EL CASO DE ANTICIPOS POR GASTOS SE CUMPLIERON LOS REQUISITOS ESTABLECIDOS PARA SU DEDUCCION (ARTICULOS 27 FRACCION XVIII Y 105 ULTIMO PARRAFO DE LA LEY).</t>
  </si>
  <si>
    <t>01D163000</t>
  </si>
  <si>
    <t>CUANDO LOS TRABAJADORES HAYAN TENIDO DERECHO AL SUBSIDIO PARA EL EMPLEO, EFECTIVAMENTE SE LES ENTREGARON LAS CANTIDADES CORRESPONDIENTES (ARTICULOS 27 FRACCION XIX DE LA LEY Y ARTICULO DECIMO DEL DECRETO POR EL QUE SE REFORMA, ADICIONAN Y DEROGAN DIVERSAS DISPOSICIONES DE LA LEY DEL IMPUESTO AL VALOR AGREGADO; DE LA LEY DEL IMPUESTO ESPECIAL SOBRE PRODUCCION Y SERVICIOS; DE LA LEY FEDERAL DE DERECHOS, SE EXPIDE LA LEY DEL IMPUESTO SOBRE LA RENTA, Y SE ABROGAN LA LEY DEL IMPUESTO EMPRESARIAL A TASA UNICA, Y LA LEY DEL IMPUESTO A LOS DEPOSITOS EN EFECTIVO, PUBLICADO EN EL DIARIO OFICIAL DE LA FEDERACION EL 11 DE DICIEMBRE DE 2013)</t>
  </si>
  <si>
    <t>01D164000</t>
  </si>
  <si>
    <t>01D165000</t>
  </si>
  <si>
    <t>EN EL CASO DE INVERSIONES, APLICO LOS PORCIENTOS AUTORIZADOS POR LA LEY</t>
  </si>
  <si>
    <t>01D166000</t>
  </si>
  <si>
    <t>EN EL CASO DE DEDUCCION ADICIONAL (PRIMER EMPLEO), SE CALCULO CONFORME A LAS DISPOSICIONES FISCALES (ARTICULO NOVENO FRACCION XXXVII DE LAS DISPOSICIONES TRANSITORIAS DE LA LEY DE ISR PARA 2014)</t>
  </si>
  <si>
    <t>01D167000</t>
  </si>
  <si>
    <t>EN EL CASO DE DEDUCCION ADICIONAL (PRIMER EMPLEO), SE CUMPLIERON LOS REQUISITOS ESTABLECIDOS PARA SU DEDUCCION (ARTICULO NOVENO FRACCION XXXVII DE LAS DISPOSICIONES TRANSITORIAS DE LA LEY DE ISR PARA 2014)</t>
  </si>
  <si>
    <t>01D168000</t>
  </si>
  <si>
    <t>EN EL CASO DE GASTOS DE VIAJE CUANDO SE DESTINARON AL HOSPEDAJE, ALIMENTACION, TRANSPORTE, USO O GOCE TEMPORAL DE AUTOMOVILES Y PAGO DE KILOMETRAJE CUMPLIO CON LOS REQUISITOS ESTABLECIDOS PARA SU DEDUCCION (ARTICULOS 28 FRACCION V Y 103 ULTIMO PARRAFO DE LA LEY Y 49 Y 50 DEL REGLAMENTO DE LA LEY)</t>
  </si>
  <si>
    <t>01D169000</t>
  </si>
  <si>
    <t>01D170000</t>
  </si>
  <si>
    <t>EN EL CASO DE LOS DOS CONCEPTOS ANTERIORES, FUERON GASTOS EFECTUADOS POR SOCIOS, ACCIONISTAS O SUS FAMILIARES SIN RELACION LABORAL</t>
  </si>
  <si>
    <t>01D171000</t>
  </si>
  <si>
    <t>01D172000</t>
  </si>
  <si>
    <t>EN EL CASO DE CONSUMOS EN RESTAURANTES, SE CUMPLIERON LOS REQUISITOS ESTABLECIDOS PARA SU DEDUCCION (ARTICULOS 28 FRACCION XX Y 103 ULTIMO PARRAFO DE LA LEY Y 55 DEL REGLAMENTO DE LA LEY)</t>
  </si>
  <si>
    <t>01D173000</t>
  </si>
  <si>
    <t>PARA LA DETERMINACION DE LAS DEDUCCIONES POR INVERSIONES EN AUTOMOVILES Y AVIONES SE CONSIDERO COMO MONTO ORIGINAL DE LA INVERSION EL MONTO MAXIMO AUTORIZADO EN LEY (ARTICULOS 36 FRACCIONES II Y III RESPECTIVAMENTE Y 104 DE LA LEY)</t>
  </si>
  <si>
    <t>01D174000</t>
  </si>
  <si>
    <t>FUERON CONSIDERADOS COMO NO DEDUCIBLES TODOS LOS CONCEPTOS QUE LE APLICARON A QUE HACE REFERENCIA EL ARTICULO 28 DE LA LEY</t>
  </si>
  <si>
    <t>01D175000</t>
  </si>
  <si>
    <t>OPTO Y CUMPLIO CON LO DISPUESTO EN EL ARTICULO 30 DE LA LEY</t>
  </si>
  <si>
    <t>01D176000</t>
  </si>
  <si>
    <t>EN CASO AFIRMATIVO, EN SU CALIDAD DE:</t>
  </si>
  <si>
    <t>01D177000</t>
  </si>
  <si>
    <t>FUSIONADA</t>
  </si>
  <si>
    <t>01D178000</t>
  </si>
  <si>
    <t>FUSIONANTE</t>
  </si>
  <si>
    <t>01D179000</t>
  </si>
  <si>
    <t>FECHA EN QUE SURTIO EFECTOS LA FUSION</t>
  </si>
  <si>
    <t>01D180000</t>
  </si>
  <si>
    <t>PARTICIPO EN ALGUNA ESCISION EN EL EJERCICIO</t>
  </si>
  <si>
    <t>01D181000</t>
  </si>
  <si>
    <t>01D182000</t>
  </si>
  <si>
    <t>ESCINDENTE</t>
  </si>
  <si>
    <t>01D183000</t>
  </si>
  <si>
    <t>FECHA EN QUE SURTIO EFECTOS LA ESCISION</t>
  </si>
  <si>
    <t>PARTE DEL ACTIVO, PASIVO Y CAPITAL SOCIAL CORRESPONDIENTE APORTADO POR LA ESCINDENTE Y RECIBIDO POR:</t>
  </si>
  <si>
    <t>01D184000</t>
  </si>
  <si>
    <t>ESCINDIDA 1: RFC</t>
  </si>
  <si>
    <t>01D185000</t>
  </si>
  <si>
    <t>VALOR ACTIVO:</t>
  </si>
  <si>
    <t>01D186000</t>
  </si>
  <si>
    <t>VALOR PASIVO:</t>
  </si>
  <si>
    <t>01D187000</t>
  </si>
  <si>
    <t>VALOR CAPITAL SOCIAL:</t>
  </si>
  <si>
    <t>01D188000</t>
  </si>
  <si>
    <t>ESCINDIDA 2: RFC</t>
  </si>
  <si>
    <t>01D189000</t>
  </si>
  <si>
    <t>01D190000</t>
  </si>
  <si>
    <t>01D191000</t>
  </si>
  <si>
    <t>01D192000</t>
  </si>
  <si>
    <t>ESCINDIDA 3: RFC</t>
  </si>
  <si>
    <t>01D193000</t>
  </si>
  <si>
    <t>01D194000</t>
  </si>
  <si>
    <t>01D195000</t>
  </si>
  <si>
    <t>01D196000</t>
  </si>
  <si>
    <t>ESCINDIDA 4: RFC</t>
  </si>
  <si>
    <t>01D197000</t>
  </si>
  <si>
    <t>01D198000</t>
  </si>
  <si>
    <t>01D199000</t>
  </si>
  <si>
    <t>01D200000</t>
  </si>
  <si>
    <t>ESCINDIDA 5: RFC</t>
  </si>
  <si>
    <t>01D201000</t>
  </si>
  <si>
    <t>01D202000</t>
  </si>
  <si>
    <t>01D203000</t>
  </si>
  <si>
    <t>01D204000</t>
  </si>
  <si>
    <t>ESCINDIDA 6: RFC</t>
  </si>
  <si>
    <t>01D205000</t>
  </si>
  <si>
    <t>01D206000</t>
  </si>
  <si>
    <t>01D207000</t>
  </si>
  <si>
    <t>01D208000</t>
  </si>
  <si>
    <t>ESCINDIDA 7: RFC</t>
  </si>
  <si>
    <t>01D209000</t>
  </si>
  <si>
    <t>01D210000</t>
  </si>
  <si>
    <t>01D211000</t>
  </si>
  <si>
    <t>01D212000</t>
  </si>
  <si>
    <t>ESCINDIDA 8: RFC</t>
  </si>
  <si>
    <t>01D213000</t>
  </si>
  <si>
    <t>01D214000</t>
  </si>
  <si>
    <t>01D215000</t>
  </si>
  <si>
    <t>01D216000</t>
  </si>
  <si>
    <t>ESCINDIDA 9: RFC</t>
  </si>
  <si>
    <t>01D217000</t>
  </si>
  <si>
    <t>01D218000</t>
  </si>
  <si>
    <t>01D219000</t>
  </si>
  <si>
    <t>01D220000</t>
  </si>
  <si>
    <t>ESCINDIDA 10: RFC</t>
  </si>
  <si>
    <t>01D221000</t>
  </si>
  <si>
    <t>01D222000</t>
  </si>
  <si>
    <t>01D223000</t>
  </si>
  <si>
    <t>01D224000</t>
  </si>
  <si>
    <t>ESCINDENTE: RFC</t>
  </si>
  <si>
    <t>01D225000</t>
  </si>
  <si>
    <t>01D226000</t>
  </si>
  <si>
    <t>01D227000</t>
  </si>
  <si>
    <t>EN CASO DE LIQUIDACION, SEÑALAR:</t>
  </si>
  <si>
    <t>01D228000</t>
  </si>
  <si>
    <t>FECHA DE INICIO DE LA LIQUIDACION</t>
  </si>
  <si>
    <t>INDIQUE EL NOMBRE O DENOMINACION O RAZON SOCIAL Y RFC DEL LIQUIDADOR:</t>
  </si>
  <si>
    <t>01D229000</t>
  </si>
  <si>
    <t>01D230000</t>
  </si>
  <si>
    <t>01D231000</t>
  </si>
  <si>
    <t>01D232000</t>
  </si>
  <si>
    <t>MANTUVO INVERSIONES A TRAVES DE FIDEICOMISOS PARA LA ADQUISICION O CONSTRUCCION DE INMUEBLES (FIBRAS)</t>
  </si>
  <si>
    <t>01D233000</t>
  </si>
  <si>
    <t>EN CASO AFIRMATIVO, CUMPLIO CON TODOS LOS REQUISITOS PREVISTOS EN LOS ARTICULOS 187 Y 188 DE LA LEY</t>
  </si>
  <si>
    <t>01D234000</t>
  </si>
  <si>
    <t>FORMO PARTE DE UN FIDEICOMISO PARA LA ADQUISICION O CONSTRUCCION DE INMUEBLES (FIBRA)</t>
  </si>
  <si>
    <t>01D235000</t>
  </si>
  <si>
    <t>ACREDITAMIENTOS</t>
  </si>
  <si>
    <t>01D236000</t>
  </si>
  <si>
    <t>CUENTA CON LA DOCUMENTACION COMPROBATORIA DEL PAGO DEL ISR PAGADO EN EL EXTRANJERO QUE ACREDITO</t>
  </si>
  <si>
    <t>01D237000</t>
  </si>
  <si>
    <t>CUMPLE CON LOS REQUISITOS ESTABLECIDOS EN EL ARTICULO 5 DE LA LISR PARA ACREDITAR EL ISR PAGADO EN EL EXTRANJERO</t>
  </si>
  <si>
    <t>REGIMENES FISCALES PREFERENTES</t>
  </si>
  <si>
    <t>01D238000</t>
  </si>
  <si>
    <t>OBTUVO INGRESOS SUJETOS A REGIMENES FISCALES PREFERENTES, A TRAVES DE ENTIDADES O FIGURAS JURIDICAS EXTRANJERAS QUE SEAN TRANSPARENTES FISCALES EN EL EXTRANJERO</t>
  </si>
  <si>
    <t>RETENCIONES Y/O RESPONSABILIDAD SOLIDARIA</t>
  </si>
  <si>
    <t>01D239000</t>
  </si>
  <si>
    <t>EL CONTRIBUYENTE EFECTUO ALGUN PAGO A UN RESIDENTE EN EL EXTRANJERO, EN EL QUE EL ISR QUE LE CORRESPONDIO A DICHO RESIDENTE EN EL EXTRANJERO, FUE CUBIERTO POR EL PROPIO CONTRIBUYENTE</t>
  </si>
  <si>
    <t>01D240000</t>
  </si>
  <si>
    <t>APLICO LO DISPUESTO POR EL ARTICULO 1.13. DEL DECRETO PUBLICADO EN EL DIARIO OFICIAL DE LA FEDERACION EL 26 DE DICIEMBRE DE 2013</t>
  </si>
  <si>
    <t>01D241000</t>
  </si>
  <si>
    <t>APLICO TRATADOS PARA EVITAR LA DOBLE TRIBUTACION</t>
  </si>
  <si>
    <t>EN CASO AFIRMATIVO:</t>
  </si>
  <si>
    <t>01D242000</t>
  </si>
  <si>
    <t>CUENTA CON LA DOCUMENTACION NECESARIA QUE ACREDITE LA RESIDENCIA DEL PAIS DE QUE SE TRATE, EN TERMINOS DEL ARTICULO 4 DE LA LISR.</t>
  </si>
  <si>
    <t>01D243000</t>
  </si>
  <si>
    <t>CUMPLIO CON TODOS LOS REQUISITOS PARA APLICAR UNA TASA DE RETENCION PREFERENCIAL.</t>
  </si>
  <si>
    <t>01D244000</t>
  </si>
  <si>
    <t>APLICO LO DISPUESTO POR EL ARTICULO 1.4. DEL DECRETO PUBLICADO EN EL DIARIO OFICIAL DE LA FEDERACION EL 26 DE DICIEMBRE DE 2013.</t>
  </si>
  <si>
    <t>IMPUESTO AL VALOR AGREGADO</t>
  </si>
  <si>
    <t>ACTOS O ACTIVIDADES (I.V.A.)</t>
  </si>
  <si>
    <t>01D245000</t>
  </si>
  <si>
    <t>01D246000</t>
  </si>
  <si>
    <t>CONSIDERO COMO ENAJENACION EL VALOR DEL FALTANTE DE BIENES EN SUS INVENTARIOS (ARTICULOS 8 DE LA LEY Y 25 DEL REGLAMENTO DE LA LEY)</t>
  </si>
  <si>
    <t>01D247000</t>
  </si>
  <si>
    <t>CONSIDERO COMO ACTO O ACTIVIDAD GRAVADA LA IMPORTACION DE LOS SIGUIENTES BIENES O SERVICIOS:</t>
  </si>
  <si>
    <t>01D248000</t>
  </si>
  <si>
    <t>LA ADQUISICION O EL USO O GOCE TEMPORAL DE BIENES INTANGIBLES (ARTICULOS 24, FRACCIONES II Y III DE LA LEY Y 50 DEL REGLAMENTO DE LA LEY)</t>
  </si>
  <si>
    <t>01D249000</t>
  </si>
  <si>
    <t>01D250000</t>
  </si>
  <si>
    <t>REALIZO EXPORTACIONES DE BIENES O SERVICIOS POR CONCEPTO DE ENAJENACION O USO O GOCE TEMPORAL DE BIENES INTANGIBLES O POR EL APROVECHAMIENTO EN EL EXTRANJERO DE SERVICIOS PRESTADOS (ARTICULOS 29, FRACCIONES II, III Y IV DE LA LEY Y 57 A 63 DEL REGLAMENTO DE LA LEY)</t>
  </si>
  <si>
    <t>ACREDITAMIENTO (I.V.A.)</t>
  </si>
  <si>
    <t>REQUISITOS DE ACREDITAMIENTO DEL IMPUESTO AL VALOR AGREGADO</t>
  </si>
  <si>
    <t>01D251000</t>
  </si>
  <si>
    <t>01D252000</t>
  </si>
  <si>
    <t>EL IMPUESTO AL VALOR AGREGADO ACREDITADO CORRESPONDIO A BIENES, SERVICIOS O AL USO O GOCE TEMPORAL DE BIENES, ESTRICTAMENTE INDISPENSABLES EN LOS TERMINOS DE LA LEY DEL IMPUESTO SOBRE LA RENTA PARA LA REALIZACION DE ACTIVIDADES DISTINTAS DE LA IMPORTACION, POR LAS QUE SE DEBA PAGAR EL IMPUESTO ESTABLECIDO EN ESTA LEY O A LAS QUE SE LES APLIQUE LA TASA DE 0% (ARTICULO 5 FRACCION I DE LA LEY)</t>
  </si>
  <si>
    <t>01D253000</t>
  </si>
  <si>
    <t>EL IMPUESTO AL VALOR AGREGADO ACREDITADO FUE TRASLADADO EXPRESAMENTE CONSTO POR SEPARADO EN LOS COMPROBANTES (ARTICULO 5 FRACCION II DE LA LEY)</t>
  </si>
  <si>
    <t>01D254000</t>
  </si>
  <si>
    <t>EL IMPUESTO AL VALOR AGREGADO TRASLADADO FUE EFECTIVAMENTE PAGADO EN EL MES DE QUE SE TRATE (ARTICULO 5 FRACCION III DE LA LEY)</t>
  </si>
  <si>
    <t>01D255000</t>
  </si>
  <si>
    <t>TRATANDOSE DEL IMPUESTO AL VALOR AGREGADO TRASLADADO QUE SE HUBIESE RETENIDO CONFORME AL ARTICULO 1-A, FUE ACREDITADO EN LA DECLARACION DE PAGO MENSUAL SIGUIENTE A LA DECLARACION EN LA QUE SE HAYA EFECTUADO EL ENTERO DE LA RETENCION (ARTICULO 5 FRACCION IV DE LA LEY)</t>
  </si>
  <si>
    <t>01D256000</t>
  </si>
  <si>
    <t>01D257000</t>
  </si>
  <si>
    <t>SE ACREDITO EL IMPUESTO QUE CORRESPONDIO A EROGACIONES DISTINTAS A LAS INVERSIONES, EN SU TOTALIDAD POR HABER REALIZADO ACTIVIDADES EXCLUSIVAMENTE POR LOS QUE DEBE PAGAR EL IMPUESTO, O LE SEA APLICABLE LA TASA DEL 0% (ARTICULO 5 FRACCION V INCISO A) DE LA LEY)</t>
  </si>
  <si>
    <t>01D258000</t>
  </si>
  <si>
    <t>NO SE ACREDITO EL IMPUESTO QUE CORRESPONDIO A EROGACIONES DISTINTAS A LAS INVERSIONES, POR HABER REALIZADO ACTIVIDADES EXCLUSIVAMENTE POR LOS QUE NO DEBE PAGAR EL IMPUESTO (ARTICULO 5 FRACCION V INCISO B) DE LA LEY)</t>
  </si>
  <si>
    <t>01D259000</t>
  </si>
  <si>
    <t>01D260000</t>
  </si>
  <si>
    <t>01D261000</t>
  </si>
  <si>
    <t>01D262000</t>
  </si>
  <si>
    <t>01D263000</t>
  </si>
  <si>
    <t>EN MESES POSTERIORES LAS INVERSIONES DEJARON DE DESTINARSE EN FORMA EXCLUSIVA A LAS ACTIVIDADES A QUE ESTABAN PREVISTAS (ARTICULO 5 FRACCION V INCISO d) PUNTO 4 DE LA LEY)</t>
  </si>
  <si>
    <t>01D264000</t>
  </si>
  <si>
    <t>EN CASO AFIRMATIVO, REALIZO AJUSTES AL VALOR DEL IMPUESTO ACREDITABLE (ARTICULO 5-A DE LA LEY Y 19 DEL REGLAMENTO DE LA LEY)</t>
  </si>
  <si>
    <t>APLICACION DE ESTIMULOS FISCALES</t>
  </si>
  <si>
    <t>01D265000</t>
  </si>
  <si>
    <t>01D266000</t>
  </si>
  <si>
    <t>APLICO LO PREVISTO EN EL ARTICULO 2.2. DEL DECRETO PUBLICADO EN EL DIARIO OFICIAL DE LA FEDERACION EL 26 DE DICIEMBRE DE 2013</t>
  </si>
  <si>
    <t>IMPUESTO ESPECIAL SOBRE PRODUCCION Y SERVICIOS (I.E.P.S.)</t>
  </si>
  <si>
    <t>01D267000</t>
  </si>
  <si>
    <t>ESTUVO OBLIGADO AL PAGO DEL I.E.P.S. EN EL EJERCICIO</t>
  </si>
  <si>
    <t>2016</t>
  </si>
  <si>
    <t>2015</t>
  </si>
  <si>
    <t>PORCENTAJE _x000D_
EN RELACION _x000D_
CON EL TOTAL _x000D_
DEL ACTIVO _x000D_
(AÑO ACTUAL)</t>
  </si>
  <si>
    <t>PORCENTAJE _x000D_
EN RELACION _x000D_
CON EL TOTAL _x000D_
DEL ACTIVO _x000D_
(AÑO ANTERIOR)</t>
  </si>
  <si>
    <t>VARIACION _x000D_
EN PESOS          RESPECTO AL             _x000D_AÑO ANTERIOR</t>
  </si>
  <si>
    <t>PORCENTAJE _x000D_
DE VARIACION _x000D_
EN PESOS_x000D_
 RESPECTO AL            AÑO ANTERIOR</t>
  </si>
  <si>
    <t>EXPLICAR         VARIACION</t>
  </si>
  <si>
    <t>01010000000000</t>
  </si>
  <si>
    <t>EFECTIVO EN CAJA Y BANCOS</t>
  </si>
  <si>
    <t>01010001000000</t>
  </si>
  <si>
    <t>VALORES DE INMEDIATA REALIZACION</t>
  </si>
  <si>
    <t>01010002000000</t>
  </si>
  <si>
    <t>INVERSIONES EN RENTA FIJA</t>
  </si>
  <si>
    <t>01010003000000</t>
  </si>
  <si>
    <t>OTROS INSTRUMENTOS FINANCIEROS</t>
  </si>
  <si>
    <t>01010004000000</t>
  </si>
  <si>
    <t>TOTAL DE EFECTIVO E INSTRUMENTOS FINANCIEROS</t>
  </si>
  <si>
    <t>CUENTAS POR COBRAR</t>
  </si>
  <si>
    <t>01010005000000</t>
  </si>
  <si>
    <t>01010006000000</t>
  </si>
  <si>
    <t>DOCUMENTOS POR COBRAR</t>
  </si>
  <si>
    <t>01010007000000</t>
  </si>
  <si>
    <t>01010008000000</t>
  </si>
  <si>
    <t>IMPUESTO AL VALOR AGREGADO POR RECUPERAR</t>
  </si>
  <si>
    <t>01010009000000</t>
  </si>
  <si>
    <t>IMPUESTO SOBRE LA RENTA POR RECUPERAR</t>
  </si>
  <si>
    <t>01010010000000</t>
  </si>
  <si>
    <t>IMPUESTO EMPRESARIAL A TASA UNICA POR RECUPERAR</t>
  </si>
  <si>
    <t>01010011000000</t>
  </si>
  <si>
    <t>IMPUESTO A LOS DEPOSITOS EN EFECTIVO POR RECUPERAR</t>
  </si>
  <si>
    <t>01010012000000</t>
  </si>
  <si>
    <t>OTROS IMPUESTOS POR RECUPERAR</t>
  </si>
  <si>
    <t>01010013000000</t>
  </si>
  <si>
    <t>DEUDORES DIVERSOS</t>
  </si>
  <si>
    <t>01010014000000</t>
  </si>
  <si>
    <t>ESTIMACION DE CUENTAS INCOBRABLES</t>
  </si>
  <si>
    <t>01010015000000</t>
  </si>
  <si>
    <t>OTRAS CUENTAS POR COBRAR</t>
  </si>
  <si>
    <t>01010016000000</t>
  </si>
  <si>
    <t>TOTAL DE CUENTAS POR COBRAR</t>
  </si>
  <si>
    <t>INVENTARIOS</t>
  </si>
  <si>
    <t>01010017000000</t>
  </si>
  <si>
    <t>PRODUCTOS TERMINADOS</t>
  </si>
  <si>
    <t>01010018000000</t>
  </si>
  <si>
    <t>PRODUCCION EN PROCESO</t>
  </si>
  <si>
    <t>01010019000000</t>
  </si>
  <si>
    <t>MATERIAS PRIMAS Y MATERIALES</t>
  </si>
  <si>
    <t>01010020000000</t>
  </si>
  <si>
    <t>ESTIMACION DE OBSOLESCENCIA</t>
  </si>
  <si>
    <t>01010021000000</t>
  </si>
  <si>
    <t>PERDIDA POR DETERIORO</t>
  </si>
  <si>
    <t>01010022000000</t>
  </si>
  <si>
    <t>OTROS</t>
  </si>
  <si>
    <t>01010023000000</t>
  </si>
  <si>
    <t>TOTAL DE INVENTARIOS</t>
  </si>
  <si>
    <t>PAGOS ANTICIPADOS</t>
  </si>
  <si>
    <t>01010024000000</t>
  </si>
  <si>
    <t>RENTAS PAGADAS POR ANTICIPADO</t>
  </si>
  <si>
    <t>01010025000000</t>
  </si>
  <si>
    <t>ANTICIPO A PROVEEDORES</t>
  </si>
  <si>
    <t>01010026000000</t>
  </si>
  <si>
    <t>OTROS PAGOS ANTICIPADOS</t>
  </si>
  <si>
    <t>01010027000000</t>
  </si>
  <si>
    <t>PERDIDA POR DETERIORO DE PAGOS ANTICIPADOS</t>
  </si>
  <si>
    <t>01010028000000</t>
  </si>
  <si>
    <t>TOTAL DE PAGOS ANTICIPADOS</t>
  </si>
  <si>
    <t>01010029000000</t>
  </si>
  <si>
    <t>OTROS ACTIVOS CIRCULANTES</t>
  </si>
  <si>
    <t>01010030000000</t>
  </si>
  <si>
    <t>IMPUESTO AL VALOR AGREGADO NO PAGADO</t>
  </si>
  <si>
    <t>01010031000000</t>
  </si>
  <si>
    <t>TOTAL DEL ACTIVO CIRCULANTE</t>
  </si>
  <si>
    <t>ACTIVO NO CIRCULANTE</t>
  </si>
  <si>
    <t>CUENTAS POR COBRAR A LARGO PLAZO</t>
  </si>
  <si>
    <t>01010032000000</t>
  </si>
  <si>
    <t>CUENTAS POR COBRAR A LARGO PLAZO PARTES RELACIONADAS</t>
  </si>
  <si>
    <t>01010033000000</t>
  </si>
  <si>
    <t>CUENTAS POR COBRAR A LARGO PLAZO PARTES NO RELACIONADAS</t>
  </si>
  <si>
    <t>01010034000000</t>
  </si>
  <si>
    <t>TOTAL DE CUENTAS POR COBRAR A LARGO PLAZO</t>
  </si>
  <si>
    <t xml:space="preserve">PAGOS ANTICIPADOS A LARGO PLAZO </t>
  </si>
  <si>
    <t>01010035000000</t>
  </si>
  <si>
    <t>01010036000000</t>
  </si>
  <si>
    <t>01010037000000</t>
  </si>
  <si>
    <t>TOTAL DE PAGOS ANTICIPADOS A LARGO PLAZO</t>
  </si>
  <si>
    <t>INVERSIONES PERMANENTES</t>
  </si>
  <si>
    <t>01010038000000</t>
  </si>
  <si>
    <t>01010039000000</t>
  </si>
  <si>
    <t>TOTAL DE INVERSIONES PERMANENTES</t>
  </si>
  <si>
    <t>ACTIVO FIJO</t>
  </si>
  <si>
    <t>INMUEBLES, MAQUINARIA Y EQUIPO</t>
  </si>
  <si>
    <t>01010040000000</t>
  </si>
  <si>
    <t>TERRENOS</t>
  </si>
  <si>
    <t>01010041000000</t>
  </si>
  <si>
    <t>EDIFICIOS</t>
  </si>
  <si>
    <t>01010042000000</t>
  </si>
  <si>
    <t>MAQUINARIA</t>
  </si>
  <si>
    <t>01010043000000</t>
  </si>
  <si>
    <t>EQUIPO DE TRANSPORTE</t>
  </si>
  <si>
    <t>01010044000000</t>
  </si>
  <si>
    <t>MOBILIARIO Y EQUIPO</t>
  </si>
  <si>
    <t>01010045000000</t>
  </si>
  <si>
    <t>EQUIPO DE COMPUTO</t>
  </si>
  <si>
    <t>01010046000000</t>
  </si>
  <si>
    <t>OTROS ACTIVOS FIJOS</t>
  </si>
  <si>
    <t>01010047000000</t>
  </si>
  <si>
    <t>TOTAL DE INMUEBLES, MAQUINARIA Y EQUIPO</t>
  </si>
  <si>
    <t>DEPRECIACIONES ACUMULADAS</t>
  </si>
  <si>
    <t>01010048000000</t>
  </si>
  <si>
    <t>DEPRECIACION ACUMULADA DE EDIFICIOS</t>
  </si>
  <si>
    <t>01010049000000</t>
  </si>
  <si>
    <t>DEPRECIACION ACUMULADA DE MAQUINARIA</t>
  </si>
  <si>
    <t>01010050000000</t>
  </si>
  <si>
    <t>DEPRECIACION ACUMULADA DE EQUIPO DE TRANSPORTE</t>
  </si>
  <si>
    <t>01010051000000</t>
  </si>
  <si>
    <t>DEPRECIACION ACUMULADA DE MOBILIARIO Y EQUIPO</t>
  </si>
  <si>
    <t>01010052000000</t>
  </si>
  <si>
    <t>DEPRECIACION ACUMULADA DE EQUIPO DE COMPUTO</t>
  </si>
  <si>
    <t>01010053000000</t>
  </si>
  <si>
    <t>DEPRECIACION ACUMULADA DE OTROS ACTIVOS FIJOS</t>
  </si>
  <si>
    <t>01010054000000</t>
  </si>
  <si>
    <t>TOTAL DE DEPRECIACION ACUMULADA</t>
  </si>
  <si>
    <t>PERDIDA POR DETERIORO ACUMULADO</t>
  </si>
  <si>
    <t>01010055000000</t>
  </si>
  <si>
    <t>01010056000000</t>
  </si>
  <si>
    <t>01010057000000</t>
  </si>
  <si>
    <t>01010058000000</t>
  </si>
  <si>
    <t>01010059000000</t>
  </si>
  <si>
    <t>01010060000000</t>
  </si>
  <si>
    <t>01010061000000</t>
  </si>
  <si>
    <t>01010062000000</t>
  </si>
  <si>
    <t>TOTAL DE INMUEBLES, MAQUINARIA Y EQUIPO NETO</t>
  </si>
  <si>
    <t>ACTIVOS INTANGIBLES</t>
  </si>
  <si>
    <t>01010063000000</t>
  </si>
  <si>
    <t>GASTOS PREOPERATIVOS</t>
  </si>
  <si>
    <t>01010064000000</t>
  </si>
  <si>
    <t>INVESTIGACION DE MERCADO</t>
  </si>
  <si>
    <t>01010065000000</t>
  </si>
  <si>
    <t>PATENTES Y MARCAS</t>
  </si>
  <si>
    <t>01010066000000</t>
  </si>
  <si>
    <t>AMORTIZACIONES</t>
  </si>
  <si>
    <t>01010067000000</t>
  </si>
  <si>
    <t>01010068000000</t>
  </si>
  <si>
    <t>OTROS ACTIVOS INTANGIBLES</t>
  </si>
  <si>
    <t>01010069000000</t>
  </si>
  <si>
    <t>TOTAL DE ACTIVOS INTANGIBLES</t>
  </si>
  <si>
    <t>OTROS ACTIVOS</t>
  </si>
  <si>
    <t>01010070000000</t>
  </si>
  <si>
    <t>CREDITO MERCANTIL</t>
  </si>
  <si>
    <t>01010071000000</t>
  </si>
  <si>
    <t>01010072000000</t>
  </si>
  <si>
    <t>IMPUESTO SOBRE LA RENTA DIFERIDO</t>
  </si>
  <si>
    <t>01010073000000</t>
  </si>
  <si>
    <t>PARTICIPACION DE LOS TRABAJADORES EN LAS UTILIDADES DIFERIDA</t>
  </si>
  <si>
    <t>01010074000000</t>
  </si>
  <si>
    <t>INSTRUMENTOS FINANCIEROS A LARGO PLAZO</t>
  </si>
  <si>
    <t>01010075000000</t>
  </si>
  <si>
    <t>01010076000000</t>
  </si>
  <si>
    <t>TOTAL DE OTROS ACTIVOS</t>
  </si>
  <si>
    <t>01010077000000</t>
  </si>
  <si>
    <t>TOTAL DEL ACTIVO NO CIRCULANTE</t>
  </si>
  <si>
    <t>01010078000000</t>
  </si>
  <si>
    <t>TOTAL DEL ACTIVO</t>
  </si>
  <si>
    <t>PASIVO</t>
  </si>
  <si>
    <t>PASIVO A CORTO PLAZO</t>
  </si>
  <si>
    <t>DOCUMENTOS POR PAGAR</t>
  </si>
  <si>
    <t>01010079000000</t>
  </si>
  <si>
    <t>NACIONALES</t>
  </si>
  <si>
    <t>01010080000000</t>
  </si>
  <si>
    <t>DEL EXTRANJERO</t>
  </si>
  <si>
    <t>01010081000000</t>
  </si>
  <si>
    <t>TOTAL DE DOCUMENTOS POR PAGAR</t>
  </si>
  <si>
    <t>INSTRUMENTOS FINANCIEROS</t>
  </si>
  <si>
    <t>01010082000000</t>
  </si>
  <si>
    <t>01010083000000</t>
  </si>
  <si>
    <t>01010084000000</t>
  </si>
  <si>
    <t>TOTAL DE INSTRUMENTOS FINANCIEROS</t>
  </si>
  <si>
    <t>ACREEDORES DIVERSOS</t>
  </si>
  <si>
    <t>01010085000000</t>
  </si>
  <si>
    <t>01010086000000</t>
  </si>
  <si>
    <t>01010087000000</t>
  </si>
  <si>
    <t>TOTAL DE ACREEDORES DIVERSOS</t>
  </si>
  <si>
    <t>PROVEEDORES</t>
  </si>
  <si>
    <t>01010088000000</t>
  </si>
  <si>
    <t>01010089000000</t>
  </si>
  <si>
    <t>01010090000000</t>
  </si>
  <si>
    <t>TOTAL DE PROVEEDORES</t>
  </si>
  <si>
    <t>CONTRIBUCIONES POR PAGAR</t>
  </si>
  <si>
    <t>01010091000000</t>
  </si>
  <si>
    <t>IMPUESTO SOBRE LA RENTA</t>
  </si>
  <si>
    <t>01010092000000</t>
  </si>
  <si>
    <t>IMPUESTO AL ACTIVO</t>
  </si>
  <si>
    <t>01010093000000</t>
  </si>
  <si>
    <t>01010094000000</t>
  </si>
  <si>
    <t>IMPUESTO EMPRESARIAL A TASA UNICA</t>
  </si>
  <si>
    <t>01010095000000</t>
  </si>
  <si>
    <t>IMPUESTO ESPECIAL SOBRE PRODUCCION Y SERVICIOS</t>
  </si>
  <si>
    <t>01010096000000</t>
  </si>
  <si>
    <t>IMPUESTO SOBRE AUTOMOVILES NUEVOS</t>
  </si>
  <si>
    <t>01010097000000</t>
  </si>
  <si>
    <t>IMPUESTOS LOCALES</t>
  </si>
  <si>
    <t>01010098000000</t>
  </si>
  <si>
    <t>CUOTAS PATRONALES SEGURO SOCIAL</t>
  </si>
  <si>
    <t>01010099000000</t>
  </si>
  <si>
    <t>CUOTAS OBRERAS SEGURO SOCIAL</t>
  </si>
  <si>
    <t>01010100000000</t>
  </si>
  <si>
    <t>APORTACIONES AL INFONAVIT</t>
  </si>
  <si>
    <t>01010101000000</t>
  </si>
  <si>
    <t>APORTACIONES AL SAR</t>
  </si>
  <si>
    <t>01010102000000</t>
  </si>
  <si>
    <t>IMPUESTO A LOS DEPOSITOS EN EFECTIVO</t>
  </si>
  <si>
    <t>01010103000000</t>
  </si>
  <si>
    <t>OTROS IMPUESTOS Y CONTRIBUCIONES</t>
  </si>
  <si>
    <t>01010104000000</t>
  </si>
  <si>
    <t>TOTAL DE CONTRIBUCIONES POR PAGAR</t>
  </si>
  <si>
    <t>OTROS PASIVOS</t>
  </si>
  <si>
    <t>01010105000000</t>
  </si>
  <si>
    <t>IMPUESTO AL VALOR AGREGADO NO COBRADO</t>
  </si>
  <si>
    <t>01010106000000</t>
  </si>
  <si>
    <t>PARTICIPACION DE LOS TRABAJADORES EN LAS UTILIDADES</t>
  </si>
  <si>
    <t>01010107000000</t>
  </si>
  <si>
    <t>ANTICIPOS DE CLIENTES NACIONALES</t>
  </si>
  <si>
    <t>01010108000000</t>
  </si>
  <si>
    <t>ANTICIPOS DE CLIENTES EXTRANJEROS</t>
  </si>
  <si>
    <t>01010109000000</t>
  </si>
  <si>
    <t>PARTES RELACIONADAS NACIONALES</t>
  </si>
  <si>
    <t>01010110000000</t>
  </si>
  <si>
    <t>PARTES RELACIONADAS EXTRANJERAS</t>
  </si>
  <si>
    <t>01010111000000</t>
  </si>
  <si>
    <t>INGRESOS POR REALIZAR</t>
  </si>
  <si>
    <t>01010112000000</t>
  </si>
  <si>
    <t>OTROS NACIONALES</t>
  </si>
  <si>
    <t>01010113000000</t>
  </si>
  <si>
    <t>OTROS DEL EXTRANJERO</t>
  </si>
  <si>
    <t>01010114000000</t>
  </si>
  <si>
    <t>TOTAL DE OTROS PASIVOS</t>
  </si>
  <si>
    <t>01010115000000</t>
  </si>
  <si>
    <t>PORCION CIRCULANTE DEL PASIVO A LARGO PLAZO</t>
  </si>
  <si>
    <t>01010116000000</t>
  </si>
  <si>
    <t>TOTAL DEL PASIVO A CORTO PLAZO</t>
  </si>
  <si>
    <t>PASIVO A LARGO PLAZO</t>
  </si>
  <si>
    <t>DEUDAS A LARGO PLAZO</t>
  </si>
  <si>
    <t>01010117000000</t>
  </si>
  <si>
    <t>DOCUMENTOS POR PAGAR NACIONALES</t>
  </si>
  <si>
    <t>01010118000000</t>
  </si>
  <si>
    <t>DOCUMENTOS POR PAGAR CON EL EXTRANJERO</t>
  </si>
  <si>
    <t>01010119000000</t>
  </si>
  <si>
    <t>01010120000000</t>
  </si>
  <si>
    <t>01010121000000</t>
  </si>
  <si>
    <t>TOTAL DE DEUDAS A LARGO PLAZO</t>
  </si>
  <si>
    <t>01010122000000</t>
  </si>
  <si>
    <t>BENEFICIO A EMPLEADOS</t>
  </si>
  <si>
    <t>01010123000000</t>
  </si>
  <si>
    <t>RENTAS COBRADAS POR ANTICIPADO</t>
  </si>
  <si>
    <t>01010124000000</t>
  </si>
  <si>
    <t>01010125000000</t>
  </si>
  <si>
    <t>01010126000000</t>
  </si>
  <si>
    <t>01010127000000</t>
  </si>
  <si>
    <t>01010128000000</t>
  </si>
  <si>
    <t>TOTAL DE PASIVO A LARGO PLAZO</t>
  </si>
  <si>
    <t>01010129000000</t>
  </si>
  <si>
    <t>TOTAL DEL PASIVO</t>
  </si>
  <si>
    <t>CAPITAL CONTABLE</t>
  </si>
  <si>
    <t>01010130000000</t>
  </si>
  <si>
    <t>CAPITAL SOCIAL PROVENIENTE DE APORTACIONES</t>
  </si>
  <si>
    <t>01010131000000</t>
  </si>
  <si>
    <t>01010132000000</t>
  </si>
  <si>
    <t>APORTACIONES PARA FUTUROS AUMENTOS DE CAPITAL</t>
  </si>
  <si>
    <t>01010133000000</t>
  </si>
  <si>
    <t>01010134000000</t>
  </si>
  <si>
    <t>RESERVA LEGAL</t>
  </si>
  <si>
    <t>01010135000000</t>
  </si>
  <si>
    <t>01010136000000</t>
  </si>
  <si>
    <t>PERDIDA NETA</t>
  </si>
  <si>
    <t>01010137000000</t>
  </si>
  <si>
    <t>UTILIDADES RETENIDAS DE EJERCICIOS ANTERIORES</t>
  </si>
  <si>
    <t>01010138000000</t>
  </si>
  <si>
    <t>PERDIDAS ACUMULADAS DE EJERCICIOS ANTERIORES</t>
  </si>
  <si>
    <t>01010139000000</t>
  </si>
  <si>
    <t>OTROS RESULTADOS INTEGRALES (DEUDOR) SIN EFECTO FISCAL</t>
  </si>
  <si>
    <t>01010140000000</t>
  </si>
  <si>
    <t>OTROS RESULTADOS INTEGRALES (DEUDOR) CON EFECTO FISCAL</t>
  </si>
  <si>
    <t>01010141000000</t>
  </si>
  <si>
    <t>OTROS RESULTADOS INTEGRALES (ACREEDOR) SIN EFECTO FISCAL</t>
  </si>
  <si>
    <t>01010142000000</t>
  </si>
  <si>
    <t>OTROS RESULTADOS INTEGRALES (ACREEDOR) CON EFECTO FISCAL</t>
  </si>
  <si>
    <t>01010143000000</t>
  </si>
  <si>
    <t>EXCESO EN LA ACTUALIZACION DEL CAPITAL CONTABLE</t>
  </si>
  <si>
    <t>01010144000000</t>
  </si>
  <si>
    <t>INSUFICIENCIA EN LA ACTUALIZACION DEL CAPITAL CONTABLE</t>
  </si>
  <si>
    <t>01010145000000</t>
  </si>
  <si>
    <t>01010146000000</t>
  </si>
  <si>
    <t>OTRAS CUENTAS DE CAPITAL ACREEDORAS</t>
  </si>
  <si>
    <t>01010147000000</t>
  </si>
  <si>
    <t>OTRAS CUENTAS DE CAPITAL DEUDORAS</t>
  </si>
  <si>
    <t>01010148000000</t>
  </si>
  <si>
    <t>TOTAL DEL CAPITAL CONTABLE</t>
  </si>
  <si>
    <t>01010149000000</t>
  </si>
  <si>
    <t>TOTAL DEL PASIVO Y DEL CAPITAL CONTABLE</t>
  </si>
  <si>
    <t>LAS NOTAS ADJUNTAS SON PARTE INTEGRANTE DE ESTE ESTADO FINANCIERO</t>
  </si>
  <si>
    <t>TOTAL  2016</t>
  </si>
  <si>
    <t>PARTES _x000D_
RELACIONADAS _x000D_
2016</t>
  </si>
  <si>
    <t>01020000000000</t>
  </si>
  <si>
    <t>TOTAL DE VENTAS O INGRESOS NETOS</t>
  </si>
  <si>
    <t>MENOS:</t>
  </si>
  <si>
    <t>01020001000000</t>
  </si>
  <si>
    <t>COSTO DE VENTAS</t>
  </si>
  <si>
    <t>01020002000000</t>
  </si>
  <si>
    <t>PERDIDA BRUTA</t>
  </si>
  <si>
    <t>01020003000000</t>
  </si>
  <si>
    <t>UTILIDAD BRUTA</t>
  </si>
  <si>
    <t>GASTOS DE OPERACION</t>
  </si>
  <si>
    <t>01020004000000</t>
  </si>
  <si>
    <t>GASTOS GENERALES</t>
  </si>
  <si>
    <t>01020005000000</t>
  </si>
  <si>
    <t>GASTOS DE ADMINISTRACION</t>
  </si>
  <si>
    <t>01020006000000</t>
  </si>
  <si>
    <t>GASTOS DE VENTA</t>
  </si>
  <si>
    <t>01020007000000</t>
  </si>
  <si>
    <t>TOTAL</t>
  </si>
  <si>
    <t>01020008000000</t>
  </si>
  <si>
    <t>PERDIDA DE OPERACION</t>
  </si>
  <si>
    <t>01020009000000</t>
  </si>
  <si>
    <t>UTILIDAD DE OPERACIÓN</t>
  </si>
  <si>
    <t>MAS (MENOS):</t>
  </si>
  <si>
    <t>OTROS INGRESOS (GASTOS)</t>
  </si>
  <si>
    <t>01020010000000</t>
  </si>
  <si>
    <t>REVERSION DEL DETERIORO DEL CREDITO MERCANTIL</t>
  </si>
  <si>
    <t>01020011000000</t>
  </si>
  <si>
    <t>REVERSION DEL DETERIORO DE LOS DEMAS ACTIVOS DE LARGA DURACION</t>
  </si>
  <si>
    <t>01020012000000</t>
  </si>
  <si>
    <t>OPERACIONES DISCONTINUADAS FAVORABLES</t>
  </si>
  <si>
    <t>01020013000000</t>
  </si>
  <si>
    <t>OPERACIONES DISCONTINUADAS DESFAVORABLES</t>
  </si>
  <si>
    <t>01020014000000</t>
  </si>
  <si>
    <t>TOTAL OTROS INGRESOS (GASTOS), NETO</t>
  </si>
  <si>
    <t>RESULTADO INTEGRAL DE FINANCIAMIENTO</t>
  </si>
  <si>
    <t>01020015000000</t>
  </si>
  <si>
    <t>INTERESES A FAVOR</t>
  </si>
  <si>
    <t>01020016000000</t>
  </si>
  <si>
    <t>INTERESES A CARGO</t>
  </si>
  <si>
    <t>01020017000000</t>
  </si>
  <si>
    <t>UTILIDAD CAMBIARIA</t>
  </si>
  <si>
    <t>01020018000000</t>
  </si>
  <si>
    <t>PERDIDA CAMBIARIA</t>
  </si>
  <si>
    <t>01020019000000</t>
  </si>
  <si>
    <t>RESULTADO POR POSICION MONETARIA FAVORABLE</t>
  </si>
  <si>
    <t>01020020000000</t>
  </si>
  <si>
    <t>RESULTADO POR POSICION MONETARIA DESFAVORABLE</t>
  </si>
  <si>
    <t>01020021000000</t>
  </si>
  <si>
    <t>CAMBIOS EN EL VALOR RAZONABLE DE ACTIVOS Y PASIVOS FINANCIEROS DEUDOR</t>
  </si>
  <si>
    <t>01020022000000</t>
  </si>
  <si>
    <t>CAMBIOS EN EL VALOR RAZONABLE DE ACTIVOS Y PASIVOS FINANCIEROS ACREEDOR</t>
  </si>
  <si>
    <t>01020023000000</t>
  </si>
  <si>
    <t>OTROS CONCEPTOS FINANCIEROS A FAVOR</t>
  </si>
  <si>
    <t>01020024000000</t>
  </si>
  <si>
    <t>OTROS CONCEPTOS FINANCIEROS A CARGO</t>
  </si>
  <si>
    <t>01020025000000</t>
  </si>
  <si>
    <t>PARTICIPACION EN LA UTILIDAD O PERDIDA NETA DE OTRAS ENTIDADES</t>
  </si>
  <si>
    <t>01020026000000</t>
  </si>
  <si>
    <t>PERDIDA NETA POR PARTICIPACION EN LOS RESULTADOS DE SUBSIDIARIAS NO CONSOLIDADAS, ASOCIADAS Y NEGOCIOS CONJUNTOS.</t>
  </si>
  <si>
    <t>01020027000000</t>
  </si>
  <si>
    <t>UTILIDAD NETA POR PARTICIPACION EN LOS RESULTADOS DE SUBSIDIARIAS NO CONSOLIDADAS, ASOCIADAS Y NEGOCIOS CONJUNTOS.</t>
  </si>
  <si>
    <t>01020028000000</t>
  </si>
  <si>
    <t>PERDIDA ANTES DE IMPUESTOS A LA UTILIDAD</t>
  </si>
  <si>
    <t>01020029000000</t>
  </si>
  <si>
    <t>UTILIDAD ANTES DE IMPUESTOS A LA UTILIDAD</t>
  </si>
  <si>
    <t>IMPUESTOS A LA UTILIDAD</t>
  </si>
  <si>
    <t>01020030000000</t>
  </si>
  <si>
    <t>01020031000000</t>
  </si>
  <si>
    <t>01020032000000</t>
  </si>
  <si>
    <t>OTRAS PROVISIONES</t>
  </si>
  <si>
    <t>01020033000000</t>
  </si>
  <si>
    <t>01020034000000</t>
  </si>
  <si>
    <t>01020035000000</t>
  </si>
  <si>
    <t>UTILIDAD NETA</t>
  </si>
  <si>
    <t>OTROS RESULTADOS INTEGRALES</t>
  </si>
  <si>
    <t>01020036000000</t>
  </si>
  <si>
    <t>01020037000000</t>
  </si>
  <si>
    <t>01020038000000</t>
  </si>
  <si>
    <t>RESULTADO NO REALIZADO EN Y/O SOBRE INSTRUMENTOS FINANCIEROS FAVORABLE</t>
  </si>
  <si>
    <t>01020039000000</t>
  </si>
  <si>
    <t>RESULTADO NO REALIZADO EN Y/O SOBRE INSTRUMENTOS FINANCIEROS DESFAVORABLE</t>
  </si>
  <si>
    <t>01020040000000</t>
  </si>
  <si>
    <t>VALUACION DE COBERTURAS DE FLUJO DE EFECTIVO Y/O INSTRUMENTOS FINANCIEROS FAVORABLE</t>
  </si>
  <si>
    <t>01020041000000</t>
  </si>
  <si>
    <t>VALUACION DE COBERTURAS DE FLUJO DE EFECTIVO Y/O INSTRUMENTOS FINANCIEROS DESFAVORABLE</t>
  </si>
  <si>
    <t>01020042000000</t>
  </si>
  <si>
    <t>01020043000000</t>
  </si>
  <si>
    <t>01020044000000</t>
  </si>
  <si>
    <t>IMPUESTOS A LA UTILIDAD DE OTROS RESULTADOS INTEGRALES</t>
  </si>
  <si>
    <t>01020045000000</t>
  </si>
  <si>
    <t>PTU DE OTROS RESULTADOS INTEGRALES</t>
  </si>
  <si>
    <t>01020046000000</t>
  </si>
  <si>
    <t>01020047000000</t>
  </si>
  <si>
    <t>SUMA DE OTROS RESULTADOS INTEGRALES</t>
  </si>
  <si>
    <t>01020048000000</t>
  </si>
  <si>
    <t>RESULTADO INTEGRAL DEUDOR</t>
  </si>
  <si>
    <t>01020049000000</t>
  </si>
  <si>
    <t>RESULTADO INTEGRAL ACREEDOR</t>
  </si>
  <si>
    <t>01020050000000</t>
  </si>
  <si>
    <t xml:space="preserve">CAPITAL SOCIAL:
PROVENIENTE DE APORTACIONES </t>
  </si>
  <si>
    <t>CAPITAL SOCIAL:
PROVENIENTE  DE CAPITALIZACION</t>
  </si>
  <si>
    <t xml:space="preserve">APORTACIONES        PARA FUTUROS AUMENTOS
DE CAPITAL
</t>
  </si>
  <si>
    <t>PRIMA EN       SUSCRIPCION                 DE ACCIONES</t>
  </si>
  <si>
    <t xml:space="preserve">RESERVA
LEGAL
</t>
  </si>
  <si>
    <t xml:space="preserve">UTILIDAD
NETA
</t>
  </si>
  <si>
    <t xml:space="preserve">PERDIDA
NETA
</t>
  </si>
  <si>
    <t>UTILIDADES   RETENIDAS_x000D_
DE EJERCICIOS_x000D_
ANTERIORES</t>
  </si>
  <si>
    <t>PERDIDAS_x000D_
ACUMULADAS_x000D_
DE EJERCICIOS _x000D_
ANTERIORES</t>
  </si>
  <si>
    <t>OTROS         RESULTADOS INTEGRALES 
(DEUDOR)                      SIN EFECTO             FISCAL</t>
  </si>
  <si>
    <t>OTROS         RESULTADOS INTEGRALES _x000D_
(DEUDOR)_x000D_
CON EFECTO _x000D_
FISCAL</t>
  </si>
  <si>
    <t>OTROS           RESULTADOS INTEGRALES  (ACREEDOR)                 SIN EFECTO             FISCAL</t>
  </si>
  <si>
    <t>OTROS         RESULTADOS INTEGRALES (ACREEDOR)_x000D_
CON EFECTO _x000D_
FISCAL</t>
  </si>
  <si>
    <t xml:space="preserve">EXCESO EN LA       ACTUALIZACION DEL CAPITAL           CONTABLE
</t>
  </si>
  <si>
    <t>INSUFICIENCIA _x000D_
EN LA _x000D_
ACTUALIZACION _x000D_
DEL CAPITAL _x000D_
CONTABLE</t>
  </si>
  <si>
    <t xml:space="preserve">RESULTADO                  POR TENENCIA               DE _x000D_ACTIVOS                 NO MONETARIOS_x000D_
</t>
  </si>
  <si>
    <t xml:space="preserve">OTRAS                CUENTAS _x000D_
DE CAPITAL ACREEDORAS_x000D_
</t>
  </si>
  <si>
    <t xml:space="preserve">OTRAS                CUENTAS
DE CAPITAL 
DEUDORAS
</t>
  </si>
  <si>
    <t>TOTAL                          DEL CAPITAL     CONTABLE</t>
  </si>
  <si>
    <t>01030000000000</t>
  </si>
  <si>
    <t>01030001000000</t>
  </si>
  <si>
    <t>AJUSTE POR APLICACIÓN RETROSPECTIVA POR CAMBIOS CONTABLES Y CORRECCIONES DE ERRORES</t>
  </si>
  <si>
    <t>01030002000000</t>
  </si>
  <si>
    <t>01030003000000</t>
  </si>
  <si>
    <t>01030004000000</t>
  </si>
  <si>
    <t>AUMENTO O DISMINUCION DEL CAPITAL SOCIAL</t>
  </si>
  <si>
    <t>01030005000000</t>
  </si>
  <si>
    <t>DIVIDENDOS PAGADOS</t>
  </si>
  <si>
    <t>01030006000000</t>
  </si>
  <si>
    <t>01030007000000</t>
  </si>
  <si>
    <t>01030008000000</t>
  </si>
  <si>
    <t>RESULTADO POR TENENCIA DE ACTIVOS NO MONETARIOS</t>
  </si>
  <si>
    <t>01030009000000</t>
  </si>
  <si>
    <t>RECOMPRA DE ACCIONES</t>
  </si>
  <si>
    <t>01030010000000</t>
  </si>
  <si>
    <t>EFECTO DE VALUACION DE EJERCICIO DE INSTRUMENTOS FINANCIEROS</t>
  </si>
  <si>
    <t>01030011000000</t>
  </si>
  <si>
    <t>EFECTO DE CONVERSION DEL EJERCICIO DE OPERACIONES EXTRANJERAS</t>
  </si>
  <si>
    <t>01030012000000</t>
  </si>
  <si>
    <t>01030013000000</t>
  </si>
  <si>
    <t>01030014000000</t>
  </si>
  <si>
    <t>01030015000000</t>
  </si>
  <si>
    <t>01030016000000</t>
  </si>
  <si>
    <t>01030017000000</t>
  </si>
  <si>
    <t>01030018000000</t>
  </si>
  <si>
    <t>01030019000000</t>
  </si>
  <si>
    <t>01030020000000</t>
  </si>
  <si>
    <t>01030021000000</t>
  </si>
  <si>
    <t>01030022000000</t>
  </si>
  <si>
    <t>01030023000000</t>
  </si>
  <si>
    <t>01030024000000</t>
  </si>
  <si>
    <t>01030025000000</t>
  </si>
  <si>
    <t>01030026000000</t>
  </si>
  <si>
    <t>01030027000000</t>
  </si>
  <si>
    <t>01030028000000</t>
  </si>
  <si>
    <t>01030029000000</t>
  </si>
  <si>
    <t>01030030000000</t>
  </si>
  <si>
    <t>01030031000000</t>
  </si>
  <si>
    <t>01030032000000</t>
  </si>
  <si>
    <t>01030033000000</t>
  </si>
  <si>
    <t>EFECTO DE VALUACION DEL EJERCICIO DE INSTRUMENTOS FINANCIEROS</t>
  </si>
  <si>
    <t>01030034000000</t>
  </si>
  <si>
    <t>01030035000000</t>
  </si>
  <si>
    <t>01030036000000</t>
  </si>
  <si>
    <t>01030037000000</t>
  </si>
  <si>
    <t>01030038000000</t>
  </si>
  <si>
    <t>01030039000000</t>
  </si>
  <si>
    <t>01030040000000</t>
  </si>
  <si>
    <t>01030041000000</t>
  </si>
  <si>
    <t>01030042000000</t>
  </si>
  <si>
    <t>01030043000000</t>
  </si>
  <si>
    <t>01030044000000</t>
  </si>
  <si>
    <t>01030045000000</t>
  </si>
  <si>
    <t>01030046000000</t>
  </si>
  <si>
    <t>ACTIVIDADES DE OPERACION</t>
  </si>
  <si>
    <t>01040000000000</t>
  </si>
  <si>
    <t>01040001000000</t>
  </si>
  <si>
    <t>PARTIDAS RELACIONADAS CON ACTIVIDADES DE INVERSION</t>
  </si>
  <si>
    <t>01040002000000</t>
  </si>
  <si>
    <t>DEPRECIACIONES Y AMORTIZACIONES</t>
  </si>
  <si>
    <t>01040003000000</t>
  </si>
  <si>
    <t>PERDIDA POR DETERIORO DE ACTIVOS</t>
  </si>
  <si>
    <t>01040004000000</t>
  </si>
  <si>
    <t>UTILIDAD POR VENTA DE ACTIVO FIJO Y TERRENO</t>
  </si>
  <si>
    <t>01040005000000</t>
  </si>
  <si>
    <t>01040006000000</t>
  </si>
  <si>
    <t>DIVIDENDOS COBRADOS</t>
  </si>
  <si>
    <t>01040007000000</t>
  </si>
  <si>
    <t>OTRAS PARTIDAS RELACIONADAS CON ACTIVIDADES DE INVERSION</t>
  </si>
  <si>
    <t>01040008000000</t>
  </si>
  <si>
    <t>SUMA DE PARTIDAS RELACIONADAS CON ACTIVIDADES DE INVERSION</t>
  </si>
  <si>
    <t>PARTIDAS RELACIONADAS CON ACTIVIDADES DE FINANCIAMIENTO</t>
  </si>
  <si>
    <t>01040009000000</t>
  </si>
  <si>
    <t>01040010000000</t>
  </si>
  <si>
    <t>OTRAS PARTIDAS RELACIONADAS CON ACTIVIDADES DE FINANCIAMIENTO</t>
  </si>
  <si>
    <t>01040011000000</t>
  </si>
  <si>
    <t>SUMA DE PARTIDAS RELACIONADAS CON ACTIVIDADES DE FINANCIAMIENTO</t>
  </si>
  <si>
    <t>01040012000000</t>
  </si>
  <si>
    <t>INCREMENTO EN CUENTAS POR COBRAR Y OTROS</t>
  </si>
  <si>
    <t>01040013000000</t>
  </si>
  <si>
    <t>DISMINUCION EN INVENTARIOS</t>
  </si>
  <si>
    <t>01040014000000</t>
  </si>
  <si>
    <t>DISMINUCION EN PROVEEDORES</t>
  </si>
  <si>
    <t>01040015000000</t>
  </si>
  <si>
    <t>IMPUESTO SOBRE LA RENTA PAGADO</t>
  </si>
  <si>
    <t>01040016000000</t>
  </si>
  <si>
    <t>IMPUESTO EMPRESARIAL A TASA UNICA PAGADO</t>
  </si>
  <si>
    <t>01040017000000</t>
  </si>
  <si>
    <t>OTRAS PARTIDAS</t>
  </si>
  <si>
    <t>01040018000000</t>
  </si>
  <si>
    <t>FLUJOS NETOS DE EFECTIVO DE ACTIVIDADES DE OPERACION</t>
  </si>
  <si>
    <t xml:space="preserve">ACTIVIDADES DE INVERSION </t>
  </si>
  <si>
    <t>01040019000000</t>
  </si>
  <si>
    <t>NEGOCIO ADQUIRIDO (CREDITO MERCANTIL Y/O COMERCIAL)</t>
  </si>
  <si>
    <t>01040020000000</t>
  </si>
  <si>
    <t>INTERESES COBRADOS</t>
  </si>
  <si>
    <t>01040021000000</t>
  </si>
  <si>
    <t>01040022000000</t>
  </si>
  <si>
    <t>ADQUISICION DE ACTIVO FIJO Y TERRENO</t>
  </si>
  <si>
    <t>01040023000000</t>
  </si>
  <si>
    <t>COBROS POR VENTA DE ACTIVO FIJO Y TERRENO</t>
  </si>
  <si>
    <t>01040024000000</t>
  </si>
  <si>
    <t>ADQUISICION DE ACCIONES</t>
  </si>
  <si>
    <t>01040025000000</t>
  </si>
  <si>
    <t>ADQUISION DE ACTIVOS INTANGIBLES</t>
  </si>
  <si>
    <t>01040026000000</t>
  </si>
  <si>
    <t>ADQUISICION DE OTROS ACTIVOS</t>
  </si>
  <si>
    <t>01040027000000</t>
  </si>
  <si>
    <t>01040028000000</t>
  </si>
  <si>
    <t>FLUJOS NETOS DE EFECTIVO DE ACTIVIDADES DE INVERSION</t>
  </si>
  <si>
    <t>01040029000000</t>
  </si>
  <si>
    <t>EFECTIVO EXCEDENTE PARA APLICAR EN ACTIVIDADES DE FINANCIAMIENTO (RESULTADO POSITIVO)</t>
  </si>
  <si>
    <t>01040030000000</t>
  </si>
  <si>
    <t>EFECTIVO A OBTENER DE ACTIVIDADES DE FINANCIAMIENTO (RESULTADO NEGATIVO)</t>
  </si>
  <si>
    <t>ACTIVIDADES DE FINANCIAMIENTO</t>
  </si>
  <si>
    <t>01040031000000</t>
  </si>
  <si>
    <t>ENTRADA DE EFECTIVO POR EMISION DE CAPITAL</t>
  </si>
  <si>
    <t>01040032000000</t>
  </si>
  <si>
    <t>ENTRADA DE EFECTIVO POR APORTACIONES PARA FUTUROS AUMENTOS DE CAPITAL</t>
  </si>
  <si>
    <t>01040033000000</t>
  </si>
  <si>
    <t>OBTENCION DE PRESTAMOS CON PARTES RELACIONADAS</t>
  </si>
  <si>
    <t>01040034000000</t>
  </si>
  <si>
    <t>OBTENCION DE PRESTAMOS CON PARTES NO RELACIONADAS</t>
  </si>
  <si>
    <t>01040035000000</t>
  </si>
  <si>
    <t>01040036000000</t>
  </si>
  <si>
    <t>PAGO DE PRESTAMOS CON PARTES RELACIONADAS</t>
  </si>
  <si>
    <t>01040037000000</t>
  </si>
  <si>
    <t>PAGO DE PRESTAMOS CON PARTES NO RELACIONADAS</t>
  </si>
  <si>
    <t>01040038000000</t>
  </si>
  <si>
    <t>PAGO DE PASIVOS DERIVADOS DE ARRENDAMIENTO FINANCIERO</t>
  </si>
  <si>
    <t>01040039000000</t>
  </si>
  <si>
    <t>INTERESES PAGADOS</t>
  </si>
  <si>
    <t>01040040000000</t>
  </si>
  <si>
    <t>PAGO DE DIVIDENDOS</t>
  </si>
  <si>
    <t>01040041000000</t>
  </si>
  <si>
    <t>EMISION DE DEUDA</t>
  </si>
  <si>
    <t>01040042000000</t>
  </si>
  <si>
    <t>01040043000000</t>
  </si>
  <si>
    <t>FLUJOS NETOS DE EFECTIVO DE ACTIVIDADES DE FINANCIAMIENTO</t>
  </si>
  <si>
    <t>01040044000000</t>
  </si>
  <si>
    <t>INCREMENTO NETO DE EFECTIVO Y DEMAS EQUIVALENTES DE EFECTIVO</t>
  </si>
  <si>
    <t>EFECTOS POR CAMBIOS EN EL VALOR DEL EFECTIVO</t>
  </si>
  <si>
    <t>01040045000000</t>
  </si>
  <si>
    <t>01040046000000</t>
  </si>
  <si>
    <t>01040047000000</t>
  </si>
  <si>
    <t>OTROS EFECTOS POR CAMBIOS EN EL VALOR DEL EFECTIVO</t>
  </si>
  <si>
    <t>01040048000000</t>
  </si>
  <si>
    <t>TOTAL DE EFECTOS POR CAMBIOS EN EL VALOR DEL EFECTIVO</t>
  </si>
  <si>
    <t>01040049000000</t>
  </si>
  <si>
    <t>EFECTIVO AL PRINCIPIO DEL PERIODO</t>
  </si>
  <si>
    <t>01040050000000</t>
  </si>
  <si>
    <t>EFECTIVO AL FINAL DEL PERIODO</t>
  </si>
  <si>
    <t>CONFORME AL METODO DIRECTO</t>
  </si>
  <si>
    <t>01040051000000</t>
  </si>
  <si>
    <t>COBRO A CLIENTES</t>
  </si>
  <si>
    <t>01040052000000</t>
  </si>
  <si>
    <t>PAGOS A PROVEEDORES</t>
  </si>
  <si>
    <t>01040053000000</t>
  </si>
  <si>
    <t>PAGO A EMPLEADOS Y OTROS PROVEEDORES DE BIENES Y SERVICIOS</t>
  </si>
  <si>
    <t>01040054000000</t>
  </si>
  <si>
    <t>01040055000000</t>
  </si>
  <si>
    <t>01040056000000</t>
  </si>
  <si>
    <t>OTRAS ACTIVIDADES DE OPERACION</t>
  </si>
  <si>
    <t>01040057000000</t>
  </si>
  <si>
    <t>FLUJOS NETOS DE EFECTIVO DE ACTIVIDADES DE OPERACIÓN</t>
  </si>
  <si>
    <t>ACTIVIDADES DE INVERSION</t>
  </si>
  <si>
    <t>01040058000000</t>
  </si>
  <si>
    <t>01040059000000</t>
  </si>
  <si>
    <t>01040060000000</t>
  </si>
  <si>
    <t>01040061000000</t>
  </si>
  <si>
    <t>01040062000000</t>
  </si>
  <si>
    <t>01040063000000</t>
  </si>
  <si>
    <t>01040064000000</t>
  </si>
  <si>
    <t>ADQUISICION DE ACTIVOS INTANGIBLES</t>
  </si>
  <si>
    <t>01040065000000</t>
  </si>
  <si>
    <t>01040066000000</t>
  </si>
  <si>
    <t>01040067000000</t>
  </si>
  <si>
    <t>01040068000000</t>
  </si>
  <si>
    <t>EFECTIVO EXCEDENTE PARA APLICAR EN ACTIVIDADES DE FINANCIAMIENTO (RESULTADO POSITIVO).</t>
  </si>
  <si>
    <t>01040069000000</t>
  </si>
  <si>
    <t>01040070000000</t>
  </si>
  <si>
    <t>01040071000000</t>
  </si>
  <si>
    <t>01040072000000</t>
  </si>
  <si>
    <t>01040073000000</t>
  </si>
  <si>
    <t>01040074000000</t>
  </si>
  <si>
    <t>01040075000000</t>
  </si>
  <si>
    <t>01040076000000</t>
  </si>
  <si>
    <t>01040077000000</t>
  </si>
  <si>
    <t>01040078000000</t>
  </si>
  <si>
    <t>01040079000000</t>
  </si>
  <si>
    <t>01040080000000</t>
  </si>
  <si>
    <t>01040081000000</t>
  </si>
  <si>
    <t>01040082000000</t>
  </si>
  <si>
    <t>01040083000000</t>
  </si>
  <si>
    <t>01040084000000</t>
  </si>
  <si>
    <t>EFECTOS POR CAMBIOS EN EL VALOR DEL EFECTIVO POR CONVERSION DE LOS SALDOS Y FLUJOS DE EFECTIVO DE SUS OPERACIONES EXTRANJERAS, A LA MONEDA DE INFORME</t>
  </si>
  <si>
    <t>01040085000000</t>
  </si>
  <si>
    <t>01040086000000</t>
  </si>
  <si>
    <t>01040087000000</t>
  </si>
  <si>
    <t>01040088000000</t>
  </si>
  <si>
    <t>01040089000000</t>
  </si>
  <si>
    <t>PORCENTAJE _x000D_
EN RELACION _x000D_
CON EL TOTAL _x000D_
DE VENTAS                      O INGRESOS _x000D_
NETOS_x000D_
ACTUALIZADO_x000D_
(AÑO ACTUAL)</t>
  </si>
  <si>
    <t>PORCENTAJE _x000D_
EN RELACION _x000D_
CON EL TOTAL _x000D_
DE VENTAS                      O INGRESOS _x000D_
NETOS_x000D_
ACTUALIZADO_x000D_
(AÑO ANTERIOR)</t>
  </si>
  <si>
    <t>VARIACION _x000D_
EN PESOS          RESPECTO AL _x000D_
AÑO ANTERIOR</t>
  </si>
  <si>
    <t>EXPLICAR          VARIACION</t>
  </si>
  <si>
    <t>01050000000000</t>
  </si>
  <si>
    <t>VENTAS TOTALES A NACIONALES DE INVENTARIOS PRODUCIDOS</t>
  </si>
  <si>
    <t>01050001000000</t>
  </si>
  <si>
    <t>01050002000000</t>
  </si>
  <si>
    <t>TOTAL DE VENTAS DE INVENTARIOS PRODUCIDOS</t>
  </si>
  <si>
    <t>01050003000000</t>
  </si>
  <si>
    <t>VENTAS TOTALES A NACIONALES DE INVENTARIOS ADQUIRIDOS PARA SU DISTRIBUCION</t>
  </si>
  <si>
    <t>01050004000000</t>
  </si>
  <si>
    <t>01050005000000</t>
  </si>
  <si>
    <t>TOTAL DE VENTAS DE INVENTARIOS PARA SU DISTRIBUCION</t>
  </si>
  <si>
    <t>01050006000000</t>
  </si>
  <si>
    <t>DEVOLUCIONES, REBAJAS Y BONIFICACIONES SOBRE VENTAS NACIONALES</t>
  </si>
  <si>
    <t>01050007000000</t>
  </si>
  <si>
    <t>DEVOLUCIONES, REBAJAS Y BONIFICACIONES SOBRE VENTAS AL EXTRANJERO</t>
  </si>
  <si>
    <t>01050008000000</t>
  </si>
  <si>
    <t>VENTAS NETAS</t>
  </si>
  <si>
    <t>INGRESOS NETOS POR:</t>
  </si>
  <si>
    <t>01050009000000</t>
  </si>
  <si>
    <t>SERVICIOS EN GENERAL</t>
  </si>
  <si>
    <t>01050010000000</t>
  </si>
  <si>
    <t>MAQUILA</t>
  </si>
  <si>
    <t>01050011000000</t>
  </si>
  <si>
    <t>SERVICIOS ADMINISTRATIVOS</t>
  </si>
  <si>
    <t>01050012000000</t>
  </si>
  <si>
    <t>SEGUROS Y REASEGUROS</t>
  </si>
  <si>
    <t>01050013000000</t>
  </si>
  <si>
    <t>COMISIONES</t>
  </si>
  <si>
    <t>01050014000000</t>
  </si>
  <si>
    <t>REGALIAS</t>
  </si>
  <si>
    <t>01050015000000</t>
  </si>
  <si>
    <t>ASISTENCIA TECNICA</t>
  </si>
  <si>
    <t>01050016000000</t>
  </si>
  <si>
    <t>ARRENDAMIENTO</t>
  </si>
  <si>
    <t>01050017000000</t>
  </si>
  <si>
    <t>GANANCIA EN ENAJENACION DE ACCIONES</t>
  </si>
  <si>
    <t>01050018000000</t>
  </si>
  <si>
    <t>01050019000000</t>
  </si>
  <si>
    <t>01050020000000</t>
  </si>
  <si>
    <t>RECUPERACION DE CUENTAS INCOBRABLES</t>
  </si>
  <si>
    <t>01050021000000</t>
  </si>
  <si>
    <t>RECUPERACION POR SEGUROS</t>
  </si>
  <si>
    <t>01050022000000</t>
  </si>
  <si>
    <t>DIVIDENDOS PROVENIENTES DE RESIDENTES EN EL PAIS</t>
  </si>
  <si>
    <t>01050023000000</t>
  </si>
  <si>
    <t>DIVIDENDOS PROVENIENTES DE RESIDENTES EN EL EXTRANJERO</t>
  </si>
  <si>
    <t>01050024000000</t>
  </si>
  <si>
    <t>01050025000000</t>
  </si>
  <si>
    <t>TOTAL DE INGRESOS NETOS</t>
  </si>
  <si>
    <t>01050026000000</t>
  </si>
  <si>
    <t>01050027000000</t>
  </si>
  <si>
    <t>AJUSTE POR ACTUALIZACION</t>
  </si>
  <si>
    <t>01050028000000</t>
  </si>
  <si>
    <t>TOTAL DE VENTAS O INGRESOS NETOS ACTUALIZADOS</t>
  </si>
  <si>
    <t>01060000000000</t>
  </si>
  <si>
    <t>INVENTARIO INICIAL DE MATERIA PRIMA</t>
  </si>
  <si>
    <t>MAS:</t>
  </si>
  <si>
    <t>01060001000000</t>
  </si>
  <si>
    <t>COMPRAS DE MATERIA PRIMA</t>
  </si>
  <si>
    <t>01060002000000</t>
  </si>
  <si>
    <t>INVENTARIO FINAL DE MATERIA PRIMA</t>
  </si>
  <si>
    <t>01060003000000</t>
  </si>
  <si>
    <t>MATERIA PRIMA DIRECTA UTILIZADA PARA LA PRODUCCION</t>
  </si>
  <si>
    <t>01060004000000</t>
  </si>
  <si>
    <t>MANO DE OBRA DIRECTA</t>
  </si>
  <si>
    <t>01060005000000</t>
  </si>
  <si>
    <t>COSTO PRIMO DE LA PRODUCCION</t>
  </si>
  <si>
    <t>01060006000000</t>
  </si>
  <si>
    <t>MATERIA PRIMA INDIRECTA</t>
  </si>
  <si>
    <t>01060007000000</t>
  </si>
  <si>
    <t>MANO DE OBRA INDIRECTA</t>
  </si>
  <si>
    <t>01060008000000</t>
  </si>
  <si>
    <t>GASTOS DE FABRICACION</t>
  </si>
  <si>
    <t>01060009000000</t>
  </si>
  <si>
    <t>01060010000000</t>
  </si>
  <si>
    <t>INVENTARIO INICIAL DE PRODUCCION EN PROCESO</t>
  </si>
  <si>
    <t>01060011000000</t>
  </si>
  <si>
    <t>COMPRAS DE PRODUCCION EN PROCESO</t>
  </si>
  <si>
    <t>01060012000000</t>
  </si>
  <si>
    <t>INVENTARIO FINAL DE PRODUCCION EN PROCESO</t>
  </si>
  <si>
    <t>01060013000000</t>
  </si>
  <si>
    <t>COSTO DE PRODUCCION TERMINADA</t>
  </si>
  <si>
    <t>01060014000000</t>
  </si>
  <si>
    <t>INVENTARIO INICIAL DE PRODUCTOS TERMINADOS</t>
  </si>
  <si>
    <t>01060015000000</t>
  </si>
  <si>
    <t>COMPRAS DE PRODUCTOS TERMINADOS</t>
  </si>
  <si>
    <t>01060016000000</t>
  </si>
  <si>
    <t>INVENTARIO FINAL DE PRODUCTOS TERMINADOS</t>
  </si>
  <si>
    <t>01060017000000</t>
  </si>
  <si>
    <t>EFECTO UEPS ELIMINADO DEL COSTO DE VENTAS</t>
  </si>
  <si>
    <t>01060018000000</t>
  </si>
  <si>
    <t>OTROS CONCEPTOS DE COSTO DE VENTAS</t>
  </si>
  <si>
    <t>01060019000000</t>
  </si>
  <si>
    <t>COSTO DE VENTAS CONTABLE</t>
  </si>
  <si>
    <t>01060020000000</t>
  </si>
  <si>
    <t>MAS-MENOS: EFECTO DE LA INFLACION CONFORME A LA NIF B-10</t>
  </si>
  <si>
    <t>01060021000000</t>
  </si>
  <si>
    <t>COSTO DE LO VENDIDO CONTABLE HISTORICO</t>
  </si>
  <si>
    <t>01060022000000</t>
  </si>
  <si>
    <t>COMPRAS DE MATERIAS PRIMAS, PRODUCCION EN PROCESO Y TERMINADA NO DEDUCIBLES</t>
  </si>
  <si>
    <t>01060023000000</t>
  </si>
  <si>
    <t>MANO DE OBRA NO DEDUCIBLE</t>
  </si>
  <si>
    <t>01060024000000</t>
  </si>
  <si>
    <t>GASTOS DE FABRICACION NO DEDUCIBLES</t>
  </si>
  <si>
    <t>01060025000000</t>
  </si>
  <si>
    <t>DEPRECIACION CONTABLE EN GASTOS DE FABRICACION</t>
  </si>
  <si>
    <t>01060026000000</t>
  </si>
  <si>
    <t>OTROS CONCEPTOS NO DEDUCIBLES</t>
  </si>
  <si>
    <t>01060027000000</t>
  </si>
  <si>
    <t>01060028000000</t>
  </si>
  <si>
    <t>OTROS CONCEPTOS DEDUCIBLES</t>
  </si>
  <si>
    <t>01060029000000</t>
  </si>
  <si>
    <t>COSTO DE LO VENDIDO DEDUCIBLE PARA IMPUESTO SOBRE LA RENTA</t>
  </si>
  <si>
    <t>CONFORME A UN SISTEMA DISTINTO AL ANTERIOR</t>
  </si>
  <si>
    <t>01060030000000</t>
  </si>
  <si>
    <t>01060031000000</t>
  </si>
  <si>
    <t>01060032000000</t>
  </si>
  <si>
    <t>01060033000000</t>
  </si>
  <si>
    <t>01060034000000</t>
  </si>
  <si>
    <t>01060035000000</t>
  </si>
  <si>
    <t>01060036000000</t>
  </si>
  <si>
    <t>DEPRECIACION CONTABLE</t>
  </si>
  <si>
    <t>01060037000000</t>
  </si>
  <si>
    <t>DEPRECIACION FISCAL</t>
  </si>
  <si>
    <t>01060038000000</t>
  </si>
  <si>
    <t>01060039000000</t>
  </si>
  <si>
    <t>GASTOS DE FABRICACION: PORCENTAJE _x000D_
EN RELACION _x000D_
CON EL TOTAL _x000D_
DE GASTOS _x000D_ACTUALIZADO
(AÑO ACTUAL)</t>
  </si>
  <si>
    <t>GASTOS DE FABRICACION: PORCENTAJE _x000D_
EN RELACION _x000D_
CON EL TOTAL _x000D_
DE GASTOS ACTUALIZADO _x000D_
(AÑO ANTERIOR)</t>
  </si>
  <si>
    <t>GASTOS DE FABRICACION: VARIACION _x000D_
EN PESOS        RESPECTO AL _x000D_
AÑO ANTERIOR</t>
  </si>
  <si>
    <t>GASTOS DE FABRICACION: PORCENTAJE _x000D_
DE VARIACION _x000D_
EN PESOS_x000D_
 RESPECTO AL              AÑO ANTERIOR</t>
  </si>
  <si>
    <t xml:space="preserve"> GASTOS DE FABRICACION:      EXPLICAR        VARIACION</t>
  </si>
  <si>
    <t>GASTOS DE              VENTA :
 PORCENTAJE   _x000D_
EN RELACION _x000D_
CON EL TOTAL _x000D_
DE GASTOS  ACTUALIZADO_x000D_
(AÑO ACTUAL)</t>
  </si>
  <si>
    <t>GASTOS DE               VENTA :
PORCENTAJE _x000D_
EN RELACION  _x000D_
CON EL TOTAL _x000D_
DE GASTOS _x000D_ACTUALIZADO
(AÑO ANTERIOR)</t>
  </si>
  <si>
    <t xml:space="preserve">GASTOS DE              VENTA :
VARIACION _x000D_
EN PESOS        RESPECTO AL _x000D_
AÑO ANTERIOR </t>
  </si>
  <si>
    <t xml:space="preserve">GASTOS DE              VENTA :
PORCENTAJE _x000D_
DE VARIACION _x000D_
EN PESOS_x000D_
 RESPECTO AL AÑO ANTERIOR </t>
  </si>
  <si>
    <t xml:space="preserve">GASTOS DE              VENTA :
EXPLICAR        VARIACION </t>
  </si>
  <si>
    <t xml:space="preserve">GASTOS DE ADMINISTRACION:
PORCENTAJE _x000D_
EN RELACION _x000D_
CON EL TOTAL _x000D_
DE GASTOS ACTUALIZADO _x000D_
(AÑO ACTUAL) </t>
  </si>
  <si>
    <t xml:space="preserve">GASTOS DE ADMINISTRACION:
PORCENTAJE _x000D_
EN RELACION _x000D_
CON EL TOTAL _x000D_
DE GASTOS ACTUALIZADO_x000D_
(AÑO ANTERIOR) </t>
  </si>
  <si>
    <t xml:space="preserve">GASTOS DE ADMINISTRACION:
VARIACION _x000D_
EN PESOS       RESPECTO AL              _x000D_AÑO ANTERIOR  </t>
  </si>
  <si>
    <t xml:space="preserve">GASTOS DE ADMINISTRACION:
PORCENTAJE _x000D_
DE VARIACION _x000D_
EN PESOS_x000D_
 RESPECTO AL              AÑO ANTERIOR  </t>
  </si>
  <si>
    <t xml:space="preserve">GASTOS DE ADMINISTRACION:
EXPLICAR        VARIACION  </t>
  </si>
  <si>
    <t>GASTOS      GENERALES:
PORCENTAJE 
EN RELACION 
CON EL TOTAL 
DE GASTOS  ACTUALIZADO
(AÑO ACTUAL)</t>
  </si>
  <si>
    <t>GASTOS      GENERALES:
PORCENTAJE 
EN RELACION 
CON EL TOTAL 
DE GASTOS ACTUALIZADO
(AÑO ANTERIOR)</t>
  </si>
  <si>
    <t>GASTOS       GENERALES:
VARIACION 
EN PESOS        RESPECTO AL 
AÑO ANTERIOR</t>
  </si>
  <si>
    <t>GASTOS        GENERALES:
PORCENTAJE 
DE VARIACION 
EN PESOS
 RESPECTO AL AÑO ANTERIOR</t>
  </si>
  <si>
    <t xml:space="preserve">GASTOS      GENERALES:
EXPLICAR        VARIACION   </t>
  </si>
  <si>
    <t>TOTAL                                2016</t>
  </si>
  <si>
    <t>01070000000000</t>
  </si>
  <si>
    <t>SUELDOS Y SALARIOS</t>
  </si>
  <si>
    <t>01070001000000</t>
  </si>
  <si>
    <t>COMPENSACIONES</t>
  </si>
  <si>
    <t>01070002000000</t>
  </si>
  <si>
    <t>HORAS EXTRAS</t>
  </si>
  <si>
    <t>01070003000000</t>
  </si>
  <si>
    <t>VACACIONES</t>
  </si>
  <si>
    <t>01070004000000</t>
  </si>
  <si>
    <t>PRIMA VACACIONAL</t>
  </si>
  <si>
    <t>01070005000000</t>
  </si>
  <si>
    <t>GRATIFICACIONES</t>
  </si>
  <si>
    <t>01070006000000</t>
  </si>
  <si>
    <t>INDEMNIZACIONES</t>
  </si>
  <si>
    <t>01070007000000</t>
  </si>
  <si>
    <t>PARTICIPACION DE LOS TRABAJADORES EN LAS UTILIDADES CAUSADA</t>
  </si>
  <si>
    <t>01070008000000</t>
  </si>
  <si>
    <t>01070009000000</t>
  </si>
  <si>
    <t>OTRAS REMUNERACIONES</t>
  </si>
  <si>
    <t>01070010000000</t>
  </si>
  <si>
    <t>TOTAL DE REMUNERACIONES</t>
  </si>
  <si>
    <t xml:space="preserve"> </t>
  </si>
  <si>
    <t>PRESTACIONES AL PERSONAL</t>
  </si>
  <si>
    <t>01070011000000</t>
  </si>
  <si>
    <t>PRESTACIONES DE RETIRO</t>
  </si>
  <si>
    <t>01070012000000</t>
  </si>
  <si>
    <t>ESTIMULOS AL PERSONAL</t>
  </si>
  <si>
    <t>01070013000000</t>
  </si>
  <si>
    <t>PREVISION SOCIAL</t>
  </si>
  <si>
    <t>01070014000000</t>
  </si>
  <si>
    <t>APORTACIONES PARA PLAN DE JUBILACION</t>
  </si>
  <si>
    <t>01070015000000</t>
  </si>
  <si>
    <t>OTRAS PRESTACIONES</t>
  </si>
  <si>
    <t>01070016000000</t>
  </si>
  <si>
    <t>TOTAL DE PRESTACIONES AL PERSONAL</t>
  </si>
  <si>
    <t>IMPUESTOS Y APORTACIONES SOBRE SUELDOS Y SALARIOS</t>
  </si>
  <si>
    <t>01070017000000</t>
  </si>
  <si>
    <t>CUOTAS AL I.M.S.S.</t>
  </si>
  <si>
    <t>01070018000000</t>
  </si>
  <si>
    <t>01070019000000</t>
  </si>
  <si>
    <t>IMPUESTO SOBRE NOMINAS</t>
  </si>
  <si>
    <t>01070020000000</t>
  </si>
  <si>
    <t>SEGURO DE RETIRO</t>
  </si>
  <si>
    <t>01070021000000</t>
  </si>
  <si>
    <t>OTROS IMPUESTOS Y APORTACIONES</t>
  </si>
  <si>
    <t>01070022000000</t>
  </si>
  <si>
    <t>TOTAL DE IMPUESTOS Y APORTACIONES SOBRE SUELDOS Y SALARIOS</t>
  </si>
  <si>
    <t>HONORARIOS</t>
  </si>
  <si>
    <t>01070023000000</t>
  </si>
  <si>
    <t>A PERSONAS FISICAS RESIDENTES EN EL PAIS</t>
  </si>
  <si>
    <t>01070024000000</t>
  </si>
  <si>
    <t>A PERSONAS MORALES RESIDENTES EN EL PAIS</t>
  </si>
  <si>
    <t>01070025000000</t>
  </si>
  <si>
    <t>A RESIDENTES EN EL EXTRANJERO</t>
  </si>
  <si>
    <t>01070026000000</t>
  </si>
  <si>
    <t>SUBTOTAL</t>
  </si>
  <si>
    <t>01070027000000</t>
  </si>
  <si>
    <t>AL CONSEJO DE ADMINISTRACION</t>
  </si>
  <si>
    <t>01070028000000</t>
  </si>
  <si>
    <t>TOTAL DE HONORARIOS</t>
  </si>
  <si>
    <t>ARRENDAMIENTOS</t>
  </si>
  <si>
    <t>01070029000000</t>
  </si>
  <si>
    <t>01070030000000</t>
  </si>
  <si>
    <t>01070031000000</t>
  </si>
  <si>
    <t>01070032000000</t>
  </si>
  <si>
    <t>TOTAL DE ARRENDAMIENTOS</t>
  </si>
  <si>
    <t>01070033000000</t>
  </si>
  <si>
    <t>01070034000000</t>
  </si>
  <si>
    <t>TOTAL DE DEPRECIACIONES</t>
  </si>
  <si>
    <t>01070035000000</t>
  </si>
  <si>
    <t>01070036000000</t>
  </si>
  <si>
    <t>TOTAL DE AMORTIZACIONES</t>
  </si>
  <si>
    <t>01070037000000</t>
  </si>
  <si>
    <t>COMBUSTIBLES Y LUBRICANTES</t>
  </si>
  <si>
    <t>01070038000000</t>
  </si>
  <si>
    <t>CORREOS</t>
  </si>
  <si>
    <t>01070039000000</t>
  </si>
  <si>
    <t>INTERNET</t>
  </si>
  <si>
    <t>01070040000000</t>
  </si>
  <si>
    <t>VIATICOS Y GASTOS DE VIAJE</t>
  </si>
  <si>
    <t>01070041000000</t>
  </si>
  <si>
    <t>GASTOS DE REPRESENTACION</t>
  </si>
  <si>
    <t>01070042000000</t>
  </si>
  <si>
    <t>TELEFONO</t>
  </si>
  <si>
    <t>01070043000000</t>
  </si>
  <si>
    <t>AGUA</t>
  </si>
  <si>
    <t>01070044000000</t>
  </si>
  <si>
    <t>ELECTRICIDAD</t>
  </si>
  <si>
    <t>01070045000000</t>
  </si>
  <si>
    <t>VIGILANCIA Y LIMPIEZA</t>
  </si>
  <si>
    <t>01070046000000</t>
  </si>
  <si>
    <t>MATERIALES DE OFICINA</t>
  </si>
  <si>
    <t>01070047000000</t>
  </si>
  <si>
    <t>GASTOS LEGALES</t>
  </si>
  <si>
    <t>01070048000000</t>
  </si>
  <si>
    <t>MANTENIMIENTO Y CONSERVACION</t>
  </si>
  <si>
    <t>01070049000000</t>
  </si>
  <si>
    <t>SEGUROS Y FIANZAS</t>
  </si>
  <si>
    <t>01070050000000</t>
  </si>
  <si>
    <t>GASTOS NO DEDUCIBLES</t>
  </si>
  <si>
    <t>01070051000000</t>
  </si>
  <si>
    <t>OTROS IMPUESTOS Y DERECHOS</t>
  </si>
  <si>
    <t>01070052000000</t>
  </si>
  <si>
    <t>RECARGOS FISCALES</t>
  </si>
  <si>
    <t>01070053000000</t>
  </si>
  <si>
    <t>CUOTAS Y SUSCRIPCIONES</t>
  </si>
  <si>
    <t>01070054000000</t>
  </si>
  <si>
    <t>PROPAGANDA Y PUBLICIDAD</t>
  </si>
  <si>
    <t>01070055000000</t>
  </si>
  <si>
    <t>FOTOCOPIADO</t>
  </si>
  <si>
    <t>01070056000000</t>
  </si>
  <si>
    <t>DONATIVOS</t>
  </si>
  <si>
    <t>01070057000000</t>
  </si>
  <si>
    <t>01070058000000</t>
  </si>
  <si>
    <t>FLETES</t>
  </si>
  <si>
    <t>01070059000000</t>
  </si>
  <si>
    <t>IMPUESTO DE IMPORTACION</t>
  </si>
  <si>
    <t>01070060000000</t>
  </si>
  <si>
    <t>IMPUESTO DE EXPORTACION</t>
  </si>
  <si>
    <t>01070061000000</t>
  </si>
  <si>
    <t>01070062000000</t>
  </si>
  <si>
    <t>01070063000000</t>
  </si>
  <si>
    <t>REGALIAS SUJETAS AL 10%</t>
  </si>
  <si>
    <t>01070064000000</t>
  </si>
  <si>
    <t>01070065000000</t>
  </si>
  <si>
    <t>REGALIAS SUJETAS AL 35%</t>
  </si>
  <si>
    <t>01070066000000</t>
  </si>
  <si>
    <t>COMISIONES SOBRE VENTAS</t>
  </si>
  <si>
    <t>01070067000000</t>
  </si>
  <si>
    <t>01070068000000</t>
  </si>
  <si>
    <t>MATERIAS PRIMAS DE PRODUCCION</t>
  </si>
  <si>
    <t>01070069000000</t>
  </si>
  <si>
    <t>MATERIALES AUXILIARES DE PRODUCCION</t>
  </si>
  <si>
    <t>01070070000000</t>
  </si>
  <si>
    <t>COMISIONES BANCARIAS</t>
  </si>
  <si>
    <t>01070071000000</t>
  </si>
  <si>
    <t>PERDIDA EN VENTA DE TERRENOS</t>
  </si>
  <si>
    <t>01070072000000</t>
  </si>
  <si>
    <t>PERDIDA EN VENTA DE EDIFICIOS Y CONSTRUCCIONES</t>
  </si>
  <si>
    <t>01070073000000</t>
  </si>
  <si>
    <t>PERDIDA EN VENTA DE MAQUINARIA</t>
  </si>
  <si>
    <t>01070074000000</t>
  </si>
  <si>
    <t>PERDIDA EN VENTA DE EQUIPO DE TRANSPORTE</t>
  </si>
  <si>
    <t>01070075000000</t>
  </si>
  <si>
    <t>PERDIDA EN VENTA DE MOBILIARIO Y EQUIPO</t>
  </si>
  <si>
    <t>01070076000000</t>
  </si>
  <si>
    <t>PERDIDA EN VENTA DE EQUIPO DE COMPUTO</t>
  </si>
  <si>
    <t>01070077000000</t>
  </si>
  <si>
    <t>PERDIDA EN ENAJENACION DE ACCIONES</t>
  </si>
  <si>
    <t>01070078000000</t>
  </si>
  <si>
    <t>01070079000000</t>
  </si>
  <si>
    <t>01070080000000</t>
  </si>
  <si>
    <t>TOTAL DE OTROS GASTOS</t>
  </si>
  <si>
    <t>01070081000000</t>
  </si>
  <si>
    <t>TOTAL DE GASTOS</t>
  </si>
  <si>
    <t>01070082000000</t>
  </si>
  <si>
    <t>EFECTO DE REEXPRESION</t>
  </si>
  <si>
    <t>01070083000000</t>
  </si>
  <si>
    <t>TOTAL DE GASTOS ACTUALIZADO</t>
  </si>
  <si>
    <t>01080000000000</t>
  </si>
  <si>
    <t>BANCARIOS</t>
  </si>
  <si>
    <t>01080001000000</t>
  </si>
  <si>
    <t>PERSONAS FISICAS</t>
  </si>
  <si>
    <t>01080002000000</t>
  </si>
  <si>
    <t>PERSONAS MORALES</t>
  </si>
  <si>
    <t>EXTRANJEROS</t>
  </si>
  <si>
    <t>01080003000000</t>
  </si>
  <si>
    <t>01080004000000</t>
  </si>
  <si>
    <t>01080005000000</t>
  </si>
  <si>
    <t>01080006000000</t>
  </si>
  <si>
    <t>01080007000000</t>
  </si>
  <si>
    <t>TOTAL DE INTERESES A FAVOR</t>
  </si>
  <si>
    <t>01080008000000</t>
  </si>
  <si>
    <t>01080009000000</t>
  </si>
  <si>
    <t>01080010000000</t>
  </si>
  <si>
    <t>01080011000000</t>
  </si>
  <si>
    <t>01080012000000</t>
  </si>
  <si>
    <t>01080013000000</t>
  </si>
  <si>
    <t>01080014000000</t>
  </si>
  <si>
    <t>01080015000000</t>
  </si>
  <si>
    <t>TOTAL DE INTERESES A CARGO</t>
  </si>
  <si>
    <t>RESULTADO CAMBIARIO</t>
  </si>
  <si>
    <t>01080016000000</t>
  </si>
  <si>
    <t>01080017000000</t>
  </si>
  <si>
    <t>01080018000000</t>
  </si>
  <si>
    <t>01080019000000</t>
  </si>
  <si>
    <t>01080020000000</t>
  </si>
  <si>
    <t>TOTAL DE RESULTADO CAMBIARIO</t>
  </si>
  <si>
    <t>RESULTADO POR POSICION MONETARIA</t>
  </si>
  <si>
    <t>01080021000000</t>
  </si>
  <si>
    <t>01080022000000</t>
  </si>
  <si>
    <t>01080023000000</t>
  </si>
  <si>
    <t>01080024000000</t>
  </si>
  <si>
    <t>01080025000000</t>
  </si>
  <si>
    <t>TOTAL DE RESULTADO POR POSICION MONETARIA</t>
  </si>
  <si>
    <t>CAMBIOS EN EL VALOR RAZONABLE DE ACTIVOS Y PASIVOS FINANCIEROS</t>
  </si>
  <si>
    <t>01080026000000</t>
  </si>
  <si>
    <t>01080027000000</t>
  </si>
  <si>
    <t>01080028000000</t>
  </si>
  <si>
    <t>01080029000000</t>
  </si>
  <si>
    <t>01080030000000</t>
  </si>
  <si>
    <t>TOTAL DE CAMBIOS EN EL VALOR RAZONABLE DE ACTIVOS Y PASIVOS FINANCIEROS</t>
  </si>
  <si>
    <t>OTROS CONCEPTOS FINANCIEROS</t>
  </si>
  <si>
    <t>01080031000000</t>
  </si>
  <si>
    <t>OTROS A FAVOR</t>
  </si>
  <si>
    <t>01080032000000</t>
  </si>
  <si>
    <t>01080033000000</t>
  </si>
  <si>
    <t>OTROS A CARGO</t>
  </si>
  <si>
    <t>01080034000000</t>
  </si>
  <si>
    <t>01080035000000</t>
  </si>
  <si>
    <t>TOTAL DE OTROS CONCEPTOS FINANCIEROS</t>
  </si>
  <si>
    <t>01080036000000</t>
  </si>
  <si>
    <t>TOTAL DE RESULTADO INTEGRAL DE FINANCIAMIENTO</t>
  </si>
  <si>
    <t>BASE                            GRAVABLE</t>
  </si>
  <si>
    <t>TASA,                                   TARIFA O                          CUOTA</t>
  </si>
  <si>
    <t>CONTRIBUCION DETERMINADA                 POR AUDITORIA                        A CARGO O                             A FAVOR</t>
  </si>
  <si>
    <t>CONTRIBUCION                      A CARGO O                                   SALDO A FAVOR DETERMINADO POR             EL CONTRIBUYENTE</t>
  </si>
  <si>
    <t>DIFERENCIA</t>
  </si>
  <si>
    <t>DIFERENCIAS _x000D_
NO MATERIALES_x000D_
NO INVESTIGADAS
POR AUDITORIA</t>
  </si>
  <si>
    <t>01090000000000</t>
  </si>
  <si>
    <t>01090001000000</t>
  </si>
  <si>
    <t>OTRAS REDUCCIONES DEL I.S.R.</t>
  </si>
  <si>
    <t>01090002000000</t>
  </si>
  <si>
    <t>I.S.R. CAUSADO EN EL EJERCICIO</t>
  </si>
  <si>
    <t>01090003000000</t>
  </si>
  <si>
    <t>01090004000000</t>
  </si>
  <si>
    <t>01090005000000</t>
  </si>
  <si>
    <t>ESTIMULO POR PROYECTOS DE INVERSION EN LA PRODUCCION CINEMATOGRAFICA NACIONAL</t>
  </si>
  <si>
    <t>01090006000000</t>
  </si>
  <si>
    <t>01090007000000</t>
  </si>
  <si>
    <t>01090008000000</t>
  </si>
  <si>
    <t>OTROS ESTIMULOS</t>
  </si>
  <si>
    <t>01090009000000</t>
  </si>
  <si>
    <t>TOTAL DE ESTIMULOS</t>
  </si>
  <si>
    <t>01090010000000</t>
  </si>
  <si>
    <t>PAGOS PROVISIONALES EFECTUADOS ENTERADOS A LA FEDERACION</t>
  </si>
  <si>
    <t>01090011000000</t>
  </si>
  <si>
    <t>I.S.R. RETENIDO AL CONTRIBUYENTE</t>
  </si>
  <si>
    <t>01090012000000</t>
  </si>
  <si>
    <t>I.S.R. ACREDITABLE PAGADO EN EL EXTRANJERO</t>
  </si>
  <si>
    <t>01090013000000</t>
  </si>
  <si>
    <t>I.S.R. ACREDITABLE POR DIVIDENDOS O UTILIDADES DISTRIBUIDOS</t>
  </si>
  <si>
    <t>01090014000000</t>
  </si>
  <si>
    <t>OTRAS CANTIDADES A CARGO</t>
  </si>
  <si>
    <t>01090015000000</t>
  </si>
  <si>
    <t>OTRAS CANTIDADES A FAVOR</t>
  </si>
  <si>
    <t>01090016000000</t>
  </si>
  <si>
    <t>DIFERENCIA A CARGO</t>
  </si>
  <si>
    <t>01090017000000</t>
  </si>
  <si>
    <t>DIFERENCIA A FAVOR</t>
  </si>
  <si>
    <t>01090018000000</t>
  </si>
  <si>
    <t>IMPUESTO SOBRE LA RENTA A CARGO DEL EJERCICIO</t>
  </si>
  <si>
    <t>01090019000000</t>
  </si>
  <si>
    <t>IMPUESTO SOBRE LA RENTA PAGADO EN DECLARACIONES ANUAL, NORMAL Y COMPLEMENTARIAS</t>
  </si>
  <si>
    <t>01090020000000</t>
  </si>
  <si>
    <t>DIFERENCIA A CARGO DEL EJERCICIO</t>
  </si>
  <si>
    <t>01090021000000</t>
  </si>
  <si>
    <t>I.S.R. PAGADO EN EXCESO APLICADO CONTRA EL I.E.T.U.</t>
  </si>
  <si>
    <t>01090022000000</t>
  </si>
  <si>
    <t>SALDO A FAVOR DEL EJERCICIO</t>
  </si>
  <si>
    <t>OTROS DATOS</t>
  </si>
  <si>
    <t>01090023000000</t>
  </si>
  <si>
    <t>01090024000000</t>
  </si>
  <si>
    <t>IMPUESTO SOBRE LA RENTA SOBRE DIVIDENDOS DISTRIBUIDOS NO PROVENIENTES DE CUFIN NI DE CUFINRE</t>
  </si>
  <si>
    <t>01090025000000</t>
  </si>
  <si>
    <t>IMPUESTO SOBRE LA RENTA SOBRE DIVIDENDOS DISTRIBUIDOS PROVENIENTES DE CUFINRE</t>
  </si>
  <si>
    <t>PERSONA FISICA</t>
  </si>
  <si>
    <t>01090026000000</t>
  </si>
  <si>
    <t>OTROS INGRESOS MANIFESTADOS COMO PERSONA FISICA</t>
  </si>
  <si>
    <t>IMPUESTO AL VALOR AGREGADO (I.V.A.)</t>
  </si>
  <si>
    <t>01090027000000</t>
  </si>
  <si>
    <t>VALOR DE LOS ACTOS O ACTIVIDADES GRAVADOS A LA TASA DEL 16%</t>
  </si>
  <si>
    <t>01090028000000</t>
  </si>
  <si>
    <t>VALOR DE LOS ACTOS O ACTIVIDADES GRAVADOS A LA TASA DEL 0%</t>
  </si>
  <si>
    <t>01090029000000</t>
  </si>
  <si>
    <t>SUMA DEL VALOR DE LOS ACTOS O ACTIVIDADES GRAVADOS</t>
  </si>
  <si>
    <t>01090030000000</t>
  </si>
  <si>
    <t>VALOR DE LOS ACTOS O ACTIVIDADES POR LOS QUE NO SE ESTA OBLIGADO AL PAGO (EXENTOS)</t>
  </si>
  <si>
    <t>01090031000000</t>
  </si>
  <si>
    <t>TOTAL DEL VALOR DE LOS ACTOS O ACTIVIDADES</t>
  </si>
  <si>
    <t>01090032000000</t>
  </si>
  <si>
    <t>SUMA DEL IVA CAUSADO DE LOS MESES DEL EJERCICIO</t>
  </si>
  <si>
    <t>01090033000000</t>
  </si>
  <si>
    <t>SUMA DEL IVA ACREDITABLE DE LOS MESES DEL EJERCICIO SIN INCLUIR SALDOS A FAVOR</t>
  </si>
  <si>
    <t>01090034000000</t>
  </si>
  <si>
    <t>SUMA DE COMPENSACIONES APLICADAS AL IVA DE OTRAS CONTRIBUCIONES FEDERALES EN LOS MESES DEL EJERCICIO</t>
  </si>
  <si>
    <t>01090035000000</t>
  </si>
  <si>
    <t>SUMA DE ACREDITAMIENTOS DE SALDOS A FAVOR DE IVA</t>
  </si>
  <si>
    <t>01090036000000</t>
  </si>
  <si>
    <t>SUMA DEL IVA DEVUELTO EN LOS MESES DEL EJERCICIO</t>
  </si>
  <si>
    <t>01090037000000</t>
  </si>
  <si>
    <t>VALOR DE LOS ACTOS O ACTIVIDADES GRAVADOS A LA TASA DEL 3 % (REDES PUBLICAS DE TELECOMUNICACIONES)</t>
  </si>
  <si>
    <t>01090038000000</t>
  </si>
  <si>
    <t>VALOR DE LOS ACTOS O ACTIVIDADES GRAVADOS A LA TASA DEL 25 % (BEBIDAS ENERGETIZANTES, ASI COMO CONCENTRADOS, POLVOS Y JARABES PARA PREPARAR BEBIDAS ENERGETIZANTES)</t>
  </si>
  <si>
    <t>01090039000000</t>
  </si>
  <si>
    <t>VALOR DE LOS ACTOS O ACTIVIDADES GRAVADOS A LA TASA DEL 26.5 % (BEBIDAS CON CONTENIDO ALCOHOLICO Y CERVEZA CON GRADUACION ALCOHOLICA DE HASTA 14°G.L.)</t>
  </si>
  <si>
    <t>01090040000000</t>
  </si>
  <si>
    <t>VALOR DE LOS ACTOS O ACTIVIDADES GRAVADOS A LA TASA DEL 30% (BEBIDAS CON CONTENIDO ALCOHOLICO Y CERVEZA CON GRADUACION ALCOHOLICA DE MAS DE 14°G.L. Y HASTA 20°G.L.)</t>
  </si>
  <si>
    <t>01090041000000</t>
  </si>
  <si>
    <t>VALOR DE LOS ACTOS O ACTIVIDADES GRAVADOS A LA TASA DEL 30 % (JUEGOS CON APUESTAS Y SORTEOS)</t>
  </si>
  <si>
    <t>01090042000000</t>
  </si>
  <si>
    <t>VALOR DE LOS ACTOS O ACTIVIDADES GRAVADOS A LA TASA DEL 30.4 % (TABACOS LABRADOS, PUROS Y OTROS TABACOS LABRADOS HECHOS ENTERAMENTE A MANO)</t>
  </si>
  <si>
    <t>01090043000000</t>
  </si>
  <si>
    <t>VALOR DE LOS ACTOS O ACTIVIDADES GRAVADOS A LA TASA DEL 50 % (ALCOHOL, ALCOHOL DESNATURALIZADO Y MIELES INCRISTALIZABLES)</t>
  </si>
  <si>
    <t>01090044000000</t>
  </si>
  <si>
    <t>VALOR DE LOS ACTOS O ACTIVIDADES GRAVADOS A LA TASA DEL 53 % (BEBIDAS CON CONTENIDO ALCOHOLICO Y CERVEZA CON GRADUACION ALCOHOLICA DE MAS DE 20°G.L.)</t>
  </si>
  <si>
    <t>01090045000000</t>
  </si>
  <si>
    <t>VALOR DE LOS ACTOS O ACTIVIDADES GRAVADOS A LA TASA DEL 160% (TABACOS LABRADOS, CIGARROS)</t>
  </si>
  <si>
    <t>01090046000000</t>
  </si>
  <si>
    <t>VALOR DE LOS ACTOS O ACTIVIDADES GRAVADOS A LA TASA DEL 160% (TABACOS LABRADOS, PUROS Y OTROS TABACOS LABRADOS)</t>
  </si>
  <si>
    <t>01090047000000</t>
  </si>
  <si>
    <t>VALOR DE LOS ACTOS O ACTIVIDADES GRAVADOS A OTRAS TASAS</t>
  </si>
  <si>
    <t>01090048000000</t>
  </si>
  <si>
    <t>01090049000000</t>
  </si>
  <si>
    <t>01090050000000</t>
  </si>
  <si>
    <t>01090051000000</t>
  </si>
  <si>
    <t>01090052000000</t>
  </si>
  <si>
    <t>01090053000000</t>
  </si>
  <si>
    <t>MONTO TOTAL DE ENAJENACIONES DE PLAGUICIDAS CATEGORIA 3 A LA TASA DEL 7%</t>
  </si>
  <si>
    <t>01090054000000</t>
  </si>
  <si>
    <t>MONTO TOTAL DE ENAJENACIONES DE PLAGUICIDAS CATEGORIA 4 A LA TASA DEL 6%</t>
  </si>
  <si>
    <t>01090055000000</t>
  </si>
  <si>
    <t>MONTO TOTAL DE ENAJENACIONES DE PLAGUICIDAS CATEGORIA 5</t>
  </si>
  <si>
    <t>01090056000000</t>
  </si>
  <si>
    <t>MONTO TOTAL DE ALIMENTOS NO BASICOS CON ALTA DENSIDAD CALORICA POR LAS ENAJENACIONES DE BOTANAS A LA TASA DEL 8%</t>
  </si>
  <si>
    <t>01090057000000</t>
  </si>
  <si>
    <t>MONTO TOTAL DE ALIMENTOS NO BASICOS CON ALTA DENSIDAD CALORICA POR LAS ENAJENACIONES DE PRODUCTOS DE CONFITERIA A LA TASA DEL 8%</t>
  </si>
  <si>
    <t>01090058000000</t>
  </si>
  <si>
    <t>MONTO TOTAL DE ALIMENTOS NO BASICOS CON ALTA DENSIDAD CALORICA POR LAS ENAJENACIONES DE CHOCOLATE Y DEMAS PRODUCTOS DERIVADOS DEL CACAO A LA TASA DEL 8%</t>
  </si>
  <si>
    <t>01090059000000</t>
  </si>
  <si>
    <t>MONTO TOTAL DE ALIMENTOS NO BASICOS CON ALTA DENSIDAD CALORICA POR LAS ENAJENACIONES DE FLANES Y PUDINES A LA TASA DEL 8%</t>
  </si>
  <si>
    <t>01090060000000</t>
  </si>
  <si>
    <t>MONTO TOTAL DE ALIMENTOS NO BASICOS CON ALTA DENSIDAD CALORICA POR LAS ENAJENACIONES DE DULCES DE FRUTAS Y HORTALIZAS A LA TASA DEL 8%</t>
  </si>
  <si>
    <t>01090061000000</t>
  </si>
  <si>
    <t>MONTO TOTAL DE ALIMENTOS NO BASICOS CON ALTA DENSIDAD CALORICA POR LAS ENAJENACIONES DE CREMAS DE CACAHUATE Y AVELLANAS A LA TASA DEL 8%</t>
  </si>
  <si>
    <t>01090062000000</t>
  </si>
  <si>
    <t>MONTO TOTAL DE ALIMENTOS NO BASICOS CON ALTA DENSIDAD CALORICA POR LAS ENAJENACIONES DE DULCES DE LECHE A LA TASA DEL 8%</t>
  </si>
  <si>
    <t>01090063000000</t>
  </si>
  <si>
    <t>MONTO TOTAL DE ALIMENTOS NO BASICOS CON ALTA DENSIDAD CALORICA POR LAS ENAJENACIONES DE ALIMENTOS PREPARADOS A BASE DE CEREALES A LA TASA DEL 8%</t>
  </si>
  <si>
    <t>01090064000000</t>
  </si>
  <si>
    <t>MONTO TOTAL DE ALIMENTOS NO BASICOS CON ALTA DENSIDAD CALORICA POR LAS ENAJENACIONES DE HELADOS, NIEVES Y PALETAS DE HIELO A LA TASA DEL 8%</t>
  </si>
  <si>
    <t>01090065000000</t>
  </si>
  <si>
    <t>01090066000000</t>
  </si>
  <si>
    <t>01090067000000</t>
  </si>
  <si>
    <t>01090068000000</t>
  </si>
  <si>
    <t>01090069000000</t>
  </si>
  <si>
    <t>01090070000000</t>
  </si>
  <si>
    <t>01090071000000</t>
  </si>
  <si>
    <t>01090072000000</t>
  </si>
  <si>
    <t>01090073000000</t>
  </si>
  <si>
    <t>01090074000000</t>
  </si>
  <si>
    <t>01090075000000</t>
  </si>
  <si>
    <t>SUMA DEL IEPS CAUSADO DE LOS MESES DEL EJERCICIO</t>
  </si>
  <si>
    <t>01090076000000</t>
  </si>
  <si>
    <t>VALOR DE LOS ACTOS O ACTIVIDADES IMPORTADOS A LA TASA DEL 25 % (BEBIDAS ENERGETIZANTES, ASI COMO CONCENTRADOS, POLVOS Y JARABES PARA PREPARAR BEBIDAS ENERGETIZANTES)</t>
  </si>
  <si>
    <t>01090077000000</t>
  </si>
  <si>
    <t>VALOR DE LOS ACTOS O ACTIVIDADES IMPORTADOS A LA TASA DEL 26.5 % (BEBIDAS CON CONTENIDO ALCOHOLICO Y CERVEZA CON GRADUACION ALCOHOLICA DE HASTA 14°G.L.)</t>
  </si>
  <si>
    <t>01090078000000</t>
  </si>
  <si>
    <t>VALOR DE LOS ACTOS O ACTIVIDADES IMPORTADOS A LA TASA DEL 30 % (BEBIDAS CON CONTENIDO ALCOHOLICO Y CERVEZA CON GRADUACION ALCOHOLICA DE MAS DE 14°G.L. Y HASTA 20°G.L.)</t>
  </si>
  <si>
    <t>01090079000000</t>
  </si>
  <si>
    <t>VALOR DE LOS ACTOS O ACTIVIDADES IMPORTADOS A LA TASA DEL 30.4 % (TABACOS LABRADOS, PUROS Y OTROS TABACOS LABRADOS HECHOS ENTERAMENTE A MANO)</t>
  </si>
  <si>
    <t>01090080000000</t>
  </si>
  <si>
    <t>VALOR DE LOS ACTOS O ACTIVIDADES IMPORTADOS A LA TASA DEL 53 % (BEBIDAS CON CONTENIDO ALCOHOLICO Y CERVEZA CON GRADUACION ALCOHOLICA DE MAS DE 20°G.L.)</t>
  </si>
  <si>
    <t>01090081000000</t>
  </si>
  <si>
    <t>VALOR DE LOS ACTOS O ACTIVIDADES IMPORTADOS A LA TASA DEL 160% (TABACOS LABRADOS, CIGARROS)</t>
  </si>
  <si>
    <t>01090082000000</t>
  </si>
  <si>
    <t>VALOR DE LOS ACTOS O ACTIVIDADES IMPORTADOS A LA TASA DEL 160% (TABACOS LABRADOS, PUROS Y OTROS TABACOS LABRADOS)</t>
  </si>
  <si>
    <t>01090083000000</t>
  </si>
  <si>
    <t>VALOR DE LOS ACTOS O ACTIVIDADES IMPORTADOS A OTRAS TASAS</t>
  </si>
  <si>
    <t>01090084000000</t>
  </si>
  <si>
    <t>SUMA DEL VALOR DE LOS ACTOS O ACTIVIDADES IMPORTADOS</t>
  </si>
  <si>
    <t>01090085000000</t>
  </si>
  <si>
    <t>01090086000000</t>
  </si>
  <si>
    <t>01090087000000</t>
  </si>
  <si>
    <t>MONTO TOTAL DE IMPORTACIONES DE PLAGUICIDAS CATEGORIA 3 A LA TASA DEL 7%</t>
  </si>
  <si>
    <t>01090088000000</t>
  </si>
  <si>
    <t>MONTO TOTAL DE IMPORTACIONES DE PLAGUICIDAS CATEGORIA 4 A LA TASA DEL 6%</t>
  </si>
  <si>
    <t>01090089000000</t>
  </si>
  <si>
    <t>01090090000000</t>
  </si>
  <si>
    <t>MONTO TOTAL DE ALIMENTOS NO BASICOS CON ALTA DENSIDAD CALORICA POR LAS IMPORTACIONES DE BOTANAS A LA TASA DEL 8%</t>
  </si>
  <si>
    <t>01090091000000</t>
  </si>
  <si>
    <t>MONTO TOTAL DE ALIMENTOS NO BASICOS CON ALTA DENSIDAD CALORICA POR LAS IMPORTACIONES DE PRODUCTOS DE CONFITERIA A LA TASA DEL 8%</t>
  </si>
  <si>
    <t>01090092000000</t>
  </si>
  <si>
    <t>MONTO TOTAL DE ALIMENTOS NO BASICOS CON ALTA DENSIDAD CALORICA POR LAS IMPORTACIONES DE CHOCOLATE Y DEMAS PRODUCTOS DERIVADOS DEL CACAO A LA TASA DEL 8%</t>
  </si>
  <si>
    <t>01090093000000</t>
  </si>
  <si>
    <t>MONTO TOTAL DE ALIMENTOS NO BASICOS CON ALTA DENSIDAD CALORICA POR LAS IMPORTACIONES DE FLANES Y PUDINES A LA TASA DEL 8%</t>
  </si>
  <si>
    <t>01090094000000</t>
  </si>
  <si>
    <t>MONTO TOTAL DE ALIMENTOS NO BASICOS CON ALTA DENSIDAD CALORICA POR LAS IMPORTACIONES DE DULCES DE FRUTAS Y HORTALIZAS A LA TASA DEL 8%</t>
  </si>
  <si>
    <t>01090095000000</t>
  </si>
  <si>
    <t>MONTO TOTAL DE ALIMENTOS NO BASICOS CON ALTA DENSIDAD CALORICA POR LAS IMPORTACIONES DE CREMAS DE CACAHUATE Y AVELLANAS A LA TASA DEL 8%</t>
  </si>
  <si>
    <t>01090096000000</t>
  </si>
  <si>
    <t>MONTO TOTAL DE ALIMENTOS NO BASICOS CON ALTA DENSIDAD CALORICA POR LAS IMPORTACIONES DE DULCES DE LECHE A LA TASA DEL 8%</t>
  </si>
  <si>
    <t>01090097000000</t>
  </si>
  <si>
    <t>MONTO TOTAL DE ALIMENTOS NO BASICOS CON ALTA DENSIDAD CALORICA POR LAS IMPORTACIONES DE ALIMENTOS PREPARADOS A BASE DE CEREALES A LA TASA DEL 8%</t>
  </si>
  <si>
    <t>01090098000000</t>
  </si>
  <si>
    <t>MONTO TOTAL DE ALIMENTOS NO BASICOS CON ALTA DENSIDAD CALORICA POR LAS IMPORTACIONES DE HELADOS, NIEVES Y PALETAS DE HIELO A LA TASA DEL 8%</t>
  </si>
  <si>
    <t>01090099000000</t>
  </si>
  <si>
    <t>01090100000000</t>
  </si>
  <si>
    <t>01090101000000</t>
  </si>
  <si>
    <t>01090102000000</t>
  </si>
  <si>
    <t>01090103000000</t>
  </si>
  <si>
    <t>01090104000000</t>
  </si>
  <si>
    <t>01090105000000</t>
  </si>
  <si>
    <t>01090106000000</t>
  </si>
  <si>
    <t>01090107000000</t>
  </si>
  <si>
    <t>01090108000000</t>
  </si>
  <si>
    <t>01090109000000</t>
  </si>
  <si>
    <t>01090110000000</t>
  </si>
  <si>
    <t>01090111000000</t>
  </si>
  <si>
    <t>01090112000000</t>
  </si>
  <si>
    <t>01090113000000</t>
  </si>
  <si>
    <t>IMPUESTO CAUSADO POR CUOTA DE CIGARROS ENAJENADOS</t>
  </si>
  <si>
    <t>01090114000000</t>
  </si>
  <si>
    <t>IMPUESTO CAUSADO POR CUOTA DE CIGARROS IMPORTADOS</t>
  </si>
  <si>
    <t>01090115000000</t>
  </si>
  <si>
    <t>IMPUESTO CAUSADO POR CUOTA DE PUROS Y OTROS TABACOS LABRADOS CORRESPONDIENTE AL PESO TOTAL EN GRAMOS (PUROS Y OTROS TABACOS LABRADOS GRAVADOS ENAJENADOS ENTRE 0.75)</t>
  </si>
  <si>
    <t>01090116000000</t>
  </si>
  <si>
    <t>IMPUESTO CAUSADO POR CUOTA DE PUROS Y OTROS TABACOS LABRADOS CORRESPONDIENTE AL PESO TOTAL EN GRAMOS (PUROS Y OTROS TABACOS LABRADOS GRAVADOS IMPORTADOS ENTRE 0.75)</t>
  </si>
  <si>
    <t>01090117000000</t>
  </si>
  <si>
    <t>SUMA DEL IEPS ACREDITABLE DE LOS MESES DEL EJERCICIO</t>
  </si>
  <si>
    <t>01090118000000</t>
  </si>
  <si>
    <t>SUMA DE COMPENSACIONES DE SALDOS A FAVOR DE IEPS</t>
  </si>
  <si>
    <t>01090119000000</t>
  </si>
  <si>
    <t>SUMA DE COMPENSACIONES APLICADAS AL IEPS DE OTRAS CONTRIBUCIONES FEDERALES EN LOS MESES DEL EJERCICIO</t>
  </si>
  <si>
    <t>01090120000000</t>
  </si>
  <si>
    <t>SUMA DE ACREDITAMIENTOS DE SALDOS A FAVOR DE IEPS</t>
  </si>
  <si>
    <t>01090121000000</t>
  </si>
  <si>
    <t>SUMA DEL IEPS DEVUELTO EN LOS MESES DEL EJERCICIO</t>
  </si>
  <si>
    <t>IMPUESTO AL COMERCIO EXTERIOR</t>
  </si>
  <si>
    <t>01090122000000</t>
  </si>
  <si>
    <t>IMPUESTO GENERAL DE IMPORTACION</t>
  </si>
  <si>
    <t>01090123000000</t>
  </si>
  <si>
    <t>IMPUESTO GENERAL DE EXPORTACION</t>
  </si>
  <si>
    <t>01090124000000</t>
  </si>
  <si>
    <t>TOTAL DE IMPUESTOS AL COMERCIO EXTERIOR</t>
  </si>
  <si>
    <t>APORTACIONES DE SEGURIDAD SOCIAL</t>
  </si>
  <si>
    <t>01090125000000</t>
  </si>
  <si>
    <t>CUOTAS PATRONALES AL I.M.S.S.</t>
  </si>
  <si>
    <t>01090126000000</t>
  </si>
  <si>
    <t>01090127000000</t>
  </si>
  <si>
    <t>APORTACIONES AL SEGURO DE RETIRO</t>
  </si>
  <si>
    <t>DERECHOS POR LOS SERVICIOS QUE PRESTA</t>
  </si>
  <si>
    <t>01090128000000</t>
  </si>
  <si>
    <t>EL INSTITUTO NACIONAL DE MIGRACION (INM).- VISITANTE SIN PERMISO PARA REALIZAR ACTIVIDADES REMUNERADAS (ARTICULO 8, FRACCION I DE LA LEY FEDERAL DE DERECHOS)</t>
  </si>
  <si>
    <t>01090129000000</t>
  </si>
  <si>
    <t>EL INSTITUTO NACIONAL DE MIGRACION (INM).- SERVICIOS MIGRATORIOS (ARTICULO 12 DE LA LEY FEDERAL DE DERECHOS)</t>
  </si>
  <si>
    <t>01090130000000</t>
  </si>
  <si>
    <t>SERVICIOS A LA NAVEGACION EN EL ESPACIO AEREO MEXICANO (SENEAM)</t>
  </si>
  <si>
    <t>01090131000000</t>
  </si>
  <si>
    <t>INSTITUTO FEDERAL DE TELECOMUNICACIONES (IFT)</t>
  </si>
  <si>
    <t>01090132000000</t>
  </si>
  <si>
    <t>OTROS ESPECIFICAR CONCEPTO</t>
  </si>
  <si>
    <t>CONTRIBUCIONES DE LAS QUE ES RETENEDOR:</t>
  </si>
  <si>
    <t>POR PAGOS A RESIDENTES EN EL PAIS</t>
  </si>
  <si>
    <t>01090133000000</t>
  </si>
  <si>
    <t>POR SALARIOS</t>
  </si>
  <si>
    <t>01090134000000</t>
  </si>
  <si>
    <t>01090135000000</t>
  </si>
  <si>
    <t>PREMIOS</t>
  </si>
  <si>
    <t>01090136000000</t>
  </si>
  <si>
    <t>HONORARIOS AL 10%</t>
  </si>
  <si>
    <t>01090137000000</t>
  </si>
  <si>
    <t>ARRENDAMIENTO AL 10%</t>
  </si>
  <si>
    <t>01090138000000</t>
  </si>
  <si>
    <t>ENAJENACION DE OTROS BIENES AL 20%</t>
  </si>
  <si>
    <t>01090139000000</t>
  </si>
  <si>
    <t>INTERESES AL 20%</t>
  </si>
  <si>
    <t>01090140000000</t>
  </si>
  <si>
    <t>INTERESES Y GANANCIA CAMBIARIA AL 35%</t>
  </si>
  <si>
    <t>01090141000000</t>
  </si>
  <si>
    <t>01090142000000</t>
  </si>
  <si>
    <t>POR DIVIDENDOS AL 10%</t>
  </si>
  <si>
    <t>01090143000000</t>
  </si>
  <si>
    <t>01090144000000</t>
  </si>
  <si>
    <t>TOTAL DE I.S.R. RETENIDO A RESIDENTES EN EL PAIS</t>
  </si>
  <si>
    <t>POR PAGOS A RESIDENTES EN EL EXTRANJERO</t>
  </si>
  <si>
    <t>01090145000000</t>
  </si>
  <si>
    <t>SALARIOS AL 15%</t>
  </si>
  <si>
    <t>01090146000000</t>
  </si>
  <si>
    <t>SALARIOS AL 30%</t>
  </si>
  <si>
    <t>01090147000000</t>
  </si>
  <si>
    <t>JUBILACIONES, PENSIONES Y OTROS CONCEPTOS AL 15%</t>
  </si>
  <si>
    <t>01090148000000</t>
  </si>
  <si>
    <t>JUBILACIONES, PENSIONES Y OTROS CONCEPTOS AL 30%</t>
  </si>
  <si>
    <t>01090149000000</t>
  </si>
  <si>
    <t>HONORARIOS AL 25%</t>
  </si>
  <si>
    <t>01090150000000</t>
  </si>
  <si>
    <t>REGALIAS AL 5%</t>
  </si>
  <si>
    <t>01090151000000</t>
  </si>
  <si>
    <t>REGALIAS AL 10%</t>
  </si>
  <si>
    <t>01090152000000</t>
  </si>
  <si>
    <t>REGALIAS AL 25%</t>
  </si>
  <si>
    <t>01090153000000</t>
  </si>
  <si>
    <t>REGALIAS AL 35%</t>
  </si>
  <si>
    <t>01090154000000</t>
  </si>
  <si>
    <t>01090155000000</t>
  </si>
  <si>
    <t>MEDIACIONES</t>
  </si>
  <si>
    <t>01090156000000</t>
  </si>
  <si>
    <t>ARRENDAMIENTO DE INMUEBLES</t>
  </si>
  <si>
    <t>01090157000000</t>
  </si>
  <si>
    <t>ARRENDAMIENTO DE MUEBLES AL 5%</t>
  </si>
  <si>
    <t>01090158000000</t>
  </si>
  <si>
    <t>ARRENDAMIENTO DE MUEBLES AL 25%</t>
  </si>
  <si>
    <t>01090159000000</t>
  </si>
  <si>
    <t>INTERCAMBIO DE DEUDA PUBLICA POR CAPITAL</t>
  </si>
  <si>
    <t>01090160000000</t>
  </si>
  <si>
    <t>ARRENDAMIENTO FINANCIERO</t>
  </si>
  <si>
    <t>01090161000000</t>
  </si>
  <si>
    <t>01090162000000</t>
  </si>
  <si>
    <t>SERVICIO TURISTICO DE TIEMPO COMPARTIDO</t>
  </si>
  <si>
    <t>01090163000000</t>
  </si>
  <si>
    <t>INTERESES AL 4.9%</t>
  </si>
  <si>
    <t>01090164000000</t>
  </si>
  <si>
    <t>INTERESES AL 10%</t>
  </si>
  <si>
    <t>01090165000000</t>
  </si>
  <si>
    <t>INTERESES AL 15%</t>
  </si>
  <si>
    <t>01090166000000</t>
  </si>
  <si>
    <t>01090167000000</t>
  </si>
  <si>
    <t>INTERESES AL 35%</t>
  </si>
  <si>
    <t>01090168000000</t>
  </si>
  <si>
    <t>ENAJENACION DE INMUEBLES</t>
  </si>
  <si>
    <t>01090169000000</t>
  </si>
  <si>
    <t>ENAJENACION DE ACCIONES</t>
  </si>
  <si>
    <t>01090170000000</t>
  </si>
  <si>
    <t>OPERACIONES FINANCIERAS DERIVADAS DE CAPITAL</t>
  </si>
  <si>
    <t>01090171000000</t>
  </si>
  <si>
    <t>OPERACIONES FINANCIERAS DERIVADAS DE DEUDA</t>
  </si>
  <si>
    <t>01090172000000</t>
  </si>
  <si>
    <t>CONSTRUCCION DE OBRA, INSTALACION, MANTENIMIENTO O MONTAJE EN BIENES INMUEBLES</t>
  </si>
  <si>
    <t>01090173000000</t>
  </si>
  <si>
    <t>CONTRATO DE FLETAMENTO</t>
  </si>
  <si>
    <t>01090174000000</t>
  </si>
  <si>
    <t>ESPECTACULOS PUBLICOS, ARTISTICOS Y DEPORTIVOS</t>
  </si>
  <si>
    <t>01090175000000</t>
  </si>
  <si>
    <t>01090176000000</t>
  </si>
  <si>
    <t>01090177000000</t>
  </si>
  <si>
    <t>TOTAL DE I.S.R. RETENIDO A RESIDENTES EN EL EXTRANJERO</t>
  </si>
  <si>
    <t>01090178000000</t>
  </si>
  <si>
    <t>SERVICIOS PERSONALES INDEPENDIENTES PRESTADOS POR PERSONAS FISICAS</t>
  </si>
  <si>
    <t>01090179000000</t>
  </si>
  <si>
    <t>USO O GOCE TEMPORAL DE BIENES PRESTADOS U OTORGADOS POR PERSONAS FISICAS</t>
  </si>
  <si>
    <t>01090180000000</t>
  </si>
  <si>
    <t>01090181000000</t>
  </si>
  <si>
    <t>SERVICIOS DE AUTOTRANSPORTE TERRESTRE DE BIENES PRESTADOS POR PERSONAS FISICAS O MORALES</t>
  </si>
  <si>
    <t>01090182000000</t>
  </si>
  <si>
    <t>SERVICIOS PRESTADOS POR COMISIONISTAS PERSONAS FISICAS</t>
  </si>
  <si>
    <t>01090183000000</t>
  </si>
  <si>
    <t>ADQUISICION, O USO O GOCE TEMPORAL DE BIENES TANGIBLES, QUE ENAJENEN U OTORGUEN RESIDENTES EN EL EXTRANJERO SIN ESTABLECIMIENTO PERMANENTE EN EL PAIS</t>
  </si>
  <si>
    <t>01090184000000</t>
  </si>
  <si>
    <t>01090185000000</t>
  </si>
  <si>
    <t>TOTAL DE I.V.A. RETENIDO</t>
  </si>
  <si>
    <t>OTRAS CONTRIBUCIONES RETENIDAS</t>
  </si>
  <si>
    <t>01090186000000</t>
  </si>
  <si>
    <t>IMPUESTO ESPECIAL SOBRE PRODUCCION Y SERVICIOS RETENIDO</t>
  </si>
  <si>
    <t>01090187000000</t>
  </si>
  <si>
    <t>CUOTAS OBRERAS AL I.M.S.S.</t>
  </si>
  <si>
    <t>01090188000000</t>
  </si>
  <si>
    <t>COMPENSACIONES EFECTUADAS Y DEVOLUCIONES OBTENIDAS</t>
  </si>
  <si>
    <t>COMPENSACIONES EFECTUADAS DURANTE EL EJERCICIO DE SALDOS A FAVOR PROVENIENTES DE:</t>
  </si>
  <si>
    <t>A VALOR HISTORICO DE:</t>
  </si>
  <si>
    <t>01090189000000</t>
  </si>
  <si>
    <t>01090190000000</t>
  </si>
  <si>
    <t>01090191000000</t>
  </si>
  <si>
    <t>01090192000000</t>
  </si>
  <si>
    <t>01090193000000</t>
  </si>
  <si>
    <t>01090194000000</t>
  </si>
  <si>
    <t>OTRAS CONTRIBUCIONES FEDERALES</t>
  </si>
  <si>
    <t>A VALOR ACTUALIZADO DE:</t>
  </si>
  <si>
    <t>01090195000000</t>
  </si>
  <si>
    <t>01090196000000</t>
  </si>
  <si>
    <t>01090197000000</t>
  </si>
  <si>
    <t>01090198000000</t>
  </si>
  <si>
    <t>01090199000000</t>
  </si>
  <si>
    <t>01090200000000</t>
  </si>
  <si>
    <t>COMPENSACIONES EFECTUADAS DURANTE EL EJERCICIO APLICADAS A:</t>
  </si>
  <si>
    <t>01090201000000</t>
  </si>
  <si>
    <t>IMPUESTO AL VALOR AGREGADO PROPIO</t>
  </si>
  <si>
    <t>01090202000000</t>
  </si>
  <si>
    <t>IMPUESTO AL VALOR AGREGADO RETENIDO A TERCEROS</t>
  </si>
  <si>
    <t>01090203000000</t>
  </si>
  <si>
    <t>IMPUESTO SOBRE LA RENTA PROPIO</t>
  </si>
  <si>
    <t>01090204000000</t>
  </si>
  <si>
    <t>IMPUESTO SOBRE LA RENTA RETENIDO A TERCEROS</t>
  </si>
  <si>
    <t>01090205000000</t>
  </si>
  <si>
    <t>01090206000000</t>
  </si>
  <si>
    <t>01090207000000</t>
  </si>
  <si>
    <t>01090208000000</t>
  </si>
  <si>
    <t>01090209000000</t>
  </si>
  <si>
    <t>01090210000000</t>
  </si>
  <si>
    <t>01090211000000</t>
  </si>
  <si>
    <t>RECARGOS</t>
  </si>
  <si>
    <t>01090212000000</t>
  </si>
  <si>
    <t>MULTAS</t>
  </si>
  <si>
    <t>01090213000000</t>
  </si>
  <si>
    <t>OTROS ACCESORIOS</t>
  </si>
  <si>
    <t>DEVOLUCIONES OBTENIDAS EN EL EJERCICIO</t>
  </si>
  <si>
    <t>01090214000000</t>
  </si>
  <si>
    <t>01090215000000</t>
  </si>
  <si>
    <t>01090216000000</t>
  </si>
  <si>
    <t>01090217000000</t>
  </si>
  <si>
    <t>01090218000000</t>
  </si>
  <si>
    <t>01090219000000</t>
  </si>
  <si>
    <t>01090220000000</t>
  </si>
  <si>
    <t>01090221000000</t>
  </si>
  <si>
    <t>01090222000000</t>
  </si>
  <si>
    <t>01090223000000</t>
  </si>
  <si>
    <t>01090224000000</t>
  </si>
  <si>
    <t>01090225000000</t>
  </si>
  <si>
    <t>IMPORTE CORRESPONDIENTE                AL EJERCICIO FISCAL DICTAMINADO</t>
  </si>
  <si>
    <t>IMPORTE              PROVENIENTE                  DE EJERCICIOS           ANTERIORES</t>
  </si>
  <si>
    <t>TOTAL DE CONTRIBUCIONES           POR PAGAR</t>
  </si>
  <si>
    <t xml:space="preserve">IMPORTE DE LA CONTRIBUCION
EN LITIGIO
</t>
  </si>
  <si>
    <t>FECHA DE                   PAGO</t>
  </si>
  <si>
    <t>INSTITUCION DE                                                            CREDITO O                                                                                SAT</t>
  </si>
  <si>
    <t>NUMERO                                                                              DE LA                                                                             OPERACIÓN</t>
  </si>
  <si>
    <t>PAGO EN PARCIALIDADES
(DATOS DEL ESCRITO                                                         LIBRE):
NUMERO DE FOLIO</t>
  </si>
  <si>
    <t>PAGO EN PARCIALIDADES
(DATOS DEL ESCRITO LIBRE)
 FECHA DE PRESENTACION</t>
  </si>
  <si>
    <t>PAGO EN PARCIALIDADES
(DATOS DEL ESCRITO LIBRE)
 ADMINISTRACION RECEPTORA</t>
  </si>
  <si>
    <t>OFICIO DE                                                                   AUTORIZACION DE                                                          PAGO EN PARCIALIDADES:                                             NUMERO</t>
  </si>
  <si>
    <t>OFICIO DE AUTORIZACION DE PAGO EN PARCIALIDADES FECHA</t>
  </si>
  <si>
    <t>01100000000000</t>
  </si>
  <si>
    <t>DETERMINADO POR EL CONTRIBUYENTE (DEL EJERCICIO)</t>
  </si>
  <si>
    <t>01100001000000</t>
  </si>
  <si>
    <t>IMPUESTO SOBRE LA RENTA PAGOS PROVISIONALES PROPIOS</t>
  </si>
  <si>
    <t>01100002000000</t>
  </si>
  <si>
    <t>IMPUESTO SOBRE LA RENTA POR SALARIOS Y EN GENERAL POR LA PRESTACION DE UN SERVICIO PERSONAL SUBORDINADO EN SU CARACTER DE RETENEDOR</t>
  </si>
  <si>
    <t>01100003000000</t>
  </si>
  <si>
    <t>CORRESPONDIENTE AL MES DE:</t>
  </si>
  <si>
    <t>IMPUESTO SOBRE LA RENTA POR PAGO DE HONORARIOS EN SU CARÁCTER DE RETENEDOR</t>
  </si>
  <si>
    <t>01100004000000</t>
  </si>
  <si>
    <t>IMPUESTO SOBRE LA RENTA POR PAGO DE ARRENDAMIENTOS EN SU CARACTER DE RETENEDOR</t>
  </si>
  <si>
    <t>01100005000000</t>
  </si>
  <si>
    <t>IMPUESTO SOBRE LA RENTA POR PAGO DE INTERESES EN SU CARACTER DE RETENEDOR</t>
  </si>
  <si>
    <t>01100006000000</t>
  </si>
  <si>
    <t>IMPUESTO SOBRE LA RENTA (OTRAS RETENCIONES A RESIDENTES EN MEXICO) EN SU CARACTER DE RETENEDOR</t>
  </si>
  <si>
    <t>01100007000000</t>
  </si>
  <si>
    <t>IMPUESTO SOBRE LA RENTA SOBRE DIVIDENDOS COMO SUJETO DIRECTO</t>
  </si>
  <si>
    <t>01100008000000</t>
  </si>
  <si>
    <t>IMPUESTO SOBRE LA RENTA REGIMENES FISCALES PREFERENTES COMO SUJETO DIRECTO</t>
  </si>
  <si>
    <t>01100009000000</t>
  </si>
  <si>
    <t>CORRESPONDIENTE AL EJERCICIO DE:</t>
  </si>
  <si>
    <t>IMPUESTO SOBRE LA RENTA POR PAGOS AL EXTRANJERO EN SU CARACTER DE RETENEDOR</t>
  </si>
  <si>
    <t>01100010000000</t>
  </si>
  <si>
    <t>IMPUESTO EMPRESARIAL A TASA ÚNICA CAUSADO COMO SUJETO DIRECTO</t>
  </si>
  <si>
    <t>01100011000000</t>
  </si>
  <si>
    <t>CORRESPONDIENTE AL EJERCICIO DE: (ESPECIFIQUE EL EJERCICIO)</t>
  </si>
  <si>
    <t>IMPUESTO A LOS DEPOSITOS COMO RECAUDADOR (DE EJERCICIOS ANTERIORES)</t>
  </si>
  <si>
    <t>01100012000000</t>
  </si>
  <si>
    <t>INFORMACION DETERMINADA POR EL CONTRIBUYENTE:</t>
  </si>
  <si>
    <t>01100013000000</t>
  </si>
  <si>
    <t>01100014000000</t>
  </si>
  <si>
    <t>IMPUESTO AL VALOR AGREGADO EN SU CARACTER DE RETENEDOR</t>
  </si>
  <si>
    <t>01100015000000</t>
  </si>
  <si>
    <t>01100016000000</t>
  </si>
  <si>
    <t>IMPUESTO ESPECIAL SOBRE PRODUCCION Y SERVICIOS EN SU CARACTER DE RETENEDOR</t>
  </si>
  <si>
    <t>01100017000000</t>
  </si>
  <si>
    <t>01100018000000</t>
  </si>
  <si>
    <t>APORTACIONES AL INSTITUTO MEXICANO DEL SEGURO SOCIAL</t>
  </si>
  <si>
    <t>01100019000000</t>
  </si>
  <si>
    <t>APORTACIONES AL INSTITUTO DEL FONDO NACIONAL DE LA VIVIENDA PARA LOS TRABAJADORES</t>
  </si>
  <si>
    <t>01100020000000</t>
  </si>
  <si>
    <t>CORRESPONDIENTE AL BIMESTRE DE:</t>
  </si>
  <si>
    <t>01100021000000</t>
  </si>
  <si>
    <t>01100022000000</t>
  </si>
  <si>
    <t>01100023000000</t>
  </si>
  <si>
    <t>01100024000000</t>
  </si>
  <si>
    <t>EL INSTITUTO NACIONAL DE MIGRACION (INM) VISITANTE SIN PERMISO PARA REALIZAR ACTIVIDADES REMUNERADAS (ARTICULO 8, FRACCION I LEY FEDERAL DE DERECHOS) CORRESPONDIENTE AL MES DE:</t>
  </si>
  <si>
    <t>01100025000000</t>
  </si>
  <si>
    <t>EL INSTITUTO NACIONAL DE MIGRACION (INM).- SERVICIOS MIGRATORIOS (ARTICULO 12, LEY FEDERAL DE DERECHOS) CORRESPONDIENTE AL MES DE:</t>
  </si>
  <si>
    <t>01100026000000</t>
  </si>
  <si>
    <t>SERVICIOS A LA NAVEGACION EN EL ESPACIO AEREO MEXICANO (SENEAM), CORRESPONDIENTE AL MES DE:</t>
  </si>
  <si>
    <t>01100027000000</t>
  </si>
  <si>
    <t>INSTITUTO FEDERAL DE TELECOMUNICACIONES (IFT), CORRESPONDIENTE AL MES DE:</t>
  </si>
  <si>
    <t>01100028000000</t>
  </si>
  <si>
    <t>OTROS ESPECIFICAR CONCEPTO Y PERIODO AL QUE CORRESPONDE:</t>
  </si>
  <si>
    <t>OTRAS CONTRIBUCIONES</t>
  </si>
  <si>
    <t>01100029000000</t>
  </si>
  <si>
    <t>ESPECIFICAR CONCEPTO Y PERIODO AL QUE CORRESPONDE:</t>
  </si>
  <si>
    <t>DIFERENCIAS NO CONSIDERADAS POR EL CONTRIBUYENTE EN EL EJERCICIO FISCAL DICTAMINADO:</t>
  </si>
  <si>
    <t>01100030000000</t>
  </si>
  <si>
    <t>IMPUESTO SOBRE LA RENTA PAGOS PROVISIONALES</t>
  </si>
  <si>
    <t>01100031000000</t>
  </si>
  <si>
    <t>CORRESPONDIENTE AL MES O PERIODO DE:</t>
  </si>
  <si>
    <t>IMPUESTO SOBRE LA RENTA RETENCIONES A RESIDENTES EN MEXICO</t>
  </si>
  <si>
    <t>01100032000000</t>
  </si>
  <si>
    <t>IMPUESTO SOBRE LA RENTA RETENCIONES A RESIDENTES EN EL EXTRANJERO</t>
  </si>
  <si>
    <t>01100033000000</t>
  </si>
  <si>
    <t>01100034000000</t>
  </si>
  <si>
    <t>01100035000000</t>
  </si>
  <si>
    <t>CORRESPONDIENTE AL EJERCICIO</t>
  </si>
  <si>
    <t>01100036000000</t>
  </si>
  <si>
    <t>01100037000000</t>
  </si>
  <si>
    <t>01100038000000</t>
  </si>
  <si>
    <t>01100039000000</t>
  </si>
  <si>
    <t>01100040000000</t>
  </si>
  <si>
    <t>01100041000000</t>
  </si>
  <si>
    <t>01100042000000</t>
  </si>
  <si>
    <t>01100043000000</t>
  </si>
  <si>
    <t>01100044000000</t>
  </si>
  <si>
    <t>DERECHOS</t>
  </si>
  <si>
    <t>01100045000000</t>
  </si>
  <si>
    <t>01100046000000</t>
  </si>
  <si>
    <t>01100047000000</t>
  </si>
  <si>
    <t>01110000000000</t>
  </si>
  <si>
    <t>01110001000000</t>
  </si>
  <si>
    <t>MAS-MENOS:</t>
  </si>
  <si>
    <t>01110002000000</t>
  </si>
  <si>
    <t>EFECTO DE LA INFLACION DE LA NIF B-10</t>
  </si>
  <si>
    <t>01110003000000</t>
  </si>
  <si>
    <t>01110004000000</t>
  </si>
  <si>
    <t>01110005000000</t>
  </si>
  <si>
    <t>UTILIDAD NETA HISTORICA</t>
  </si>
  <si>
    <t>01110006000000</t>
  </si>
  <si>
    <t>PERDIDA HISTORICA</t>
  </si>
  <si>
    <t>01110007000000</t>
  </si>
  <si>
    <t>INGRESOS FISCALES NO CONTABLES</t>
  </si>
  <si>
    <t>01110008000000</t>
  </si>
  <si>
    <t>DEDUCCIONES CONTABLES NO FISCALES</t>
  </si>
  <si>
    <t>01110009000000</t>
  </si>
  <si>
    <t>DEDUCCIONES FISCALES NO CONTABLES</t>
  </si>
  <si>
    <t>01110010000000</t>
  </si>
  <si>
    <t>INGRESOS CONTABLES NO FISCALES</t>
  </si>
  <si>
    <t>01110011000000</t>
  </si>
  <si>
    <t>PERDIDA FISCAL ANTES DE PERDIDA EN ENAJENACION DE ACCIONES</t>
  </si>
  <si>
    <t>01110012000000</t>
  </si>
  <si>
    <t>UTILIDAD FISCAL ANTES DE PERDIDA EN ENAJENACION DE ACCIONES</t>
  </si>
  <si>
    <t>01110013000000</t>
  </si>
  <si>
    <t>01110014000000</t>
  </si>
  <si>
    <t>PERDIDA FISCAL ANTES DE P.T.U. PAGADA EN EL EJERCICIO</t>
  </si>
  <si>
    <t>01110015000000</t>
  </si>
  <si>
    <t>UTILIDAD FISCAL ANTES DE P.T.U. PAGADA EN EL EJERCICIO</t>
  </si>
  <si>
    <t>MAS O MENOS:</t>
  </si>
  <si>
    <t>01110016000000</t>
  </si>
  <si>
    <t>PTU PAGADA EN EL EJERCICIO</t>
  </si>
  <si>
    <t>01110017000000</t>
  </si>
  <si>
    <t>PERDIDA FISCAL DEL EJERCICIO</t>
  </si>
  <si>
    <t>01110018000000</t>
  </si>
  <si>
    <t>UTILIDAD FISCAL DEL EJERCICIO</t>
  </si>
  <si>
    <t>01110019000000</t>
  </si>
  <si>
    <t>DEDUCCION ADICIONAL DEL FOMENTO AL PRIMER EMPLEO DEL EJERCICIO (ARTICULO NOVENO FRACCION XXXVII DE LAS DISPOSICIONES TRANSITORIAS DE LA LEY DE ISR PARA 2014)</t>
  </si>
  <si>
    <t>01110020000000</t>
  </si>
  <si>
    <t>AMORTIZACION DE PERDIDAS DE EJERCICIOS ANTERIORES</t>
  </si>
  <si>
    <t>01110021000000</t>
  </si>
  <si>
    <t>RESULTADO FISCAL Y/O UTILIDAD GRAVABLE</t>
  </si>
  <si>
    <t>01110022000000</t>
  </si>
  <si>
    <t>AJUSTE ANUAL POR INFLACION ACUMULABLE</t>
  </si>
  <si>
    <t>01110023000000</t>
  </si>
  <si>
    <t>UTILIDAD CAMBIARIA FISCAL</t>
  </si>
  <si>
    <t>01110024000000</t>
  </si>
  <si>
    <t>01110025000000</t>
  </si>
  <si>
    <t>UTILIDAD FISCAL EN VENTA DE ACTIVO FIJO</t>
  </si>
  <si>
    <t>01110026000000</t>
  </si>
  <si>
    <t>UTILIDAD FISCAL EN VENTA DE TERRENOS</t>
  </si>
  <si>
    <t>01110027000000</t>
  </si>
  <si>
    <t>UTILIDAD FISCAL EN FIDEICOMISOS</t>
  </si>
  <si>
    <t>01110028000000</t>
  </si>
  <si>
    <t>ANTICIPOS DE CLIENTES</t>
  </si>
  <si>
    <t>01110029000000</t>
  </si>
  <si>
    <t>INGRESOS COBRADOS DEL EJERCICIO ANTERIOR (PERSONAS FISICAS)</t>
  </si>
  <si>
    <t>01110030000000</t>
  </si>
  <si>
    <t>INTERESES MORATORIOS EFECTIVAMENTE COBRADOS</t>
  </si>
  <si>
    <t>01110031000000</t>
  </si>
  <si>
    <t>01110032000000</t>
  </si>
  <si>
    <t>ESTIMULOS FISCALES</t>
  </si>
  <si>
    <t>01110033000000</t>
  </si>
  <si>
    <t>01110034000000</t>
  </si>
  <si>
    <t>01110035000000</t>
  </si>
  <si>
    <t>01110036000000</t>
  </si>
  <si>
    <t>PARTICIPACION DE UTILIDADES</t>
  </si>
  <si>
    <t>01110037000000</t>
  </si>
  <si>
    <t>01110038000000</t>
  </si>
  <si>
    <t>01110039000000</t>
  </si>
  <si>
    <t>COMPRAS DE MATERIAS PRIMAS, DE PRODUCCION EN PROCESO Y DE ARTICULOS TERMINADOS NO DEDUCIBLES</t>
  </si>
  <si>
    <t>01110040000000</t>
  </si>
  <si>
    <t>MANO DE OBRA NO DEDUCIBLE Y GASTOS DE FABRICACION NO DEDUCIBLE</t>
  </si>
  <si>
    <t>01110041000000</t>
  </si>
  <si>
    <t>01110042000000</t>
  </si>
  <si>
    <t>PROVISIONES</t>
  </si>
  <si>
    <t>01110043000000</t>
  </si>
  <si>
    <t>ESTIMACIONES</t>
  </si>
  <si>
    <t>01110044000000</t>
  </si>
  <si>
    <t>PERDIDA CONTABLE EN ENAJENACION DE ACCIONES</t>
  </si>
  <si>
    <t>01110045000000</t>
  </si>
  <si>
    <t>COSTO DE VENTAS (PERSONAS FISICAS)</t>
  </si>
  <si>
    <t>01110046000000</t>
  </si>
  <si>
    <t>01110047000000</t>
  </si>
  <si>
    <t>01110048000000</t>
  </si>
  <si>
    <t>PERDIDA CONTABLE EN VENTA DE ACTIVO</t>
  </si>
  <si>
    <t>01110049000000</t>
  </si>
  <si>
    <t>PERDIDA CONTABLE EN FIDEICOMISOS</t>
  </si>
  <si>
    <t>01110050000000</t>
  </si>
  <si>
    <t>PERDIDA CONTABLE EN ASOCIACION EN PARTICIPACION</t>
  </si>
  <si>
    <t>01110051000000</t>
  </si>
  <si>
    <t>HONORARIOS, RENTAS E INTERESES NO PAGADOS AL CIERRE DEL EJERCICIO</t>
  </si>
  <si>
    <t>01110052000000</t>
  </si>
  <si>
    <t>PERDIDA EN PARTICIPACION SUBSIDIARIA</t>
  </si>
  <si>
    <t>01110053000000</t>
  </si>
  <si>
    <t>INTERESES DEVENGADOS QUE EXCEDEN DEL VALOR DE MERCADO Y MORATORIOS PAGADOS O NO</t>
  </si>
  <si>
    <t>01110054000000</t>
  </si>
  <si>
    <t>01110055000000</t>
  </si>
  <si>
    <t>01110056000000</t>
  </si>
  <si>
    <t>01110057000000</t>
  </si>
  <si>
    <t>LAS PARTIDAS NO DEDUCIBLES SE CONTABILIZAN EN:</t>
  </si>
  <si>
    <t>01110058000000</t>
  </si>
  <si>
    <t>01110059000000</t>
  </si>
  <si>
    <t>01110060000000</t>
  </si>
  <si>
    <t>01110061000000</t>
  </si>
  <si>
    <t>LA DEPRECIACION CONTABLE SE INTEGRA POR:</t>
  </si>
  <si>
    <t>01110062000000</t>
  </si>
  <si>
    <t>01110063000000</t>
  </si>
  <si>
    <t>01110064000000</t>
  </si>
  <si>
    <t>01110065000000</t>
  </si>
  <si>
    <t>01110066000000</t>
  </si>
  <si>
    <t>COMPRAS (PERSONAS FISICAS)</t>
  </si>
  <si>
    <t>01110067000000</t>
  </si>
  <si>
    <t>MANO DE OBRA (PERSONAS FISICAS)</t>
  </si>
  <si>
    <t>01110068000000</t>
  </si>
  <si>
    <t>MAQUILAS (PERSONAS FISICAS)</t>
  </si>
  <si>
    <t>01110069000000</t>
  </si>
  <si>
    <t>GASTOS DE FABRICACION (PERSONAS FISICAS)</t>
  </si>
  <si>
    <t>01110070000000</t>
  </si>
  <si>
    <t>01110071000000</t>
  </si>
  <si>
    <t>DEDUCCION INMEDIATA DE INVERSIONES</t>
  </si>
  <si>
    <t>01110072000000</t>
  </si>
  <si>
    <t>AMORTIZACION FISCAL</t>
  </si>
  <si>
    <t>01110073000000</t>
  </si>
  <si>
    <t>PERDIDA FISCAL EN VENTA DE ACTIVO</t>
  </si>
  <si>
    <t>01110074000000</t>
  </si>
  <si>
    <t>PERDIDA FISCAL EN FIDEICOMISOS</t>
  </si>
  <si>
    <t>01110075000000</t>
  </si>
  <si>
    <t>AJUSTE ANUAL POR INFLACION DEDUCIBLE</t>
  </si>
  <si>
    <t>01110076000000</t>
  </si>
  <si>
    <t>PERDIDA CAMBIARIA FISCAL</t>
  </si>
  <si>
    <t>01110077000000</t>
  </si>
  <si>
    <t>CARGOS A PROVISIONES</t>
  </si>
  <si>
    <t>01110078000000</t>
  </si>
  <si>
    <t>01110079000000</t>
  </si>
  <si>
    <t>HONORARIOS, RENTAS E INTERESES QUE AFECTARON EL RESULTADO DEL EJERCICIO ANTERIOR PAGADOS EN ESTE</t>
  </si>
  <si>
    <t>01110080000000</t>
  </si>
  <si>
    <t>ANTICIPOS DE CLIENTES DEL EJERCICIO ANTERIOR</t>
  </si>
  <si>
    <t>01110081000000</t>
  </si>
  <si>
    <t>PERDIDA POR CREDITOS INCOBRABLES</t>
  </si>
  <si>
    <t>01110082000000</t>
  </si>
  <si>
    <t>INTERESES MORATORIOS EFECTIVAMENTE PAGADOS</t>
  </si>
  <si>
    <t>01110083000000</t>
  </si>
  <si>
    <t>DEDUCCION ADICIONAL POR DONACION DE BIENES BASICOS PARA LA SUBSISTENCIA HUMANA (ARTICULO 1.3. DEL DECRETO PUBLICADO EN EL DIARIO OFICIAL DE LA FEDERACION EL 26 DE DICIEMBRE DE 2013)</t>
  </si>
  <si>
    <t>01110084000000</t>
  </si>
  <si>
    <t>DEDUCCION DEL MONTO ADICIONAL DEL 25% DEL SALARIO (ARTICULO 1.5. DEL DECRETO PUBLICADO EN EL DIARIO OFICIAL DE LA FEDERACION EL 26 DE DICIEMBRE DE 2013)</t>
  </si>
  <si>
    <t>01110085000000</t>
  </si>
  <si>
    <t>DEDUCCION ADICIONAL PARA MAQUILADORAS</t>
  </si>
  <si>
    <t>01110086000000</t>
  </si>
  <si>
    <t>01110087000000</t>
  </si>
  <si>
    <t>01110088000000</t>
  </si>
  <si>
    <t>01110089000000</t>
  </si>
  <si>
    <t>UTILIDAD CONTABLE EN VENTA DE ACCIONES</t>
  </si>
  <si>
    <t>01110090000000</t>
  </si>
  <si>
    <t>UTILIDAD CONTABLE EN VENTA DE ACTIVO</t>
  </si>
  <si>
    <t>01110091000000</t>
  </si>
  <si>
    <t>UTILIDAD CONTABLE EN FIDEICOMISOS</t>
  </si>
  <si>
    <t>01110092000000</t>
  </si>
  <si>
    <t>UTILIDAD CONTABLE EN ASOCIACION EN PARTICIPACION</t>
  </si>
  <si>
    <t>01110093000000</t>
  </si>
  <si>
    <t>VENTAS ANTICIPADAS ACUMULADAS EN EL EJERCICIO ANTERIOR Y DEVENGADAS EN ESTE</t>
  </si>
  <si>
    <t>01110094000000</t>
  </si>
  <si>
    <t>CANCELACION DE ESTIMACIONES</t>
  </si>
  <si>
    <t>01110095000000</t>
  </si>
  <si>
    <t>CANCELACION DE PROVISIONES</t>
  </si>
  <si>
    <t>01110096000000</t>
  </si>
  <si>
    <t>INGRESOS POR DIVIDENDOS</t>
  </si>
  <si>
    <t>01110097000000</t>
  </si>
  <si>
    <t>INTERESES MORATORIOS DEVENGADOS A FAVOR COBRADOS O NO</t>
  </si>
  <si>
    <t>01110098000000</t>
  </si>
  <si>
    <t>UTILIDAD EN PARTICIPACION SUBSIDIARIA</t>
  </si>
  <si>
    <t>01110099000000</t>
  </si>
  <si>
    <t>ANTICIPO DE CLIENTES DE EJERCICIOS ANTERIORES CONSIDERADOS COMO INGRESOS EN EL EJERCICIO</t>
  </si>
  <si>
    <t>01110100000000</t>
  </si>
  <si>
    <t>INGRESOS DEL EJERCICIO NO COBRADOS (PERSONAS FISICAS)</t>
  </si>
  <si>
    <t>01110101000000</t>
  </si>
  <si>
    <t>01110102000000</t>
  </si>
  <si>
    <t>NUMERO DE                                       IDENTIFICACION                                          FISCAL</t>
  </si>
  <si>
    <t>PAIS DE                                                                                        RESIDENCIA</t>
  </si>
  <si>
    <t>FECHA DE              CELEBRACION DEL CONTRATO QUE LE           DIO ORIGEN A LA OPERACIÓN</t>
  </si>
  <si>
    <t>TIPO DE OPERACION                    CONTRATADA,                                           DEUDA O CAPITAL</t>
  </si>
  <si>
    <t>MONTO                          CONTRATADO</t>
  </si>
  <si>
    <t xml:space="preserve">TIPO DE 
MONEDA
</t>
  </si>
  <si>
    <t xml:space="preserve">TASA DE 
INTERES
</t>
  </si>
  <si>
    <t>VIGENCIA                         DEL</t>
  </si>
  <si>
    <t>VIGENCIA                          AL</t>
  </si>
  <si>
    <t xml:space="preserve">INDIQUE SI SE CONTRATO CON
UNA PARTE RELACIONADA
(SI O NO)
</t>
  </si>
  <si>
    <t>01120000000000</t>
  </si>
  <si>
    <t>01120001000000</t>
  </si>
  <si>
    <t>NUMERO DE                                   IDENTIFICACION                                          FISCAL</t>
  </si>
  <si>
    <t xml:space="preserve">PAIS DE                                               RESIDENCIA
FISCAL DE LA                                    ENTIDAD
</t>
  </si>
  <si>
    <t xml:space="preserve">PORCENTAJE
DE PARTICIPACION              EN EL CAPITAL               DE LA ENTIDAD
</t>
  </si>
  <si>
    <t xml:space="preserve">MONTO                                    DE LA
 INVERSION
</t>
  </si>
  <si>
    <t xml:space="preserve">MONTO DE LAS
 UTILIDADES (PERDIDAS) DE EJERCICIOS ANTERIORES EN EL PORCENTAJE DE PARTICIPACION
</t>
  </si>
  <si>
    <t xml:space="preserve">MONTO DE LA
 UTILIDAD (PERDIDA)     DEL EJERCICIO                EN EL PORCENTAJE            DE PARTICIPACION
</t>
  </si>
  <si>
    <t>VALOR                                       DE LA                                INVERSION</t>
  </si>
  <si>
    <t>01130000000000</t>
  </si>
  <si>
    <t>01130001000000</t>
  </si>
  <si>
    <t>NUMERO DE                                     IDENTIFICACION                                          FISCAL                                                            O RFC</t>
  </si>
  <si>
    <t xml:space="preserve">PAIS DE
 RESIDENCIA                                                  PARA EFECTOS                                        FISCALES
</t>
  </si>
  <si>
    <t>PORCENTAJE DE
PARTICIPACION            DEL SOCIO O ACCIONISTA EN                         EL EJERCICIO</t>
  </si>
  <si>
    <t>PERIODO DE                 TENENCIA                     DEL</t>
  </si>
  <si>
    <t>PERIODO DE                  TENENCIA                         AL</t>
  </si>
  <si>
    <t>MONTO DE APORTACIONES</t>
  </si>
  <si>
    <t>MONTO DE                      RETIROS DE                    CAPITAL</t>
  </si>
  <si>
    <t>MONTO DE                 PRESTAMOS EFECTUADOS</t>
  </si>
  <si>
    <t>MONTO DE                 PRESTAMOS                 RECIBIDOS</t>
  </si>
  <si>
    <t>01140000000000</t>
  </si>
  <si>
    <t>01140001000000</t>
  </si>
  <si>
    <t>01150000000000</t>
  </si>
  <si>
    <t>01150001000000</t>
  </si>
  <si>
    <t>01150002000000</t>
  </si>
  <si>
    <t>01150003000000</t>
  </si>
  <si>
    <t>EFECTO DE REEXPRESION DE LA UTILIDAD CAMBIARIA</t>
  </si>
  <si>
    <t>01150004000000</t>
  </si>
  <si>
    <t>01150005000000</t>
  </si>
  <si>
    <t>EFECTO DE REEXPRESION DEL RESULTADO POR POSICION MONETARIA FAVORABLE</t>
  </si>
  <si>
    <t>01150006000000</t>
  </si>
  <si>
    <t>01150007000000</t>
  </si>
  <si>
    <t>EFECTO DE REEXPRESION DE OTROS CONCEPTOS FINANCIEROS A FAVOR</t>
  </si>
  <si>
    <t>01150008000000</t>
  </si>
  <si>
    <t>01150009000000</t>
  </si>
  <si>
    <t>01150010000000</t>
  </si>
  <si>
    <t>TOTAL DE PRODUCTOS FINANCIEROS</t>
  </si>
  <si>
    <t>01150011000000</t>
  </si>
  <si>
    <t>01150012000000</t>
  </si>
  <si>
    <t>UTILIDAD NETA POR PARTICIPACION EN LOS RESULTADOS DE SUBSIDIARIAS NO CONSOLIDADAS Y ASOCIADAS</t>
  </si>
  <si>
    <t>01150013000000</t>
  </si>
  <si>
    <t>INGRESOS POR LAS OPERACIONES DISCONTINUADAS</t>
  </si>
  <si>
    <t>01150014000000</t>
  </si>
  <si>
    <t>01150015000000</t>
  </si>
  <si>
    <t>01150016000000</t>
  </si>
  <si>
    <t>VALUACION FAVORABLE DE COBERTURAS DE FLUJO DE EFECTIVO Y/O INSTRUMENTOS FINANCIEROS</t>
  </si>
  <si>
    <t>01150017000000</t>
  </si>
  <si>
    <t>01150018000000</t>
  </si>
  <si>
    <t>01150019000000</t>
  </si>
  <si>
    <t>IMPUESTO DIFERIDO ACREEDOR</t>
  </si>
  <si>
    <t>01150020000000</t>
  </si>
  <si>
    <t>TOTAL DE OTROS CONCEPTOS A FAVOR</t>
  </si>
  <si>
    <t>01150021000000</t>
  </si>
  <si>
    <t>TOTAL DE VENTAS O INGRESOS NETOS REPORTADOS EN EL ESTADO DE RESULTADO INTEGRAL</t>
  </si>
  <si>
    <t>MENOS :</t>
  </si>
  <si>
    <t>01150022000000</t>
  </si>
  <si>
    <t>METODO DE PARTICIPACION EN SUBSIDIARIAS, ASOCIADAS, ETCETERA</t>
  </si>
  <si>
    <t>01150023000000</t>
  </si>
  <si>
    <t>01150024000000</t>
  </si>
  <si>
    <t>01150025000000</t>
  </si>
  <si>
    <t>01150026000000</t>
  </si>
  <si>
    <t>01150027000000</t>
  </si>
  <si>
    <t>EFECTO DE REEXPRESION DE VENTAS O INGRESOS BRUTOS PROPIOS DE LA ACTIVIDAD</t>
  </si>
  <si>
    <t>01150028000000</t>
  </si>
  <si>
    <t>EFECTO DE REEXPRESION DE CAMBIOS EN EL VALOR RAZONABLE DE ACTIVOS Y PASIVOS FINANCIEROS A FAVOR</t>
  </si>
  <si>
    <t>01150029000000</t>
  </si>
  <si>
    <t>01150030000000</t>
  </si>
  <si>
    <t>01150031000000</t>
  </si>
  <si>
    <t>01150032000000</t>
  </si>
  <si>
    <t>01150033000000</t>
  </si>
  <si>
    <t>INGRESOS POR DIVIDENDOS PROVENIENTES DEL EXTRANJERO</t>
  </si>
  <si>
    <t>01150034000000</t>
  </si>
  <si>
    <t>GANANCIA FISCAL EN LA ENAJENACION DE ACTIVO FIJO</t>
  </si>
  <si>
    <t>01150035000000</t>
  </si>
  <si>
    <t>GANANCIA FISCAL EN LA ENAJENACION DE TERRENOS</t>
  </si>
  <si>
    <t>01150036000000</t>
  </si>
  <si>
    <t>01150037000000</t>
  </si>
  <si>
    <t>01150038000000</t>
  </si>
  <si>
    <t>GANANCIA REALIZADA EN FUSION O ESCISION DE SOCIEDADES</t>
  </si>
  <si>
    <t>01150039000000</t>
  </si>
  <si>
    <t>GANANCIA PROVENIENTE DE REDUCCION DE CAPITAL O LIQUIDACION DE SOCIEDADES MERCANTILES RESIDENTES EN EL EXTRANJERO</t>
  </si>
  <si>
    <t>01150040000000</t>
  </si>
  <si>
    <t>DEVOLUCIONES, DESCUENTOS O BONIFICACIONES SOBRE VENTAS O INGRESOS NACIONALES</t>
  </si>
  <si>
    <t>01150041000000</t>
  </si>
  <si>
    <t>DEVOLUCIONES, DESCUENTOS O BONIFICACIONES SOBRE VENTAS O INGRESOS AL EXTRANJERO</t>
  </si>
  <si>
    <t>01150042000000</t>
  </si>
  <si>
    <t>CANTIDADES RECIBIDAS EN EFECTIVO, EN MONEDA NACIONAL O EXTRANJERA POR PRESTAMOS, APORTACIONES PARA FUTUROS AUMENTOS DE CAPITAL O AUMENTOS DE CAPITAL MAYORES A $600,000.00</t>
  </si>
  <si>
    <t>01150043000000</t>
  </si>
  <si>
    <t>01150044000000</t>
  </si>
  <si>
    <t>01150045000000</t>
  </si>
  <si>
    <t>ANTICIPOS DE CLIENTES DE EJERCICIOS ANTERIORES</t>
  </si>
  <si>
    <t>01150046000000</t>
  </si>
  <si>
    <t>UTILIDAD CONTABLE EN VENTA DE ACTIVO FIJO</t>
  </si>
  <si>
    <t>01150047000000</t>
  </si>
  <si>
    <t>UTILIDAD CONTABLE EN VENTA DE TERRENOS</t>
  </si>
  <si>
    <t>01150048000000</t>
  </si>
  <si>
    <t>UTILIDAD CONTABLE EN VENTA DE ACCIONES O PARTES SOCIALES</t>
  </si>
  <si>
    <t>01150049000000</t>
  </si>
  <si>
    <t>UTILIDAD CONTABLE EN VENTA DE TITULOS VALOR</t>
  </si>
  <si>
    <t>01150050000000</t>
  </si>
  <si>
    <t>UTILIDAD CONTABLE EN FUSION O ESCISION DE SOCIEDADES</t>
  </si>
  <si>
    <t>01150051000000</t>
  </si>
  <si>
    <t>INGRESOS POR DIVIDENDOS O UTILIDADES PERCIBIDOS DE OTRAS PERSONAS MORALES RESIDENTES EN MEXICO</t>
  </si>
  <si>
    <t>01150052000000</t>
  </si>
  <si>
    <t>01150053000000</t>
  </si>
  <si>
    <t>01150054000000</t>
  </si>
  <si>
    <t>01150055000000</t>
  </si>
  <si>
    <t>INGRESOS ACUMULABLES PARA EL IMPUESTO SOBRE LA RENTA</t>
  </si>
  <si>
    <t>01150056000000</t>
  </si>
  <si>
    <t>01150057000000</t>
  </si>
  <si>
    <t>COSTO FISCAL POR LA ENAJENACIÓN DE ACTIVO FIJO</t>
  </si>
  <si>
    <t>01150058000000</t>
  </si>
  <si>
    <t>COSTO FISCAL POR ENAJENACION DE TERRENOS</t>
  </si>
  <si>
    <t>01150059000000</t>
  </si>
  <si>
    <t>01150060000000</t>
  </si>
  <si>
    <t>01150061000000</t>
  </si>
  <si>
    <t>01150062000000</t>
  </si>
  <si>
    <t>01150063000000</t>
  </si>
  <si>
    <t>01150064000000</t>
  </si>
  <si>
    <t>01150065000000</t>
  </si>
  <si>
    <t>01150066000000</t>
  </si>
  <si>
    <t>PERDIDA FISCAL EN LA ENAJENACION DE ACTIVO FIJO</t>
  </si>
  <si>
    <t>01150067000000</t>
  </si>
  <si>
    <t>PERDIDA FISCAL EN LA ENAJENACION DE TERRENOS</t>
  </si>
  <si>
    <t>01150068000000</t>
  </si>
  <si>
    <t>01150069000000</t>
  </si>
  <si>
    <t>VENTAS O INGRESOS NO COBRADOS EN EL EJERCICIO</t>
  </si>
  <si>
    <t>01150070000000</t>
  </si>
  <si>
    <t>01150071000000</t>
  </si>
  <si>
    <t>INTERESES QUE GENERARON IVA Y QUE ESTAN EN RESERVA DE CAPITAL</t>
  </si>
  <si>
    <t>01150072000000</t>
  </si>
  <si>
    <t>01150073000000</t>
  </si>
  <si>
    <t>01150074000000</t>
  </si>
  <si>
    <t>TOTAL DEL VALOR DE LOS ACTOS O ACTIVIDADES PARA EFECTOS DEL IMPUESTO AL VALOR AGREGADO</t>
  </si>
  <si>
    <t>NUMERO DE                                       IDENTIFICACION                                           FISCAL                                                            O RFC</t>
  </si>
  <si>
    <t>TIPO DE OPERACION</t>
  </si>
  <si>
    <t>EN CASO DE QUE _x000D_
EN LA COLUMNA                                                                _x000D_"TIPO DE OPERACION",                                             _x000D_HAYAN SELECCIONADO ALGUNO                                     DE LOS  CONCEPTOS DE                                               "_x000D_OTROS INGRESOS" U _x000D_
"OTROS PAGOS", _x000D_
ESPECIFIQUE CONCEPTO</t>
  </si>
  <si>
    <t>PAIS DE                                               RESIDENCIA</t>
  </si>
  <si>
    <t>VALOR DE LA                     OPERACION Y/O                 INVERSION PARA                EFECTOS FISCALES              (INCLUSO CON                 VALOR CERO)</t>
  </si>
  <si>
    <t>METODO DE PRECIOS                                           DE TRANSFERENCIA                             APLICADO</t>
  </si>
  <si>
    <t xml:space="preserve">LA OPERACION ESTA PACTADA COMO CON PARTES INDEPENDIENTES EN OPERACIONES COMPARABLES
(SI O NO)
</t>
  </si>
  <si>
    <t>AJUSTE FISCAL DEL CONTRIBUYENTE PARA QUE LA OPERACION SE CONSIDERE PACTADA COMO CON PARTES INDEPENDIENTES EN OPERACIONES COMPARABLES</t>
  </si>
  <si>
    <t>01160000000000</t>
  </si>
  <si>
    <t>01160001000000</t>
  </si>
  <si>
    <t>TOTAL DE INGRESOS ACUMULABLES</t>
  </si>
  <si>
    <t>DEDUCCIONES AUTORIZADAS</t>
  </si>
  <si>
    <t>01160002000000</t>
  </si>
  <si>
    <t>01160003000000</t>
  </si>
  <si>
    <t>TOTAL DE DEDUCCIONES AUTORIZADAS</t>
  </si>
  <si>
    <t>DATOS A                                    PROPORCIONAR</t>
  </si>
  <si>
    <t>01170000000000</t>
  </si>
  <si>
    <t>01170001000000</t>
  </si>
  <si>
    <t>MANUFACTURA</t>
  </si>
  <si>
    <t>01170002000000</t>
  </si>
  <si>
    <t>MAQUILADORA</t>
  </si>
  <si>
    <t>01170003000000</t>
  </si>
  <si>
    <t>OTORGAMIENTO DE USO O GOCE TEMPORAL DE BIENES</t>
  </si>
  <si>
    <t>01170004000000</t>
  </si>
  <si>
    <t>SERVICIOS</t>
  </si>
  <si>
    <t>01170005000000</t>
  </si>
  <si>
    <t>OTROS (ESPECIFICAR)</t>
  </si>
  <si>
    <t>01170006000000</t>
  </si>
  <si>
    <t>EL CONTRIBUYENTE ES PROPIETARIO DE LOS ACTIVOS QUE UTILIZA PARA REALIZAR SU ACTIVIDAD PREPONDERANTE MISMOS QUE ESTAN REGISTRADOS EN SU CONTABILIDAD</t>
  </si>
  <si>
    <t>01170007000000</t>
  </si>
  <si>
    <t>EL CONTRIBUYENTE POSEE O USA ACTIVOS INTANGIBLES LOS CUALES SE ENCUENTRAN REGISTRADOS EN SU CONTABILIDAD</t>
  </si>
  <si>
    <t>ESPECIFIQUE LOS CINCO PRINCIPALES ACTIVOS INTANGIBLES QUE USA EL CONTRIBUYENTE (VER APENDICE VIII) QUE SE ENCUENTRAN REGISTRADOS EN SU CONTABILIDAD</t>
  </si>
  <si>
    <t>01170008000000</t>
  </si>
  <si>
    <t>CAMPO 1</t>
  </si>
  <si>
    <t>01170009000000</t>
  </si>
  <si>
    <t>CAMPO 2</t>
  </si>
  <si>
    <t>01170010000000</t>
  </si>
  <si>
    <t>CAMPO 3</t>
  </si>
  <si>
    <t>01170011000000</t>
  </si>
  <si>
    <t>CAMPO 4</t>
  </si>
  <si>
    <t>01170012000000</t>
  </si>
  <si>
    <t>CAMPO 5</t>
  </si>
  <si>
    <t>01170013000000</t>
  </si>
  <si>
    <t>MONTO DE LA REGALIA POR EL USO DE ACTIVOS INTANGIBLES</t>
  </si>
  <si>
    <t>ESPECIFIQUE LOS CINCO PRINCIPALES ACTIVOS INTANGIBLES POR LOS QUE OTORGA EL USO O GOCE (VER APENDICE VIII)</t>
  </si>
  <si>
    <t>01170014000000</t>
  </si>
  <si>
    <t>01170015000000</t>
  </si>
  <si>
    <t>01170016000000</t>
  </si>
  <si>
    <t>01170017000000</t>
  </si>
  <si>
    <t>01170018000000</t>
  </si>
  <si>
    <t>01170019000000</t>
  </si>
  <si>
    <t>MONTO DE LA REGALIA POR EL QUE SE OTORGA EL USO DE ACTIVOS INTANGIBLES</t>
  </si>
  <si>
    <t xml:space="preserve">ESPECIFIQUE LOS CINCO PRINCIPALES ACTIVOS INTANGIBLES DE LOS QUE ES PROPIETARIO Y QUE TIENE REGISTRADOS EN SU CONTABILIDAD (VER APENDICE VIII) </t>
  </si>
  <si>
    <t>01170020000000</t>
  </si>
  <si>
    <t>01170021000000</t>
  </si>
  <si>
    <t>01170022000000</t>
  </si>
  <si>
    <t>01170023000000</t>
  </si>
  <si>
    <t>01170024000000</t>
  </si>
  <si>
    <t>01170025000000</t>
  </si>
  <si>
    <t>VALOR DEL ACTIVO INTANGIBLE QUE TIENE REGISTRADO EN SU CONTABILIDAD</t>
  </si>
  <si>
    <t>01170026000000</t>
  </si>
  <si>
    <t>EL CONTRIBUYENTE OBTUVO UN ACUERDO ANTICIPADO DE PRECIOS (APA) APLICABLE AL EJERCICIO FISCAL</t>
  </si>
  <si>
    <t>01170027000000</t>
  </si>
  <si>
    <t>NUMERO DE OFICIO</t>
  </si>
  <si>
    <t>01170028000000</t>
  </si>
  <si>
    <t>FECHA DEL OFICIO</t>
  </si>
  <si>
    <t>01170029000000</t>
  </si>
  <si>
    <t>INDIQUE SI SE ENCUENTRA EN NEGOCIACION UN ACUERDO ANTICIPADO DE PRECIOS (APA) APLICABLE AL EJERCICIO FISCAL</t>
  </si>
  <si>
    <t>01170030000000</t>
  </si>
  <si>
    <t>FECHA DE PRESENTACION DE LA PROMOCION</t>
  </si>
  <si>
    <t>01170031000000</t>
  </si>
  <si>
    <t>EL CONTRIBUYENTE OBTUVO ALGUNA RESOLUCION FAVORABLE DEL SAT QUE INVOLUCRE TRANSACCIONES CON PARTES RELACIONADAS</t>
  </si>
  <si>
    <t>01170032000000</t>
  </si>
  <si>
    <t>NÚMERO DE OFICIO</t>
  </si>
  <si>
    <t>01170033000000</t>
  </si>
  <si>
    <t>01170034000000</t>
  </si>
  <si>
    <t>DEDUJO EN EL EJERCICIO INVENTARIOS INICIALES PROVENIENTES DE OPERACIONES CON PARTES RELACIONADAS EFECTUADAS EN EJERCICIOS ANTERIORES</t>
  </si>
  <si>
    <t>01170035000000</t>
  </si>
  <si>
    <t>DEDUJO EN EL EJERCICIO DEPRECIACIONES O AMORTIZACIONES PROVENIENTES DE OPERACIONES CON PARTES RELACIONADAS EFECTUADAS EN EJERCICIOS ANTERIORES</t>
  </si>
  <si>
    <t>01170036000000</t>
  </si>
  <si>
    <t>EL CONTRIBUYENTE CUENTA CON LA DOCUMENTACION COMPROBATORIA A QUE SE REFIERE LA FRACCION IX DEL ARTICULO 76 DE LA LISR (ESTUDIO(S) DE PRECIOS DE TRANSFERENCIA)</t>
  </si>
  <si>
    <t>01170037000000</t>
  </si>
  <si>
    <t>EL CONTRIBUYENTE PRESENTO SU DECLARACION INFORMATIVA POR SUS OPERACIONES CON PARTES RELACIONADAS RESIDENTES EN EL EXTRANJERO (FRACCION X DEL ARTICULO 76 DE LA LISR)</t>
  </si>
  <si>
    <t>01170038000000</t>
  </si>
  <si>
    <t>FECHA DE PRESENTACION (ULTIMA PRESENTADA)</t>
  </si>
  <si>
    <t>01170039000000</t>
  </si>
  <si>
    <t>EL CONTRIBUYENTE CUENTA CON EVIDENCIA DOCUMENTAL QUE DEMUESTRE HABER DADO CUMPLIMIENTO A LO DISPUESTO POR LA FRACCION XII DEL ARTICULO 76 DE LA LISR POR SUS OPERACIONES CON PARTES RELACIONADAS:</t>
  </si>
  <si>
    <t>RFC DE LAS PERSONAS QUE ELABORARON LA INFORMACION Y DOCUMENTACION QUE DEMUESTRE EL CUMPLIMIENTO A LO DISPUESTO POR EL ARTICULO 76 FRACCIONES IX Y XII DE LA LISR, O BIEN, QUE ASESORARON EN SU FORMULACION.</t>
  </si>
  <si>
    <t>ELABORADORES</t>
  </si>
  <si>
    <t>01170040000000</t>
  </si>
  <si>
    <t>RFC O NUMERO DE IDENTIFICACION FISCAL 1</t>
  </si>
  <si>
    <t>01170041000000</t>
  </si>
  <si>
    <t>RFC O NUMERO DE IDENTIFICACION FISCAL 2</t>
  </si>
  <si>
    <t>01170042000000</t>
  </si>
  <si>
    <t>RFC O NUMERO DE IDENTIFICACION FISCAL 3</t>
  </si>
  <si>
    <t>ASESORES</t>
  </si>
  <si>
    <t>01170043000000</t>
  </si>
  <si>
    <t>01170044000000</t>
  </si>
  <si>
    <t>01170045000000</t>
  </si>
  <si>
    <t>OBLIGACIONES EN MATERIA DE PRECIOS DE TRANSFERENCIA</t>
  </si>
  <si>
    <t>01170046000000</t>
  </si>
  <si>
    <t>LAS CIFRAS REPORTADAS EN LA DECLARACION INFORMATIVA DE OPERACIONES CON PARTES RELACIONADAS SON COINCIDENTES CON LAS MANIFESTADAS EN LOS ESTUDIOS DE PRECIOS DE TRANSFERENCIA (DOCUMENTACION COMPROBATORIA) (FRACCIONES X Y IX RESPECTIVAMENTE DEL ARTICULO 76 DE LA LISR)</t>
  </si>
  <si>
    <t>01170047000000</t>
  </si>
  <si>
    <t>01170048000000</t>
  </si>
  <si>
    <t>01170049000000</t>
  </si>
  <si>
    <t>01170050000000</t>
  </si>
  <si>
    <t>LAS CIFRAS REPORTADAS PARA LAS OPERACIONES CON PARTES RELACIONADAS EN LA EVIDENCIA DOCUMENTAL QUE DEMUESTRE HABER DADO CUMPLIMIENTO A LO DISPUESTO POR LA FRACCION XII DEL ARTICULO 76 DE LA LISR SON COINCIDENTES CON LAS MANIFESTADAS EN EL ANEXO 16 DEL DICTAMEN</t>
  </si>
  <si>
    <t>01170051000000</t>
  </si>
  <si>
    <t>EN CASO DE DISCREPANCIA, ESPECIFIQUE:</t>
  </si>
  <si>
    <t>01170052000000</t>
  </si>
  <si>
    <t>EN ALGUNA(S) DE LAS TRANSACCIONES ANALIZADAS EN LA DIVERSA DOCUMENTACION DE PRECIOS DE TRANSFERENCIA DEL CONTRIBUYENTE, SE ELIGIO COMO PARTE EXAMINADA A LA PARTE RELACIONADA RESIDENTE EN EL EXTRANJERO</t>
  </si>
  <si>
    <t>01170053000000</t>
  </si>
  <si>
    <t>INDIQUE LAS TRANSACCIONES REALIZADAS</t>
  </si>
  <si>
    <t>01170054000000</t>
  </si>
  <si>
    <t>01170055000000</t>
  </si>
  <si>
    <t>EL CONTRIBUYENTE TIENE EN SU PODER TODA LA INFORMACION FINANCIERA Y FISCAL DE LA PARTE RELACIONADA RESIDENTE EN EL EXTRANJERO QUE ES NECESARIA PARA DEMOSTRAR EL ANALISIS Y LAS CONCLUSIONES DE LA DOCUMENTACION DE PRECIOS DE TRANSFERENCIA EN DONDE DICHA PARTE RELACIONADA FUE ELEGIDA COMO LA PARTE A EXAMINAR</t>
  </si>
  <si>
    <t>AJUSTES DE PRECIOS DE TRANSFERENCIA</t>
  </si>
  <si>
    <t>01170056000000</t>
  </si>
  <si>
    <t>REALIZO ALGÚN AJUSTE EN MATERIA DE PRECIOS DE TRANSFERENCIA PARA QUE LOS PRECIOS, MONTOS DE CONTRAPRESTACIONES O MARGENES DE UTILIDAD DE LAS OPERACIONES CELEBRADAS CON PARTES RELACIONADAS SE CONSIDEREN COMO PACTADAS COMO LO HARIAN CON O ENTRE PARTES INDEPENDIENTES EN OPERACIONES COMPARABLES</t>
  </si>
  <si>
    <t>NOTA: EN CASO DE QUE EN EL ANEXO 16 SE PRESENTE INFORMACIÓN EN LA COLUMNA “AJUSTE FISCAL DEL CONTRIBUYENTE PARA QUE LA OPERACION SE CONSIDERE PACTADA COMO CON PARTES INDEPENDIENTES EN OPERACIONES COMPARABLES” CONTESTE LO SIGUIENTE (EFECTOS FISCALES NO CONTABLES):</t>
  </si>
  <si>
    <t>01170057000000</t>
  </si>
  <si>
    <t>EL MONTO DEL INCREMENTO A LOS INGRESOS ACUMULABLES PARA EFECTOS DE LA LISR</t>
  </si>
  <si>
    <t>01170058000000</t>
  </si>
  <si>
    <t>EL MONTO DISMINUIDO A LOS INGRESOS ACUMULABLES PARA EFECTOS DE LA LISR</t>
  </si>
  <si>
    <t>01170059000000</t>
  </si>
  <si>
    <t>EL MONTO DEL INCREMENTO A LAS DEDUCCIONES AUTORIZADAS PARA EFECTOS DE LA LISR</t>
  </si>
  <si>
    <t>01170060000000</t>
  </si>
  <si>
    <t>EL MONTO DISMINUIDO A LAS DEDUCCIONES AUTORIZADAS PARA EFECTOS DE LA LISR</t>
  </si>
  <si>
    <t>01170061000000</t>
  </si>
  <si>
    <t xml:space="preserve">INTERESES CON PARTES RELACIONADAS CONSIDERADOS COMO DIVIDENDOS </t>
  </si>
  <si>
    <t>01170062000000</t>
  </si>
  <si>
    <t>EL CONTRIBUYENTE CONSIDERO INTERESES DEVENGADOS COMO DIVIDENDOS DE ACUERDO CON LO PREVISTO POR EL ARTICULO 11 DE LA LISR</t>
  </si>
  <si>
    <t>01170063000000</t>
  </si>
  <si>
    <t>MONTO DE LOS INTERESES CONSIDERADOS COMO DIVIDENDOS</t>
  </si>
  <si>
    <t>COSTO DE VENTAS CON PARTES RELACIONADAS:</t>
  </si>
  <si>
    <t>01170064000000</t>
  </si>
  <si>
    <t>ANALIZO EL COSTO DE VENTAS CORRESPONDIENTE A ENAJENACIONES A PARTES RELACIONADAS DE ACUERDO CON LO PREVISTO POR LAS FRACCIONES I, II Y III DEL ARTICULO 180 DE LA LISR (ARTICULO 42, SEGUNDO PARRAFO L.I.S.R.)</t>
  </si>
  <si>
    <t>01170065000000</t>
  </si>
  <si>
    <t>ARTICULO 180 FRACCION I DE LA LISR</t>
  </si>
  <si>
    <t>01170066000000</t>
  </si>
  <si>
    <t>ARTICULO 180 FRACCION II DE LA LISR</t>
  </si>
  <si>
    <t>01170067000000</t>
  </si>
  <si>
    <t>ARTICULO 180 FRACCION III DE LA LISR</t>
  </si>
  <si>
    <t>01170068000000</t>
  </si>
  <si>
    <t>GASTOS DEDUCIBLES Y NO DEDUCIBLES</t>
  </si>
  <si>
    <t>01170069000000</t>
  </si>
  <si>
    <t>DEDUJO GASTOS CON PARTES RELACIONADAS DE LOS REFERIDOS EN EL SEGUNDO PARRAFO DE LA FRACCION XXIX DEL ARTICULO 28 DE LA LISR</t>
  </si>
  <si>
    <t>01170070000000</t>
  </si>
  <si>
    <t>INDIQUE EL MONTO DE LA DEDUCCION REALIZADA</t>
  </si>
  <si>
    <t>01170071000000</t>
  </si>
  <si>
    <t>CONSIDERO COMO NO DEDUCIBLES GASTOS CON PARTES RELACIONADAS DE LOS REFERIDOS EN EL PRIMER PARRAFO DE LA FRACCION XXIX DEL ARTICULO 28 DE LA LISR</t>
  </si>
  <si>
    <t>01170072000000</t>
  </si>
  <si>
    <t>INDIQUE EL MONTO DEL GASTO CONSIDERADO COMO NO DEDUCIBLE</t>
  </si>
  <si>
    <t>01170073000000</t>
  </si>
  <si>
    <t>DEDUJO GASTOS CON PARTES RELACIONADAS DE LOS REFERIDOS EN LA FRACCION XXXI DEL ARTICULO 28 DE LA LISR</t>
  </si>
  <si>
    <t>01170074000000</t>
  </si>
  <si>
    <t>01170075000000</t>
  </si>
  <si>
    <t>CONSIDERO COMO NO DEDUCIBLES GASTOS CON PARTES RELACIONADAS DE LOS REFERIDOS EN LA FRACCION XXXI DEL ARTICULO 28 DE LA LISR</t>
  </si>
  <si>
    <t>01170076000000</t>
  </si>
  <si>
    <t>GASTOS A PRORRATA</t>
  </si>
  <si>
    <t>01170077000000</t>
  </si>
  <si>
    <t>DEDUJO GASTOS CON PARTES RELACIONADAS EFECTUADOS EN EL EXTRANJERO A PRORRATA</t>
  </si>
  <si>
    <t>01170078000000</t>
  </si>
  <si>
    <t>01170079000000</t>
  </si>
  <si>
    <t>PERDIDAS POR ENAJENACION DE ACCIONES</t>
  </si>
  <si>
    <t>01170080000000</t>
  </si>
  <si>
    <t>OBTUVO PERDIDA FISCAL AL REALIZAR UNA OPERACION DE ENAJENACION DE ACCIONES CON Y ENTRE PARTES RELACIONADAS</t>
  </si>
  <si>
    <t>01170081000000</t>
  </si>
  <si>
    <t>INDIQUE EL VALOR DEL PRECIO DE ENAJENACION DEL PAQUETE ACCIONARIO ENAJENADO</t>
  </si>
  <si>
    <t>01170082000000</t>
  </si>
  <si>
    <t>INDIQUE EL COSTO COMPROBADO DE ADQUISICION DEL PAQUETE ACCIONARIO ENAJENADO</t>
  </si>
  <si>
    <t>01170083000000</t>
  </si>
  <si>
    <t>OPERACIONES FINANCIERAS DERIVADAS CON PARTES RELACIONADAS</t>
  </si>
  <si>
    <t>01170084000000</t>
  </si>
  <si>
    <t>ACUMULO INGRESOS PROVENIENTES DE OPERACIONES FINANCIERAS DERIVADAS</t>
  </si>
  <si>
    <t>01170085000000</t>
  </si>
  <si>
    <t>INDIQUE EL MONTO DE LA ACUMULACION CORRESPONDIENTE</t>
  </si>
  <si>
    <t>01170086000000</t>
  </si>
  <si>
    <t>EFECTUO DEDUCCIONES RELACIONADAS CON OPERACIONES FINANCIERAS DERIVADAS</t>
  </si>
  <si>
    <t>01170087000000</t>
  </si>
  <si>
    <t>INDIQUE EL MONTO DE LA DEDUCCION CORRESPONDIENTE</t>
  </si>
  <si>
    <t>01170088000000</t>
  </si>
  <si>
    <t>OBTUVO PERDIDAS EN OPERACIONES FINANCIERAS DERIVADAS CON PARTES RELACIONADAS EN LOS TERMINOS DEL ARTICULO 28 FRACCION XIX DE LA LISR.</t>
  </si>
  <si>
    <t>01170089000000</t>
  </si>
  <si>
    <t>01170090000000</t>
  </si>
  <si>
    <t>REALIZO PAGOS DE CANTIDADES INICIALES POR EL DERECHO A ADQUIRIR O VENDER, BIENES, DIVISAS, ACCIONES U OTROS TITULOS VALOR QUE NO COTIZARON EN MERCADOS RECONOCIDOS CONFORME A LO REFERIDO EN EL ARTICULO 28 FRACCION XXIV DE LA LISR</t>
  </si>
  <si>
    <t>01170091000000</t>
  </si>
  <si>
    <t>CAPITALIZACION INSUFICIENTE:</t>
  </si>
  <si>
    <t>01170092000000</t>
  </si>
  <si>
    <t>DETERMINO INTERESES NO DEDUCIBLES DE ACUERDO A LO PREVISTO POR EL ARTICULO 28 FRACCION XXVII DE LA LISR</t>
  </si>
  <si>
    <t>01170093000000</t>
  </si>
  <si>
    <t>SALDO PROMEDIO ANUAL DE TODAS LAS DEUDAS DEL CONTRIBUYENTE QUE DEVENGARON INTERESES A CARGO, DETERMINADAS EN LOS TERMINOS DEL ARTICULO 28 FRACCION XXVII DE LA LISR</t>
  </si>
  <si>
    <t>01170094000000</t>
  </si>
  <si>
    <t>CAPITAL CONTABLE AL INICIO DEL EJERCICIO DETERMINADO EN LOS TERMINOS DEL ARTICULO 28 FRACCION XXVII DE LA LISR</t>
  </si>
  <si>
    <t>01170095000000</t>
  </si>
  <si>
    <t>CAPITAL CONTABLE AL FINAL DEL EJERCICIO DETERMINADO EN LOS TERMINOS DEL ARTICULO 28 FRACCION XXVII DE LA LISR</t>
  </si>
  <si>
    <t>01170096000000</t>
  </si>
  <si>
    <t>CAPITAL CONTABLE PROMEDIO</t>
  </si>
  <si>
    <t>01170097000000</t>
  </si>
  <si>
    <t>CAPITAL CONTABLE PROMEDIO POR TRES</t>
  </si>
  <si>
    <t>01170098000000</t>
  </si>
  <si>
    <t>SALDO PROMEDIO ANUAL DE DEUDAS DEL CONTRIBUYENTE CONTRAIDAS CON PARTES RELACIONADAS RESIDENTES EN EL EXTRANJERO, DETERMINADAS EN LOS TERMINOS DEL ARTICULO 28 FRACCION XXVII DE LA LISR</t>
  </si>
  <si>
    <t>01170099000000</t>
  </si>
  <si>
    <t>INTERESES NO DEDUCIBLES DETERMINADOS EN LOS TERMINOS DEL ARTICULO 28 FRACCION XXVII DE LA LISR</t>
  </si>
  <si>
    <t>01170100000000</t>
  </si>
  <si>
    <t>OPTO POR CONSIDERAR COMO CAPITAL CONTABLE DEL EJERCICIO LOS SALDOS INICIALES Y FINALES DEL EJERCICIO DE SUS CUENTAS DE CAPITAL DE APORTACION, UTILIDAD FISCAL NETA Y UTILIDAD FISCAL NETA REINVERTIDA</t>
  </si>
  <si>
    <t xml:space="preserve">AJUSTES CORRESPONDIENTES </t>
  </si>
  <si>
    <t>01170101000000</t>
  </si>
  <si>
    <t>01170102000000</t>
  </si>
  <si>
    <t>EN CASO AFIRMATIVO, INDIQUE EL MONTO DE LOS MISMOS</t>
  </si>
  <si>
    <t>01170103000000</t>
  </si>
  <si>
    <t>EL EJERCICIO FISCAL AJUSTADO (1)</t>
  </si>
  <si>
    <t>01170104000000</t>
  </si>
  <si>
    <t>EL EJERCICIO FISCAL AJUSTADO (2)</t>
  </si>
  <si>
    <t>01170105000000</t>
  </si>
  <si>
    <t>EL EJERCICIO FISCAL AJUSTADO (3)</t>
  </si>
  <si>
    <t>01170106000000</t>
  </si>
  <si>
    <t>01170107000000</t>
  </si>
  <si>
    <t>01170108000000</t>
  </si>
  <si>
    <t>01170109000000</t>
  </si>
  <si>
    <t>01170110000000</t>
  </si>
  <si>
    <t>01170111000000</t>
  </si>
  <si>
    <t>LLEVO A CABO AJUSTES CORRESPONDIENTES EN MATERIA DE PRECIOS DE TRANSFERENCIA DURANTE EL EJERCICIO FISCAL (EN EL PROPIO EJERCICIO SUJETO A REVISION O PARA EFECTOS DE EJERCICIOS ANTERIORES) COMO CONSECUENCIA DE OPERACIONES CON PARTES RELACIONADAS RESIDENTES EN PAISES CON LOS CUALES MEXICO NO TIENE CELEBRADOS TRATADOS INTERNACIONALES EN MATERIA FISCAL Y REALIZADOS POR LAS AUTORIDADES DE DICHOS PAISES</t>
  </si>
  <si>
    <t>01170112000000</t>
  </si>
  <si>
    <t>01170113000000</t>
  </si>
  <si>
    <t>01170114000000</t>
  </si>
  <si>
    <t>01170115000000</t>
  </si>
  <si>
    <t>01170116000000</t>
  </si>
  <si>
    <t>ESTA OBLIGADO A PRESENTAR LA DECLARACION INFORMATIVA PREVISTA EN LA FRACCION I (MAESTRA DE PARTES RELACIONADAS)</t>
  </si>
  <si>
    <t>01170117000000</t>
  </si>
  <si>
    <t>ESTA OBLIGADO A PRESENTAR LA DECLARACION INFORMATIVA PREVISTA EN LA FRACCION II (LOCAL DE PARTES RELACIONADAS)</t>
  </si>
  <si>
    <t>01170118000000</t>
  </si>
  <si>
    <t>ESTA OBLIGADO A PRESENTAR LA DECLARACION INFORMATIVA PREVISTA EN LA FRACCION III (PAIS POR PAIS)</t>
  </si>
  <si>
    <t>EN CASO AFIRMATIVO EN ESTE ULTIMO CASO ESPECIFIQUE EL SUPUESTO DE OBLIGACION:</t>
  </si>
  <si>
    <t>01170119000000</t>
  </si>
  <si>
    <t>POR SER PERSONA MORAL CONTROLADORA MULTINACIONAL (FRACCION III, INCISO A)</t>
  </si>
  <si>
    <t>01170120000000</t>
  </si>
  <si>
    <t>POR SER DESIGNADA (FRACCION III,INCISO B)</t>
  </si>
  <si>
    <t>TIENE CONOCIMIENTO SI LA PERSONA MORAL CONTROLADORA MULTINACIONAL A LA QUE SU EMPRESA PERTENECE, ESTA OBLIGADA A PRESENTAR DIRECTAMENTE O POR CONDUCTO DE ALGUNA DESIGNADA, LAS SIGUIENTES DECLARACIONES INFORMATIVAS DE PARTES RELACIONADAS:</t>
  </si>
  <si>
    <t>01170121000000</t>
  </si>
  <si>
    <t>OBLIGACION DE PRESENTAR LA DECLARACION MAESTRA</t>
  </si>
  <si>
    <t>01170122000000</t>
  </si>
  <si>
    <t>OBLIGACION DE PRESENTAR LA DECLARACION PAIS POR PAIS</t>
  </si>
  <si>
    <t>01170123000000</t>
  </si>
  <si>
    <t>EN CASO AFIRMATIVO A LA RESPUESTA ANTERIOR, DEBERA PRESENTAR LA SIGUIENTE INFORMACION:</t>
  </si>
  <si>
    <t>01170124000000</t>
  </si>
  <si>
    <t xml:space="preserve">MENOS CONCEPTOS NO OPERATIVOS: </t>
  </si>
  <si>
    <t>01170125000000</t>
  </si>
  <si>
    <t>GANANCIA EN VENTA DE ACTIVOS FIJOS</t>
  </si>
  <si>
    <t>01170126000000</t>
  </si>
  <si>
    <t>RECUPERACION DE CUENTAS</t>
  </si>
  <si>
    <t>01170127000000</t>
  </si>
  <si>
    <t>DIVIDENDOS</t>
  </si>
  <si>
    <t>01170128000000</t>
  </si>
  <si>
    <t>01170129000000</t>
  </si>
  <si>
    <t>01170130000000</t>
  </si>
  <si>
    <t>01170131000000</t>
  </si>
  <si>
    <t>01170132000000</t>
  </si>
  <si>
    <t>SUMA</t>
  </si>
  <si>
    <t>IGUAL:</t>
  </si>
  <si>
    <t>01170133000000</t>
  </si>
  <si>
    <t>TOTAL DE VENTAS O INGRESOS NETOS PROPIOS OPERATIVOS</t>
  </si>
  <si>
    <t>01170134000000</t>
  </si>
  <si>
    <t>01170135000000</t>
  </si>
  <si>
    <t>01170136000000</t>
  </si>
  <si>
    <t>OTROS GASTOS NO OPERATIVOS</t>
  </si>
  <si>
    <t>01170137000000</t>
  </si>
  <si>
    <t>GASTOS DE OPERACION SIN OTROS GASTOS NO OPERATIVOS</t>
  </si>
  <si>
    <t>01170138000000</t>
  </si>
  <si>
    <t>01170139000000</t>
  </si>
  <si>
    <t>REALIZO OPERACIONES DE MAQUILA CON UNA PARTE RELACIONADA RESIDENTE EN EL EXTRANJERO</t>
  </si>
  <si>
    <t xml:space="preserve">EN CASO AFIRMATIVO A LA RESPUESTA ANTERIOR, DEBERA PRESENTAR LA SIGUIENTE INFORMACION: </t>
  </si>
  <si>
    <t>01170140000000</t>
  </si>
  <si>
    <t>INDIQUE SI CELEBRO OPERACIONES DE MAQUILA CONFORME A LO ESTABLECIDO EN EL ARTICULO 181 DE LA LISR CON UNA PARTE RELACIONADA RESIDENTE EN EL EXTRANJERO</t>
  </si>
  <si>
    <t>01170141000000</t>
  </si>
  <si>
    <t>INDIQUE SI SE TRATA DE UNA EMPRESA BAJO EL PROGRAMA DE ALBERGUE</t>
  </si>
  <si>
    <t>01170142000000</t>
  </si>
  <si>
    <t>SI LA EMPRESA ACTUO BAJO EL PROGRAMA DE ALBERGUE, SE CUENTA CON EVIDENCIA DOCUMENTAL QUE DEMUESTRE HABER DADO CUMPLIMIENTO A LO DISPUESTO POR EL ARTICULO 183, SEGUNDO Y CUARTO PARRAFOS DE LA LISR</t>
  </si>
  <si>
    <t xml:space="preserve">INDIQUE POR QUE PARRAFO DEL ARTICULO 182 DE LA LISR OPTO EN EL EJERCICIO </t>
  </si>
  <si>
    <t>01170143000000</t>
  </si>
  <si>
    <t>PRIMERO (SAFE HARBOUR)</t>
  </si>
  <si>
    <t>01170144000000</t>
  </si>
  <si>
    <t>ANTEPENULTIMO ACUERDO ANTICIPADO DE PRECIOS (APA)</t>
  </si>
  <si>
    <t>01170145000000</t>
  </si>
  <si>
    <t>NO OPTO POR LO DISPUESTO EN EL ARTICULO 182 DE LA LISR</t>
  </si>
  <si>
    <t>01170146000000</t>
  </si>
  <si>
    <t>SI NO OPTO POR LO DISPUESTO EN EL ARTICULO 182 DE LA LISR, INDIQUE EL NOMBRE DEL RESIDENTE EN EL EXTRANJERO QUE SE CONSIDERA QUE TIENE UN ESTABLECIMIENTO PERMANENTE.</t>
  </si>
  <si>
    <t>01170147000000</t>
  </si>
  <si>
    <t>INDIQUE EL NÚMERO DE IDENTIFICACION FISCAL DEL RESIDENTE EN EL EXTRANJERO QUE SE CONSIDERA QUE TIENE UN ESTABLECIMIENTO PERMANENTE.</t>
  </si>
  <si>
    <t>01170148000000</t>
  </si>
  <si>
    <t>01170149000000</t>
  </si>
  <si>
    <t>INGRESOS ATRIBUIBLES AL ESTABLECIMIENTO PERMANENTE EN EL PAIS EN LOS TERMINOS DEL ARTICULO 2 DE LA LISR</t>
  </si>
  <si>
    <t>01170150000000</t>
  </si>
  <si>
    <t>01170151000000</t>
  </si>
  <si>
    <t>01170152000000</t>
  </si>
  <si>
    <t>MONTO DE LA DEDUCCION ADICIONAL</t>
  </si>
  <si>
    <t>01170153000000</t>
  </si>
  <si>
    <t>OPTO POR APLICAR LO DISPUESTO POR EL ARTICULO SEGUNDO DEL DECRETO PUBLICADO EN EL D.O.F. EL 26 DE DICIEMBRE DE 2013</t>
  </si>
  <si>
    <t>CUMPLIMIENTO FISCAL GENERICO PARA MAQUILADORAS</t>
  </si>
  <si>
    <t>EN CASO DE QUE SE HAYA CONTESTADO EN LA PREGUNTA CORRESPONDIENTE AL INDICE 01170026000000 QUE NO, CONTESTE LO SIGUIENTE:</t>
  </si>
  <si>
    <t>01170154000000</t>
  </si>
  <si>
    <t>MONTO ACUMULADO DE INTERESES DEVENGADOS A FAVOR (ARTICULO 18 FRACCION IX DE LA LEY DEL ISR)</t>
  </si>
  <si>
    <t>01170155000000</t>
  </si>
  <si>
    <t>01170156000000</t>
  </si>
  <si>
    <t>MONTO ACUMULADO DE AJUSTE ANUAL POR INFLACION (ARTICULO 18 FRACCION X DE LA LEY DEL ISR)</t>
  </si>
  <si>
    <t>01170157000000</t>
  </si>
  <si>
    <t>01170158000000</t>
  </si>
  <si>
    <t>01170159000000</t>
  </si>
  <si>
    <t>DATOS A PROPORCIONAR</t>
  </si>
  <si>
    <t>01180000000000</t>
  </si>
  <si>
    <t>PTU GENERADA DURANTE EL EJERCICIO</t>
  </si>
  <si>
    <t>01180001000000</t>
  </si>
  <si>
    <t>PTU NO COBRADA EN EL EJERCICIO ANTERIOR</t>
  </si>
  <si>
    <t>01180002000000</t>
  </si>
  <si>
    <t>01180003000000</t>
  </si>
  <si>
    <t>RENTA GRAVABLE BASE PARA P.T.U.</t>
  </si>
  <si>
    <t>01180004000000</t>
  </si>
  <si>
    <t>DEDUCCIONES AUTORIZADAS PARA EFECTOS DEL IMPUESTO SOBRE LA RENTA</t>
  </si>
  <si>
    <t>01180005000000</t>
  </si>
  <si>
    <t>COEFICIENTE DE UTILIDAD POR APLICAR EN EL EJERCICIO SIGUIENTE</t>
  </si>
  <si>
    <t>01180006000000</t>
  </si>
  <si>
    <t>INGRESOS POR DIVIDENDOS DE PERSONAS RESIDENTES EN EL PAIS</t>
  </si>
  <si>
    <t>01180007000000</t>
  </si>
  <si>
    <t>INGRESOS POR DIVIDENDOS DE PERSONAS RESIDENTES EN EL EXTRANJERO</t>
  </si>
  <si>
    <t>01180008000000</t>
  </si>
  <si>
    <t>INGRESOS POR DIVIDENDOS DISTRIBUIDOS QUE NO PROVIENEN DE CUFIN NI DE CUFIN REINVERTIDA</t>
  </si>
  <si>
    <t>01180009000000</t>
  </si>
  <si>
    <t>INGRESOS ACUMULABLES POR LA GANANCIA REALIZADA QUE DERIVE DE FUSION</t>
  </si>
  <si>
    <t>01180010000000</t>
  </si>
  <si>
    <t>INGRESOS ACUMULABLES POR LA GANANCIA REALIZADA QUE DERIVE DE ESCISION</t>
  </si>
  <si>
    <t>01180011000000</t>
  </si>
  <si>
    <t>01180012000000</t>
  </si>
  <si>
    <t>INGRESOS ACUMULABLES POR LA GANANCIA REALIZADA QUE DERIVE DE LIQUIDACION DE SOCIEDADES RESIDENTES EN EL EXTRANJERO EN LAS QUE EL CONTRIBUYENTE ES SOCIO O ACCIONISTA</t>
  </si>
  <si>
    <t>01180013000000</t>
  </si>
  <si>
    <t>PERDIDA DEDUCIDA DERIVADA DE FUSION</t>
  </si>
  <si>
    <t>01180014000000</t>
  </si>
  <si>
    <t>PERDIDA DEDUCIDA DERIVADA DE ESCISION</t>
  </si>
  <si>
    <t>01180015000000</t>
  </si>
  <si>
    <t>PERDIDA DEDUCIDA DERIVADA DE REDUCCION DE CAPITAL</t>
  </si>
  <si>
    <t>01180016000000</t>
  </si>
  <si>
    <t>PERDIDA DEDUCIDA DERIVADA DE LIQUIDACION DE SOCIEDADES</t>
  </si>
  <si>
    <t>01180017000000</t>
  </si>
  <si>
    <t>SALDO INCIAL CUFIN ACTUALIZADO</t>
  </si>
  <si>
    <t>01180018000000</t>
  </si>
  <si>
    <t>RESULTADO FISCAL DEL EJERCICIO</t>
  </si>
  <si>
    <t>01180019000000</t>
  </si>
  <si>
    <t>I.S.R. (ARTICULO 9 PRIMER PARRAFO L.I.S.R.)</t>
  </si>
  <si>
    <t>01180020000000</t>
  </si>
  <si>
    <t>PARTIDAS NO DEDUCIBLES, EXCEPTO PROVISIONES Y RESERVAS (ARTICULO 28 FRACCIONES VIII Y IX L.I.S.R.)</t>
  </si>
  <si>
    <t>01180021000000</t>
  </si>
  <si>
    <t>PARTICIPACION DE LOS TRABAJADORES EN LAS UTILIDADES DE LAS EMPRESAS PAGADA EN EL EJERCICIO (ARTICULO 9 FRACCION I LISR)</t>
  </si>
  <si>
    <t>01180022000000</t>
  </si>
  <si>
    <t>EFECTO DE IMPUESTO SOBRE LA RENTA PAGADO EN EL EXTRANJERO POR PAGO DE DIVIDENDOS AL CONTRIBUYENTE (ARTICULO 77 CUARTO PARRAFO L.I.S.R.)</t>
  </si>
  <si>
    <t>01180023000000</t>
  </si>
  <si>
    <t>RESULTADO POSITIVO</t>
  </si>
  <si>
    <t>01180024000000</t>
  </si>
  <si>
    <t>RESULTADO NEGATIVO (DIFERENCIA A QUE SE REFIERE EL ARTICULO 77, QUINTO PARRAFO DE LA L.I.S.R.)</t>
  </si>
  <si>
    <t>01180025000000</t>
  </si>
  <si>
    <t>SALDO INICIAL CUFIN ACTUALIZADO</t>
  </si>
  <si>
    <t>01180026000000</t>
  </si>
  <si>
    <t>01180027000000</t>
  </si>
  <si>
    <t>OTROS CONCEPTOS ESPECIFICAR:</t>
  </si>
  <si>
    <t>01180028000000</t>
  </si>
  <si>
    <t>01180029000000</t>
  </si>
  <si>
    <t>01180030000000</t>
  </si>
  <si>
    <t>01180031000000</t>
  </si>
  <si>
    <t>01180032000000</t>
  </si>
  <si>
    <t>01180033000000</t>
  </si>
  <si>
    <t>01180034000000</t>
  </si>
  <si>
    <t>01180035000000</t>
  </si>
  <si>
    <t>01180036000000</t>
  </si>
  <si>
    <t>01180037000000</t>
  </si>
  <si>
    <t>01180038000000</t>
  </si>
  <si>
    <t>01180039000000</t>
  </si>
  <si>
    <t>01180040000000</t>
  </si>
  <si>
    <t>01180041000000</t>
  </si>
  <si>
    <t>01180042000000</t>
  </si>
  <si>
    <t>01180043000000</t>
  </si>
  <si>
    <t>SALDO DE CUFIN TOTAL AL CIERRE DEL EJERCICIO ACTUALIZADO DE LOS EJERCICIOS DE 2001 A 2013</t>
  </si>
  <si>
    <t>01180044000000</t>
  </si>
  <si>
    <t>01180045000000</t>
  </si>
  <si>
    <t>01180046000000</t>
  </si>
  <si>
    <t>01180047000000</t>
  </si>
  <si>
    <t>01180048000000</t>
  </si>
  <si>
    <t>SALDO DE CUFIN TOTAL AL CIERRE DEL EJERCICIO ACTUALIZADO DE LOS EJERCICIOS ANTERIORES A 2000</t>
  </si>
  <si>
    <t>CUENTA DE UTILIDAD FISCAL NETA REINVERTIDA</t>
  </si>
  <si>
    <t>01180049000000</t>
  </si>
  <si>
    <t>SALDO INICIAL CUFINRE ACTUALIZADO</t>
  </si>
  <si>
    <t>01180050000000</t>
  </si>
  <si>
    <t>01180051000000</t>
  </si>
  <si>
    <t>01180052000000</t>
  </si>
  <si>
    <t>01180053000000</t>
  </si>
  <si>
    <t>01180054000000</t>
  </si>
  <si>
    <t>01180055000000</t>
  </si>
  <si>
    <t>01180056000000</t>
  </si>
  <si>
    <t>01180057000000</t>
  </si>
  <si>
    <t>SALDO DE CUFINRE TOTAL AL CIERRE DEL EJERCICIO ACTUALIZADO</t>
  </si>
  <si>
    <t>01180058000000</t>
  </si>
  <si>
    <t>CUENTA DE UTILIDAD FISCAL NETA</t>
  </si>
  <si>
    <t>01180059000000</t>
  </si>
  <si>
    <t>01180060000000</t>
  </si>
  <si>
    <t>CUENTA DE CAPITAL DE APORTACION</t>
  </si>
  <si>
    <t>01180061000000</t>
  </si>
  <si>
    <t>IMPUESTO AL ACTIVO POR RECUPERAR DE 10 AÑOS ANTERIORES</t>
  </si>
  <si>
    <t>COMERCIO EXTERIOR</t>
  </si>
  <si>
    <t>01180062000000</t>
  </si>
  <si>
    <t>VALOR DECLARADO EN ADUANA DE IMPORTACIONES DEFINITIVAS</t>
  </si>
  <si>
    <t>01180063000000</t>
  </si>
  <si>
    <t>VALOR DECLARADO EN ADUANA DE EXPORTACIONES DEFINITIVAS</t>
  </si>
  <si>
    <t>01180064000000</t>
  </si>
  <si>
    <t>IVA PAGADO EN ADUANAS DURANTE EL EJERCICIO</t>
  </si>
  <si>
    <t>01180065000000</t>
  </si>
  <si>
    <t>IVA CAUSADO POR IMPORTACION DE BIENES INTANGIBLES ADQUIRIDOS</t>
  </si>
  <si>
    <t>01180066000000</t>
  </si>
  <si>
    <t>IVA CAUSADO POR IMPORTACION DEL USO O GOCE DE BIENES INTANGIBLES</t>
  </si>
  <si>
    <t>01180067000000</t>
  </si>
  <si>
    <t>IVA CAUSADO POR IMPORTACION DE SERVICIOS</t>
  </si>
  <si>
    <t>01180068000000</t>
  </si>
  <si>
    <t>IVA ACREDITADO POR LA IMPORTACION DE BIENES INTANGIBLES ADQUIRIDOS</t>
  </si>
  <si>
    <t>01180069000000</t>
  </si>
  <si>
    <t>01180070000000</t>
  </si>
  <si>
    <t>IVA ACREDITADO POR LA IMPORTACION DE SERVICIOS</t>
  </si>
  <si>
    <t>01180071000000</t>
  </si>
  <si>
    <t>IEPS PAGADO EN ADUANAS DURANTE EL EJERCICIO</t>
  </si>
  <si>
    <t>01180072000000</t>
  </si>
  <si>
    <t>NUMERO DE CIGARROS ENAJENADOS DURANTE EL EJERCICIO</t>
  </si>
  <si>
    <t>01180073000000</t>
  </si>
  <si>
    <t>NUMERO DE CIGARROS IMPORTADOS DURANTE EL EJERCICIO</t>
  </si>
  <si>
    <t>01180074000000</t>
  </si>
  <si>
    <t>DURANTE EL EJERCICIO REALIZO VENTA FINAL AL PUBLICO EN GENERAL EN TERRITORIO NACIONAL DE GASOLINAS Y/O DIESEL</t>
  </si>
  <si>
    <t>EN CASO AFIRMATIVO DEBERA MANIFESTAR INFORMACION EN LOS SIGUIENTES RENGLONES:</t>
  </si>
  <si>
    <t>01180075000000</t>
  </si>
  <si>
    <t>CANTIDAD DE LITROS VENDIDOS DE GASOLINA MAGNA DURANTE EL EJERCICIO</t>
  </si>
  <si>
    <t>01180076000000</t>
  </si>
  <si>
    <t>CANTIDAD DE LITROS VENDIDOS DE GASOLINA PREMIUM UBA DURANTE EL EJERCICIO</t>
  </si>
  <si>
    <t>01180077000000</t>
  </si>
  <si>
    <t>CANTIDAD DE LITROS VENDIDOS DE DIESEL DURANTE EL EJERCICIO</t>
  </si>
  <si>
    <t>INFORMACION DE CONSOLIDACION FINANCIERA</t>
  </si>
  <si>
    <t>01180078000000</t>
  </si>
  <si>
    <t>ES UNA ENTIDAD CONTROLADORA EN TERMINOS DE LA NORMA CONTABLE DE INFORMACION FINANCIERA QUE APLICA EL CONTRIBUYENTE</t>
  </si>
  <si>
    <t>NOTA: EN CASO DE UNA RESPUESTA AFIRMATIVA AL INDICE ANTERIOR, DEBERA MANIFESTAR INFORMACION EN LOS SIGUIENTES DOS INDICES:</t>
  </si>
  <si>
    <t>01180079000000</t>
  </si>
  <si>
    <t>TOTAL DE VENTAS O INGRESOS NETOS CONSOLIDADOS DETERMINADOS CONFORME A LA NORMA CONTABLE DE INFORMACION FINANCIERA QUE APLICA EL CONTRIBUYENTE</t>
  </si>
  <si>
    <t>01180080000000</t>
  </si>
  <si>
    <t>TIENE SUBSIDIARIAS EN TERMINOS DE LA NORMA CONTABLE DE INFORMACION FINANCIERA QUE APLICA EL CONTRIBUYENTE EN EL EXTRANJERO, O ESTABLECIMIENTOS PERMANENTES RESIDENTES O UBICADOS EN EL EXTRANJERO</t>
  </si>
  <si>
    <t>01180081000000</t>
  </si>
  <si>
    <t>IMPUESTO AL ACTIVO POR EL QUE SE SOLICITO DEVOLUCION</t>
  </si>
  <si>
    <t>01180082000000</t>
  </si>
  <si>
    <t>IMPUESTO AL ACTIVO COMPENSADO CONTRA ISR PROPIO</t>
  </si>
  <si>
    <t>CALCULO 
DETERMINADO DE 
CONFORMIDAD CON: 
ARTICULO 71 
L.I.S.R. 2013</t>
  </si>
  <si>
    <t>CALCULO 
DETERMINADO DE 
CONFORMIDAD CON: 
REGLA I.3.6.4. 
RMF 2013</t>
  </si>
  <si>
    <t>CALCULO 
DETERMINADO DE 
CONFORMIDAD CON: 
NOVENO TRANSITORIO: 
FRACCION XV 
L.I.S.R. 2014</t>
  </si>
  <si>
    <t>CALCULO 
DETERMINADO DE 
CONFORMIDAD CON: 
NOVENO TRANSITORIO: 
FRACCION XVIII 
L.I.S.R. 2014</t>
  </si>
  <si>
    <t>01190000000000</t>
  </si>
  <si>
    <t>ISR DIFERIDO A CARGO TOTAL AL 31 DE DICIEMBRE DE 2013</t>
  </si>
  <si>
    <t>01190001000000</t>
  </si>
  <si>
    <t>PRIMER PAGO DEL ISR DIFERIDO</t>
  </si>
  <si>
    <t>01190002000000</t>
  </si>
  <si>
    <t>NUMERO DE EJERCICIOS EN QUE SE EFECTUARON LOS PAGOS DEL ISR DIFERIDO</t>
  </si>
  <si>
    <t>01190003000000</t>
  </si>
  <si>
    <t>01190004000000</t>
  </si>
  <si>
    <t>SEGUNDO PAGO DEL ISR DIFERIDO</t>
  </si>
  <si>
    <t>POR:</t>
  </si>
  <si>
    <t>01190005000000</t>
  </si>
  <si>
    <t>FACTOR DE ACTUALIZACION</t>
  </si>
  <si>
    <t>01190006000000</t>
  </si>
  <si>
    <t>SEGUNDO PAGO DEL ISR DIFERIDO ACTUALIZADO</t>
  </si>
  <si>
    <t>01190007000000</t>
  </si>
  <si>
    <t>TERCER PAGO DEL ISR DIFERIDO</t>
  </si>
  <si>
    <t>01190008000000</t>
  </si>
  <si>
    <t>01190009000000</t>
  </si>
  <si>
    <t>TERCER PAGO DEL ISR DIFERIDO ACTUALIZADO</t>
  </si>
  <si>
    <t>01190010000000</t>
  </si>
  <si>
    <t>CUARTO PAGO DEL ISR DIFERIDO</t>
  </si>
  <si>
    <t>01190011000000</t>
  </si>
  <si>
    <t>01190012000000</t>
  </si>
  <si>
    <t>CUARTO PAGO DEL ISR DIFERIDO ACTUALIZADO</t>
  </si>
  <si>
    <t>01190013000000</t>
  </si>
  <si>
    <t>01190014000000</t>
  </si>
  <si>
    <t>IMPUESTO AL ACTIVO A CARGO TOTAL</t>
  </si>
  <si>
    <t>01190015000000</t>
  </si>
  <si>
    <t>PRIMER PAGO DEL IMPUESTO AL ACTIVO DIFERIDO</t>
  </si>
  <si>
    <t>01190016000000</t>
  </si>
  <si>
    <t>NUMERO DE EJERCICIOS EN QUE SE EFECTUARON LOS PAGOS DEL IA DIFERIDO</t>
  </si>
  <si>
    <t>01190017000000</t>
  </si>
  <si>
    <t>01190018000000</t>
  </si>
  <si>
    <t>SEGUNDO PAGO DEL IMPUESTO AL ACTIVO DIFERIDO</t>
  </si>
  <si>
    <t>01190019000000</t>
  </si>
  <si>
    <t>01190020000000</t>
  </si>
  <si>
    <t>SEGUNDO PAGO DEL IMPUESTO AL ACTIVO ACTUALIZADO</t>
  </si>
  <si>
    <t>01190021000000</t>
  </si>
  <si>
    <t>TERCER PAGO DEL IMPUESTO AL ACTIVO DIFERIDO</t>
  </si>
  <si>
    <t xml:space="preserve">POR: </t>
  </si>
  <si>
    <t>01190022000000</t>
  </si>
  <si>
    <t>01190023000000</t>
  </si>
  <si>
    <t>TERCER PAGO DEL IMPUESTO AL ACTIVO DIFERIDO ACTUALIZADO</t>
  </si>
  <si>
    <t>01190024000000</t>
  </si>
  <si>
    <t>CUARTO PAGO DEL IMPUESTO AL ACTIVO DIFERIDO</t>
  </si>
  <si>
    <t>01190025000000</t>
  </si>
  <si>
    <t>01190026000000</t>
  </si>
  <si>
    <t>CUARTO PAGO DEL IMPUESTO AL ACTIVO DIFERIDO ACTUALIZADO</t>
  </si>
  <si>
    <t>01190027000000</t>
  </si>
  <si>
    <t>DENOMINACION O RAZON SOCIAL</t>
  </si>
  <si>
    <t>01190028000000</t>
  </si>
  <si>
    <t>SALDO 
PENDIENTE DE 
DEDUCIR AL INICIO 
DEL EJERCICIO</t>
  </si>
  <si>
    <t>MAS: 
MOI DE LAS ADQUISICIONES
DURANTE EL
EJERCICIO</t>
  </si>
  <si>
    <t>MENOS: 
ENAJENACIONES 
Y/O  BAJAS</t>
  </si>
  <si>
    <t>MENOS: 
DEDUCCION EN 
EL EJERCICIO</t>
  </si>
  <si>
    <t>MENOS: 
DEDUCCION
INMEDIATA
EN EL
EJERCICIO</t>
  </si>
  <si>
    <t>SALDO 
PENDIENTE DE 
DEDUCIR AL FINAL 
DEL EJERCICIO</t>
  </si>
  <si>
    <t>01200000000000</t>
  </si>
  <si>
    <t>CONSTRUCCIONES</t>
  </si>
  <si>
    <t>01200001000000</t>
  </si>
  <si>
    <t>FERROCARRILES</t>
  </si>
  <si>
    <t>01200002000000</t>
  </si>
  <si>
    <t>MOBILIARIO Y EQUIPO DE OFICINA</t>
  </si>
  <si>
    <t>01200003000000</t>
  </si>
  <si>
    <t>AVIONES</t>
  </si>
  <si>
    <t>01200004000000</t>
  </si>
  <si>
    <t>EMBARCACIONES</t>
  </si>
  <si>
    <t>01200005000000</t>
  </si>
  <si>
    <t>EQUIPO DE TRANSPORTE AUTOMOVILES</t>
  </si>
  <si>
    <t>01200006000000</t>
  </si>
  <si>
    <t>EQUIPO DE TRANSPORTE (OTROS)</t>
  </si>
  <si>
    <t>01200007000000</t>
  </si>
  <si>
    <t>01200008000000</t>
  </si>
  <si>
    <t>DADOS, TROQUELES, MOLDES, MATRICES Y HERRAMENTAL</t>
  </si>
  <si>
    <t>01200009000000</t>
  </si>
  <si>
    <t>COMUNICACIONES TELEFONICAS</t>
  </si>
  <si>
    <t>01200010000000</t>
  </si>
  <si>
    <t>COMUNICACIONES SATELITALES</t>
  </si>
  <si>
    <t>01200011000000</t>
  </si>
  <si>
    <t>ADAPTACION A INSTALACIONES PARA PERSONAS CON CAPACIDADES DIFERENTES</t>
  </si>
  <si>
    <t>01200012000000</t>
  </si>
  <si>
    <t>MAQUINARIA Y EQUIPO PARA LA GENERACION DE ENERGIA PROVENIENTE DE FUENTES RENOVABLES O DE SISTEMAS DE COGENERACION DE ELECTRICIDAD EFICIENTE</t>
  </si>
  <si>
    <t>01200013000000</t>
  </si>
  <si>
    <t>MAQUINARIA Y EQUIPO</t>
  </si>
  <si>
    <t>01200014000000</t>
  </si>
  <si>
    <t>OLEODUCTOS, GASODUCTOS, TERMINALES, Y TANQUES DE ALMACENAMIENTO DE HIDROCARBUROS</t>
  </si>
  <si>
    <t>01200015000000</t>
  </si>
  <si>
    <t>01200016000000</t>
  </si>
  <si>
    <t>SUMA ACTIVO FIJO</t>
  </si>
  <si>
    <t>GASTOS Y CARGOS DIFERIDOS</t>
  </si>
  <si>
    <t>01200017000000</t>
  </si>
  <si>
    <t>PATENTES</t>
  </si>
  <si>
    <t>01200018000000</t>
  </si>
  <si>
    <t>MARCAS REGISTRADAS</t>
  </si>
  <si>
    <t>01200019000000</t>
  </si>
  <si>
    <t>01200020000000</t>
  </si>
  <si>
    <t>GASTOS DE INSTALACION</t>
  </si>
  <si>
    <t>01200021000000</t>
  </si>
  <si>
    <t>GASTOS DE ORGANIZACIÓN</t>
  </si>
  <si>
    <t>01200022000000</t>
  </si>
  <si>
    <t>CONCESIONES</t>
  </si>
  <si>
    <t>01200023000000</t>
  </si>
  <si>
    <t>OTROS GASTOS Y CARGOS DIFERIDOS</t>
  </si>
  <si>
    <t>01200024000000</t>
  </si>
  <si>
    <t>SUMA GASTOS Y CARGOS DIFERIDOS</t>
  </si>
  <si>
    <t>EROGACIONES EN PERIODOS PREOPERATIVOS</t>
  </si>
  <si>
    <t>01200025000000</t>
  </si>
  <si>
    <t>01200026000000</t>
  </si>
  <si>
    <t>SUMA EROGACIONES PREOPERATIVAS</t>
  </si>
  <si>
    <t>01200027000000</t>
  </si>
  <si>
    <t>TOTAL DE INVERSIONES</t>
  </si>
  <si>
    <t>NUMERO DE IDENTIFICACION FISCAL</t>
  </si>
  <si>
    <t xml:space="preserve">PAIS DE RESIDENCIA 
FISCAL 
</t>
  </si>
  <si>
    <t>TIPO DE MONEDA</t>
  </si>
  <si>
    <t>SALDO EN MONEDA EXTRANJERA</t>
  </si>
  <si>
    <t>SALDO EN MONEDA NACIONAL</t>
  </si>
  <si>
    <t>CONCEPTO
 MAS IMPORTANTE 
QUE ORIGINO 
EL SALDO</t>
  </si>
  <si>
    <t>EN CASO DE QUE 
EN LA COLUMNA                                                                
"CONCEPTO  MAS IMPORTANTE 
QUE ORIGINO EL SALDO",                                             
HAYAN SELECCIONADO ALGUNO                                     DE LOS  CONCEPTOS DE  "OTROS DEUDOR" U  
"OTROS ACREEDOR", 
ESPECIFIQUE CONCEPTO:</t>
  </si>
  <si>
    <t>INDIQUE SI 
ES PARTE RELACIONADA
(SI O NO)</t>
  </si>
  <si>
    <t>GENERO INTERESES
(SI O NO)</t>
  </si>
  <si>
    <t>01210000000000</t>
  </si>
  <si>
    <t>01210001000000</t>
  </si>
  <si>
    <t>CUENTAS POR PAGAR</t>
  </si>
  <si>
    <t>01210002000000</t>
  </si>
  <si>
    <t>01210003000000</t>
  </si>
  <si>
    <t>TOTAL DE CUENTAS POR PAGAR</t>
  </si>
  <si>
    <t>NUMERO DE 
IDENTIFICACION 
FISCAL</t>
  </si>
  <si>
    <t>TIPO DE 
FINANCIAMIENTO</t>
  </si>
  <si>
    <t xml:space="preserve">EN CASO DE QUE 
EN LA COLUMNA 
"TIPO DE FINANCIAMIENTO"
HAYA 
SELECCIONADO
 EL CONCEPTO 
"OTRO",
ESPECIFIQUE 
CONCEPTO:
</t>
  </si>
  <si>
    <t>FUE BENEFICIARIO EFECTIVO DE 
LOS INTERESES
(SI O NO)</t>
  </si>
  <si>
    <t>NUMERO DE 
REGISTRO 
DEL ACREEDOR 
RESIDENTE EN EL EXTRANJERO ANTE 
EL SAT VIGENTE DURANTE EL 
EJERCICIO 
DICTAMINADO</t>
  </si>
  <si>
    <t>PAIS DE 
RESIDENCIA 
PARA EFECTOS 
FISCALES</t>
  </si>
  <si>
    <t>TIPO DE 
MONEDA</t>
  </si>
  <si>
    <t>DENOMINACION 
DE LA TASA 
DE INTERES</t>
  </si>
  <si>
    <t>PORCENTAJE 
DE LA TASA 
DE INTERES</t>
  </si>
  <si>
    <t>IMPORTE 
TOTAL DE 
LOS INTERESES
PAGADOS
Y/O EXIGIBLES</t>
  </si>
  <si>
    <t>TASA DE 
RETENCION 
DEL I.S.R.</t>
  </si>
  <si>
    <t>I.S.R. 
RETENIDO 
EN EL 
EJERCICIO</t>
  </si>
  <si>
    <t>VIGENCIA 
DEL PRESTAMO 
DEL</t>
  </si>
  <si>
    <t>VIGENCIA 
DEL PRESTAMO 
AL</t>
  </si>
  <si>
    <t xml:space="preserve">FRECUENCIA DE 
EXIGIBILIDAD 
DEL PAGO DE 
INTERESES </t>
  </si>
  <si>
    <t>EN CASO DE QUE 
EN LA COLUMNA 
"FRECUENCIA DE 
EXIGIBILIDAD 
DEL PAGO DE 
INTERESES"
HAYA 
SELECCIONADO
 EL CONCEPTO 
"OTRO",
ESPECIFIQUE 
CONCEPTO:</t>
  </si>
  <si>
    <t>GARANTIZO EL PRESTAMO
(SI O NO)</t>
  </si>
  <si>
    <t>IMPORTE 
TOTAL DE 
LOS INTERESES 
DEDUCIDOS EN EL 
EJERCICIO</t>
  </si>
  <si>
    <t>EFECTUO COLOCACIONES EN EL EXTRANJERO
(SI O NO)</t>
  </si>
  <si>
    <t>NUMERO DE OFICIO 
DE AUTORIZACION 
DE LA CNBV DE 
LA OFERTA PUBLICA 
EN EL EXTRANJERO DE 
VALORES EMITIDOS 
EN MEXICO</t>
  </si>
  <si>
    <t>01220000000000</t>
  </si>
  <si>
    <t>01220001000000</t>
  </si>
  <si>
    <t>TOTAL DE PARTES RELACIONADAS</t>
  </si>
  <si>
    <t>PARTES NO RELACIONADAS</t>
  </si>
  <si>
    <t>01220002000000</t>
  </si>
  <si>
    <t>01220003000000</t>
  </si>
  <si>
    <t>TOTAL DE PARTES NO RELACIONADAS</t>
  </si>
  <si>
    <t>2014</t>
  </si>
  <si>
    <t>2013</t>
  </si>
  <si>
    <t>2012</t>
  </si>
  <si>
    <t>2011</t>
  </si>
  <si>
    <t>2010</t>
  </si>
  <si>
    <t>2009</t>
  </si>
  <si>
    <t>2008</t>
  </si>
  <si>
    <t>2007</t>
  </si>
  <si>
    <t>01230000000000</t>
  </si>
  <si>
    <t>MONTO ORIGINAL DE LA PERDIDA FISCAL</t>
  </si>
  <si>
    <t>01230001000000</t>
  </si>
  <si>
    <t>INPC DEL ULTIMO MES DEL EJERCICIO EN QUE SE GENERO LA PERDIDA FISCAL</t>
  </si>
  <si>
    <t>01230002000000</t>
  </si>
  <si>
    <t>INPC DEL PRIMER MES DE LA SEGUNDA MITAD DEL EJERCICIO EN QUE SE GENERO LA PERDIDA FISCAL</t>
  </si>
  <si>
    <t>01230003000000</t>
  </si>
  <si>
    <t>01230004000000</t>
  </si>
  <si>
    <t>01230005000000</t>
  </si>
  <si>
    <t>INPC DEL ULTIMO MES DE LA PRIMERA MITAD DEL EJERCICIO EN QUE SE APLICA O ACTUALIZA LA PERDIDA FISCAL</t>
  </si>
  <si>
    <t>01230006000000</t>
  </si>
  <si>
    <t>INPC DEL MES EN QUE SE ACTUALIZO POR ULTIMA VEZ LA PERDIDA FISCAL</t>
  </si>
  <si>
    <t>01230007000000</t>
  </si>
  <si>
    <t>FACTOR DE ACTUALIZACION DEL PERIODO</t>
  </si>
  <si>
    <t>01230008000000</t>
  </si>
  <si>
    <t>PERDIDA FISCAL ACTUALIZADA EN EL EJERCICIO EN QUE SE APLICA O ACTUALIZA</t>
  </si>
  <si>
    <t>01230009000000</t>
  </si>
  <si>
    <t>01230010000000</t>
  </si>
  <si>
    <t>MONTO DE LA PERDIDA FISCAL PENDIENTE DE APLICAR</t>
  </si>
  <si>
    <t>COMENTARIOS</t>
  </si>
  <si>
    <t>01240000000000</t>
  </si>
  <si>
    <t>REALIZO LA EVALUACION DEL CONTROL INTERNO DEL CONTRIBUYENTE.</t>
  </si>
  <si>
    <t>01240001000000</t>
  </si>
  <si>
    <t>EN CASO AFIRMATIVO, CONSERVA LA EVIDENCIA DE LA EVALUACION DEL CONTROL INTERNO EN SUS PAPELES DE TRABAJO.</t>
  </si>
  <si>
    <t>01240002000000</t>
  </si>
  <si>
    <t>DETECTO DEBILIDADES O DESVIACIONES RELACIONADAS CON LA ESTRUCTURA DEL CONTROL INTERNO DEL CONTRIBUYENTE CON REPERCUSION EN SU SITUACION FISCAL</t>
  </si>
  <si>
    <t>NOTA: EN CASO AFIRMATIVO DESCRIBA LAS IRREGULARIDADES EN EL INFORME SOBRE LA REVISION DE LA SITUACION FISCAL</t>
  </si>
  <si>
    <t>01240003000000</t>
  </si>
  <si>
    <t>COMO CONSECUENCIA DE LA REALIZACION DE SU TRABAJO, PROPUSO AJUSTES FINANCIEROS QUE AFECTARON LA SITUACION FISCAL DEL CONTRIBUYENTE</t>
  </si>
  <si>
    <t>01240004000000</t>
  </si>
  <si>
    <t>COMO CONSECUENCIA DE LA REALIZACION DE SU TRABAJO ENCONTRO DIFERENCIAS EN PARTIDAS NO MATERIALES QUE PUEDAN TENER REPERCUSION FISCAL</t>
  </si>
  <si>
    <t>COMO CONSECUENCIA DE LA REALIZACION DE SU TRABAJO, EL CONTRIBUYENTE CORRIGIO A LA FECHA DE ENVIO DEL DICTAMEN FISCAL LO SIGUIENTE:</t>
  </si>
  <si>
    <t>01240005000000</t>
  </si>
  <si>
    <t>PARTIDAS QUE EL CONTRIBUYENTE DEDUJO INDEBIDAMENTE EN EL IMPUESTO SOBRE LA RENTA.</t>
  </si>
  <si>
    <t>01240006000000</t>
  </si>
  <si>
    <t>PARTIDAS QUE EL CONTRIBUYENTE DEDUJO INDEBIDAMENTE EN EL IMPUESTO EMPRESARIAL A TASA UNICA.</t>
  </si>
  <si>
    <t>01240007000000</t>
  </si>
  <si>
    <t>INGRESOS QUE EL CONTRIBUYENTE OMITIO EN EL IMPUESTO SOBRE LA RENTA.</t>
  </si>
  <si>
    <t>01240008000000</t>
  </si>
  <si>
    <t>INGRESOS QUE EL CONTRIBUYENTE OMITIO EN EL IMPUESTO EMPRESARIAL A TASA UNICA.</t>
  </si>
  <si>
    <t>01240009000000</t>
  </si>
  <si>
    <t>ACTOS O ACTIVIDADES QUE EL CONTRIBUYENTE OMITIO EN EL IMPUESTO AL VALOR AGREGADO.</t>
  </si>
  <si>
    <t>01240010000000</t>
  </si>
  <si>
    <t>ACREDITAMIENTOS INDEBIDOS EFECTUADOS CONTRA EL IMPUESTO SOBRE LA RENTA</t>
  </si>
  <si>
    <t>01240011000000</t>
  </si>
  <si>
    <t>ACREDITAMIENTOS INDEBIDOS EFECTUADOS CONTRA EL IMPUESTO EMPRESARIAL A TASA UNICA</t>
  </si>
  <si>
    <t>01240012000000</t>
  </si>
  <si>
    <t>ACREDITAMIENTOS INDEBIDOS EFECTUADOS CONTRA EL IMPUESTO AL VALOR AGREGADO</t>
  </si>
  <si>
    <t>01240013000000</t>
  </si>
  <si>
    <t>ACREDITAMIENTOS INDEBIDOS EFECTUADOS CONTRA EL IMPUESTO A LOS DEPOSITOS EN EFECTIVO</t>
  </si>
  <si>
    <t>01240014000000</t>
  </si>
  <si>
    <t>EN CASO DE HABER DETECTADO EN SU AUDITORIA ALGUNA IRREGULARIDAD DE LAS SEÑALADAS EN LOS INDICES 01240005000000 AL 01240013000000, INDIQUE SI REVELO ALGUNA SALVEDAD EN EL INFORME SOBRE LA REVISION DE LA SITUACION FISCAL DEL CONTRIBUYENTE</t>
  </si>
  <si>
    <t>01240015000000</t>
  </si>
  <si>
    <t>EN CASO DE HABER CONTESTADO AFIRMATIVAMENTE EN EL INDICE 01240004000000, REVELO DICHA CIRCUNSTANCIA EN EL INFORME SOBRE LA REVISION DE LA SITUACION FISCAL DEL CONTRIBUYENTE</t>
  </si>
  <si>
    <t>DE ACUERDO CON SUS PRUEBAS DE AUDITORIA, EL ALCANCE A LAS MISMAS Y CON LA EVIDENCIA QUE CONSERVA EN SUS PAPELES DE TRABAJO, RESPONDA SI SE CERCIORO DE QUE EL CONTRIBUYENTE CUMPLIERA CON LO SIGUIENTE:</t>
  </si>
  <si>
    <t>01240016000000</t>
  </si>
  <si>
    <t>EL CONTRIBUYENTE RECIBIO ASESORIA DE UN EXPERTO DE LA DIRECCIÓN EN MATERIA FISCAL</t>
  </si>
  <si>
    <t>EN CASO AFIRMATIVO SEÑALE:</t>
  </si>
  <si>
    <t>01240017000000</t>
  </si>
  <si>
    <t>EVALUO LA COMPETENCIA, CAPACIDAD Y OBJETIVIDAD DEL EXPERTO DE LA DIRECCIÓN EN MATERIA FISCAL</t>
  </si>
  <si>
    <t>01240018000000</t>
  </si>
  <si>
    <t>OBTUVO CONOCIMIENTO DEL TRABAJO DEL EXPERTO</t>
  </si>
  <si>
    <t>01240019000000</t>
  </si>
  <si>
    <t>EVALUO LA ADECUACIÓN DEL TRABAJO DEL EXPERTO</t>
  </si>
  <si>
    <t>01240020000000</t>
  </si>
  <si>
    <t>SI EL CONTRIBUYENTE OBTUVO UN DOCUMENTO POR ESCRITO</t>
  </si>
  <si>
    <t>INGRESOS (I.S.R.)</t>
  </si>
  <si>
    <t>01240021000000</t>
  </si>
  <si>
    <t>EN CASO DE QUE EL CONTRIBUYENTE NO HAYA DADO CUMPLIMIENTO A LO PREVISTO EN LOS INDICES 01D131000 AL 01D141000 DEL DIAGNOSTICO FISCAL, SE PROPUSIERON LAS CORRECCIONES CORRESPONDIENTES</t>
  </si>
  <si>
    <t>01240022000000</t>
  </si>
  <si>
    <t>EN CASO AFIRMATIVO EL CONTRIBUYENTE PRESENTO DECLARACIONES COMPLEMENTARIAS CON MOTIVO DE ESTA REVISION</t>
  </si>
  <si>
    <t>01240023000000</t>
  </si>
  <si>
    <t>EN CASO DE QUE EL CONTRIBUYENTE NO HAYA DADO CUMPLIMIENTO A LO PREVISTO EN LOS INDICES 01D142000 AL 01D175000 DEL DIAGNOSTICO FISCAL, SE PROPUSO QUE SE HICIERAN NO DEDUCIBLES LAS PARTIDAS CORRESPONDIENTES</t>
  </si>
  <si>
    <t>01240024000000</t>
  </si>
  <si>
    <t>DECLARACION INFORMATIVA MULTIPLE</t>
  </si>
  <si>
    <t>01240025000000</t>
  </si>
  <si>
    <t>VERIFICO LA INFORMACION CONTENIDA EN EL ANEXO INFORMACION SOBRE PAGOS Y RETENCIONES DEL ISR, IVA E IEPS (ARTICULO NOVENO DE LAS DISPOSICIONES TRANSITORIAS DE LA LEY DEL ISR 2014, FRACCION X)</t>
  </si>
  <si>
    <t>01240026000000</t>
  </si>
  <si>
    <t>VERIFICO LA INFORMACION CONTENIDA EN EL ANEXO INFORMACION SOBRE RESIDENTES EN EL EXTRANJERO, TRATANDOSE DE RESIDENTES EN EL EXTRANJERO (ARTICULO NOVENO DE LAS DISPOSICIONES TRANSITORIAS DE LA LEY DEL ISR 2014, FRACCION X)</t>
  </si>
  <si>
    <t>01240027000000</t>
  </si>
  <si>
    <t>VERIFICO LA INFORMACION CONTENIDA EN EL ANEXO INFORMACION SOBRE RESIDENTES EN EL EXTRANJERO (ARTICULO 76, FRACCION VI, DE LA LEY DEL ISR)</t>
  </si>
  <si>
    <t>01240028000000</t>
  </si>
  <si>
    <t>VERIFICO LA INFORMACION CONTENIDA EN EL ANEXO DE INGRESOS SUJETOS A REGIMENES FISCALES PREFERENTES (ARTICULO 178, DE LA LEY DEL ISR)</t>
  </si>
  <si>
    <t>01240029000000</t>
  </si>
  <si>
    <t>VERIFICO LA INFORMACION CONTENIDA EN EL ANEXO DE OPERACIONES EFECTUADAS A TRAVES DE FIDEICOMISOS (ARTICULO 76, FRACCION XIII, DE LA LEY DEL ISR)</t>
  </si>
  <si>
    <t xml:space="preserve">IMPUESTO DIFERIDO (I.S.R.) </t>
  </si>
  <si>
    <t>01240030000000</t>
  </si>
  <si>
    <t>DIGA SI DE ACUERDO CON NORMAS Y PROCEDIMIENTOS DE AUDITORIA SE ALLEGO DE LA EVIDENCIA COMPROBATORIA SUFICIENTE Y COMPETENTE PARA EFECTOS DE VERIFICAR LA DETERMINACION DEL IMPUESTO DIFERIDO POR PARTE DEL CONTRIBUYENTE.</t>
  </si>
  <si>
    <t>ACTOS O ACTIVIDADES(I.V.A.)</t>
  </si>
  <si>
    <t>01240031000000</t>
  </si>
  <si>
    <t>01240032000000</t>
  </si>
  <si>
    <t>EN CASO AFIRMATIVO EL CONTRIBUYENTE PRESENTO DECLARACIONES COMPLEMENTARIAS CON MOTIVO DE ESTA REVISION.</t>
  </si>
  <si>
    <t>SE VERIFICARON LOS SIGUIENTES REQUISITOS DE ACREDITAMIENTO DEL IMPUESTO AL VALOR AGREGADO</t>
  </si>
  <si>
    <t>01240033000000</t>
  </si>
  <si>
    <t>01240034000000</t>
  </si>
  <si>
    <t>01250000000000</t>
  </si>
  <si>
    <t>VERIFICO SI EL CONTRIBUYENTE DIO CUMPLIMIENTO A LO DISPUESTO POR EL ARTICULO 28 FRACCION XXVII DE LA LISR</t>
  </si>
  <si>
    <t>01250001000000</t>
  </si>
  <si>
    <t>DETECTO ALGUN INCUMPLIENTO A LO DISPUESTO POR EL ARTICULO 28 FRACCION XXVII DE LA LISR</t>
  </si>
  <si>
    <t>01250002000000</t>
  </si>
  <si>
    <t>01250003000000</t>
  </si>
  <si>
    <t>EN ADICION, DE HABER CONTESTADO DE FORMA AFIRMATIVA EL INDICE 01250002000000, SEÑALO ALGUNA SALVEDAD EN SU DICTAMEN</t>
  </si>
  <si>
    <t>01250004000000</t>
  </si>
  <si>
    <t>VERIFICO QUE EL CONTRIBUYENTE CUMPLIERA FORMALMENTE CON ESTA OBLIGACION FISCAL</t>
  </si>
  <si>
    <t>01250005000000</t>
  </si>
  <si>
    <t>EN CASO DE INCUMPLIMIENTO DEL CONTRIBUYENTE SE CONSIDERARON COMO DEDUCIBLES LAS TRANSACCIONES CON PARTES RELACIONADAS QUE LE REPRESENTARON UN COSTO O GASTO</t>
  </si>
  <si>
    <t>01250006000000</t>
  </si>
  <si>
    <t>EN CASO DE INCUMPLIMIENTO DEL CONTRIBUYENTE A ESTA OBLIGACION FISCAL, MENCIONO TAL CIRCUNSTANCIA COMO UNA SALVEDAD EN SU INFORME SOBRE LA REVISION DE LA SITUACION FISCAL</t>
  </si>
  <si>
    <t>01250007000000</t>
  </si>
  <si>
    <t>EN CASO DE INCUMPLIMIENTO DEL CONTRIBUYENTE, MENCIONO TAL CIRCUNSTANCIA COMO UNA SALVEDAD EN SU DICTAMEN</t>
  </si>
  <si>
    <t>NOTA: LAS PREGUNTAS REFERIDAS EN LOS RENGLONES 01250008000000 AL 01250020000000 SOLO SE CONTESTARAN CUANDO SE HAYA CONTESTADO QUE “SI” EN EL RENGLON 01170036000000 DEL ANEXO 17</t>
  </si>
  <si>
    <t>01250008000000</t>
  </si>
  <si>
    <t>1) NOMBRE, DENOMINACION O RAZON SOCIAL, DOMICILIO Y RESIDENCIA FISCAL, DE LAS PERSONAS RELACIONADAS CON LAS QUE SE CELEBRARON OPERACIONES.</t>
  </si>
  <si>
    <t>01250009000000</t>
  </si>
  <si>
    <t>01250010000000</t>
  </si>
  <si>
    <t>3) DOCUMENTACION QUE DEMUESTRE LA PARTICIPACION DIRECTA E INDIRECTA ENTRE LAS PARTES RELACIONADAS.</t>
  </si>
  <si>
    <t>01250011000000</t>
  </si>
  <si>
    <t>4) INFORMACION RELATIVA A LAS FUNCIONES O ACTIVIDADES POR CADA TIPO DE OPERACION EVALUADA.</t>
  </si>
  <si>
    <t>01250012000000</t>
  </si>
  <si>
    <t>5) INFORMACION RELATIVA A LOS ACTIVOS UTILIZADOS EN CADA TIPO DE OPERACION EVALUADA.</t>
  </si>
  <si>
    <t>01250013000000</t>
  </si>
  <si>
    <t>01250014000000</t>
  </si>
  <si>
    <t>7) INFORMACION Y DOCUMENTACION SOBRE LAS OPERACIONES CON PARTES RELACIONADAS Y SUS MONTOS, POR CADA PARTE RELACIONADA Y POR CADA TIPO DE OPERACION EVALUADA.</t>
  </si>
  <si>
    <t>01250015000000</t>
  </si>
  <si>
    <t>8) METODO APLICADO CONFORME AL ARTICULO 180 DE LA LISR POR CADA TIPO DE OPERACION EVALUADA.</t>
  </si>
  <si>
    <t>01250016000000</t>
  </si>
  <si>
    <t>9) INFORMACION Y DOCUMENTACION SOBRE OPERACIONES O EMPRESAS COMPARABLES POR CADA TIPO DE OPERACION EVALUADA.</t>
  </si>
  <si>
    <t>01250017000000</t>
  </si>
  <si>
    <t>10) SE IDENTIFICARON EN LOS REGISTROS DE CONTABILIDAD QUE LA TOTALIDAD DE LAS OPERACIONES CON PARTES RELACIONADAS RESIDENTES EN EL EXTRANJERO ESTUVIERAN DEBIDAMENTE ASENTADAS.</t>
  </si>
  <si>
    <t>01250018000000</t>
  </si>
  <si>
    <t>EN CASO DE QUE NO SE HAYA CUMPLIDO CON ALGUNO DE LOS PUNTOS ANTES REFERIDOS, SEÑALE SI MENCIONO TAL CIRCUNSTANCIA EN SU INFORME SOBRE LA REVISION DE LA SITUACION FISCAL DEL CONTRIBUYENTE.</t>
  </si>
  <si>
    <t>01250019000000</t>
  </si>
  <si>
    <t>01250020000000</t>
  </si>
  <si>
    <t>VERIFICO QUE EN LA DOCUMENTACION COMPROBATORIA DE PRECIOS DE TRANSFERENCIA SE CONCLUYERA QUE LAS OPERACIONES CELEBRADAS CON PARTES RELACIONADAS RESIDENTES EN EL EXTRANJERO POR EL CONTRIBUYENTE SE EFECTUARON DE ACUERDO A LOS PRECIOS O MONTOS DE CONTRAPRESTACIONES QUE HUBIERAN UTILIZADO PARTES INDEPENDIENTES EN OPERACIONES COMPARABLES</t>
  </si>
  <si>
    <t>01250021000000</t>
  </si>
  <si>
    <t>EN CASO DE UNA CONCLUSION NEGATIVA, INDIQUE SI REVELO ALGUNA SALVEDAD EN EL INFORME SOBRE LA REVISION DE LA SITUACION FISCAL DEL CONTRIBUYENTE</t>
  </si>
  <si>
    <t>01250022000000</t>
  </si>
  <si>
    <t>EN CASO DE UNA CONCLUSION NEGATIVA EN LA DOCUMENTACION COMPROBATORIA, INDIQUE SI REVELO ALGUNA SALVEDAD EN EL DICTAMEN</t>
  </si>
  <si>
    <t>01250023000000</t>
  </si>
  <si>
    <t>01250024000000</t>
  </si>
  <si>
    <t>01250025000000</t>
  </si>
  <si>
    <t>DECLARACION INFORMATIVA DE OPERACIONES CON PARTES RELACIONADAS RESIDENTES EN EL EXTRANJERO (ARTICULO 76 FRACCION X DE LA LISR)</t>
  </si>
  <si>
    <t>01250026000000</t>
  </si>
  <si>
    <t>01250027000000</t>
  </si>
  <si>
    <t>VERIFICO SI LAS CIFRAS REPORTADAS EN ESA DECLARACION COINCIDEN CON LAS MANIFESTADAS EN LA DOCUMENTACION A QUE SE REFIERE EL ARTICULO 76 FRACCION IX DE LA LISR (ESTUDIO DE PRECIOS DE TRANSFERENCIA)</t>
  </si>
  <si>
    <t>01250028000000</t>
  </si>
  <si>
    <t>01250029000000</t>
  </si>
  <si>
    <t>EN CASO DE HABER OBSERVADO ERRORES EN EL LLENADO, MENCIONO TAL CIRCUNSTANCIA COMO UNA SALVEDAD EN SU INFORME SOBRE LA REVISION DE LA SITUACION FISCAL DEL CONTRIBUYENTE</t>
  </si>
  <si>
    <t>EN CASO NEGATIVO, ESPECIFIQUE:</t>
  </si>
  <si>
    <t>01250030000000</t>
  </si>
  <si>
    <t>CONSIDERO EL CONTRIBUYENTE COMO DEDUCIBLES LAS TRANSACCIONES CON PARTES RELACIONADAS QUE LE REPRESENTARON UN COSTO O GASTO</t>
  </si>
  <si>
    <t>01250031000000</t>
  </si>
  <si>
    <t>EN CASO DE INCUMPLIMIENTO MENCIONO TAL CIRCUNSTANCIA COMO UNA SALVEDAD EN SU INFORME SOBRE LA REVISION DE LA SITUACION FISCAL DEL CONTRIBUYENTE</t>
  </si>
  <si>
    <t>01250032000000</t>
  </si>
  <si>
    <t>EN CASO DE INCUMPLIMIENTO MENCIONO TAL CIRCUNSTANCIA COMO UNA SALVEDAD EN SU DICTAMEN</t>
  </si>
  <si>
    <t>CUMPLIMIENTO DE LA OBLIGACION RESPECTO DE LAS OPERACIONES CON PARTES RELACIONADAS (ARTICULO 76 FRACCION XII DE LA LISR)</t>
  </si>
  <si>
    <t>01250033000000</t>
  </si>
  <si>
    <t>VERIFICO QUE EXISTA EVIDENCIA DOCUMENTAL A PARTIR DE LA CUAL SE PUEDA CONCLUIR QUE SE DETERMINARON INGRESOS ACUMULABLES Y DEDUCCIONES AUTORIZADAS CONSIDERANDO PARA ESAS OPERACIONES LOS PRECIOS O MONTOS DE CONTRAPRESTACIONES QUE HUBIERAN UTILIZADO PARTES INDEPENDIENTES EN OPERACIONES COMPARABLES</t>
  </si>
  <si>
    <t>01250034000000</t>
  </si>
  <si>
    <t>EN CASO NEGATIVO, CONSIDERO EL CONTRIBUYENTE COMO DEDUCIBLES LAS TRANSACCIONES CON PARTES RELACIONADAS QUE LE REPRESENTARON UN COSTO O GASTO</t>
  </si>
  <si>
    <t>01250035000000</t>
  </si>
  <si>
    <t>EN CASO DE UNA CONCLUSION NEGATIVA EN LA EVIDENCIA DOCUMENTAL, INDIQUE SI REVELO ALGUNA SALVEDAD EN EL INFORME SOBRE LA REVISION DE LA SITUACION FISCAL DEL CONTRIBUYENTE</t>
  </si>
  <si>
    <t>01250036000000</t>
  </si>
  <si>
    <t>01250037000000</t>
  </si>
  <si>
    <t>01250038000000</t>
  </si>
  <si>
    <t>INTERESES CONSIDERADOS COMO DIVIDENDOS (ARTICULO 11 DE LA LISR)</t>
  </si>
  <si>
    <t>01250039000000</t>
  </si>
  <si>
    <t>METODOLOGIA DE PRECIOS DE TRANSFERENCIA (ARTICULO 180 DE LA LISR) POR TRANSACCION CON PARTES RELACIONADAS</t>
  </si>
  <si>
    <t>01250040000000</t>
  </si>
  <si>
    <t>VERIFICO QUE EN LA DOCUMENTACION COMPROBATORIA DE PRECIOS DE TRANSFERENCIA, EXISTA EVIDENCIA DE QUE SE INTENTO APLICAR EN PRIMER TERMINO EL METODO DE PRECIO COMPARABLE NO CONTROLADO (PREVISTO POR LA FRACCION I DEL ARTICULO 180 DE LA LISR) PARA CADA UNA DE SUS TRANSACCIONES CON PARTES RELACIONADAS QUE VALIDO EN SUS ESTUDIOS DE PRECIOS DE TRANSFERENCIA</t>
  </si>
  <si>
    <t>01250041000000</t>
  </si>
  <si>
    <t>01250042000000</t>
  </si>
  <si>
    <t>EN CASO AFIRMATIVO REVELO ALGUNA SALVEDAD EN EL INFORME SOBRE LA REVISION DE LA SITUACION FISCAL DEL CONTRIBUYENTE, O BIEN, EN SU DICTAMEN</t>
  </si>
  <si>
    <t>01250043000000</t>
  </si>
  <si>
    <t>01250044000000</t>
  </si>
  <si>
    <t>VERIFICO QUE EL CONTRIBUYENTE CONTARA CON UN PROGRAMA VIGENTE, AUTORIZADO POR LA SECRETARIA DE ECONOMIA, PARA REALIZAR OPERACIONES DE MANUFACTURA, EN CUALQUIERA DE SUS MODALIDADES</t>
  </si>
  <si>
    <t>01250045000000</t>
  </si>
  <si>
    <t>VERIFICO QUE LA EMPRESA ACTUARA BAJO EL PROGRAMA DE ALBERGUE</t>
  </si>
  <si>
    <t>VERIFICO POR LAS OPERACIONES DE MAQUILA LA CORRECTA APLICACION DE LO DISPUESTO POR EL ARTICULO 182 APLICADO POR EL CONTRIBUYENTE, ES DECIR, CON LOS PARRAFOS:</t>
  </si>
  <si>
    <t>01250046000000</t>
  </si>
  <si>
    <t>PRIMERO, FRACCION I</t>
  </si>
  <si>
    <t>01250047000000</t>
  </si>
  <si>
    <t>PRIMERO, FRACCION II</t>
  </si>
  <si>
    <t>01250048000000</t>
  </si>
  <si>
    <t>SEGUNDO (PRESENTACION OPORTUNA DE LA DECLARACION INFORMATIVA DE OPERACIONES DE MAQUILA)</t>
  </si>
  <si>
    <t>01250049000000</t>
  </si>
  <si>
    <t>01250050000000</t>
  </si>
  <si>
    <t>01250051000000</t>
  </si>
  <si>
    <t>01250052000000</t>
  </si>
  <si>
    <t>VERIFICO LA APLICACION POR PARTE DEL CONTRIBUYENTE DE LO DISPUESTO POR EL ARTICULO PRIMERO DEL DECRETO PUBLICADO EN EL D.O.F. EL 26 DE DICIEMBRE DE 2013</t>
  </si>
  <si>
    <t>01250053000000</t>
  </si>
  <si>
    <t>VERIFICO QUE LAS OPERACIONES CON PARTES RELACIONADAS QUE NO TENGAN RELACION CON MAQUILA, HAYAN CUMPLIDO CON LO DISPUESTO POR LAS DISPOSICIONES FISCALES EN MATERIA DE PRECIOS DE TRANSFERENCIA</t>
  </si>
  <si>
    <t>01250054000000</t>
  </si>
  <si>
    <t>ENTIDAD_FEDERATIVA{1,ELEMENTS(DATAINCOLUMN$@$,CATALOGCOLUMN6,1,01,@s@,02,@s@,03,@s@,04,@s@,05,@s@,06,@s@,07,@s@,08,@s@,09,@s@,10,@s@,11,@s@,12,@s@,13,@s@,14,@s@,15,@s@,16,@s@,17,@s@,18,@s@,19,@s@,20,@s@,21,@s@,22,@s@,23,@s@,24,@s@,25,@s@,26,@s@,27,@s@,28,@s@,29,@s@,30,@s@,31,@s@,32,@s@)}</t>
  </si>
  <si>
    <t>CN_IP{1,ELEMENTS(2,19,M,15,0,1,0)}</t>
  </si>
  <si>
    <t>01 - AGUASCALIENTES</t>
  </si>
  <si>
    <t>SI</t>
  </si>
  <si>
    <t>1 - ADMINISTRACION GENERAL DE GRANDES CONTRIBUYENTES</t>
  </si>
  <si>
    <t>3 - LIQUIDACION</t>
  </si>
  <si>
    <t>NO</t>
  </si>
  <si>
    <t>1 - TIPO DE OPINION: OPINION SIN SALVEDADES</t>
  </si>
  <si>
    <t>COSTEO ABSORBENTE [COSTOS HISTORICOS]</t>
  </si>
  <si>
    <t>13 - DERS - DERECHOS POR SERVICIOS</t>
  </si>
  <si>
    <t>AUTORIZACION</t>
  </si>
  <si>
    <t>COBERTURA</t>
  </si>
  <si>
    <t>CA - COSTO ADICIONADO</t>
  </si>
  <si>
    <t>0100 - INGRESOS TOTALES POR VENTA DE INVENTARIOS PRODUCIDOS TERMINADOS</t>
  </si>
  <si>
    <t>1500 - COMPRA NETA DE INVENTARIOS DE MATERIA PRIMA</t>
  </si>
  <si>
    <t>AFRICA CENTRAL - FRANCO</t>
  </si>
  <si>
    <t>IA - ACTIVOS RELACIONADOS CON EL MERCADO: MARCAS REGISTRADAS</t>
  </si>
  <si>
    <t>1.1 - RECURSOS NATURALES: AGRICULTURA</t>
  </si>
  <si>
    <t>01 - SIEMBRA; CULTIVO Y COSECHA DE SOYA</t>
  </si>
  <si>
    <t>51 - CRÍA Y ENGORDA DE VACAS; RESES O NOVILLOS PARA VENTA DE SU CARNE</t>
  </si>
  <si>
    <t>71 - ACTIVIDADES FORESTALES COMO PLANTACIÓN; REFORESTACIÓN Y CONSERVACIÓN; CON EL PROPÓSITO DE REALIZAR LA VENTA EN PIE DE ÁRBOLES MADERABLES</t>
  </si>
  <si>
    <t>66 - CRÍA; CULTIVO; FOMENTO Y CUIDADO DE ANIMALES ACUÁTICOS; EXCEPTO CAMARONES</t>
  </si>
  <si>
    <t>089 - EXTRACCIÓN DE PETRÓLEO CRUDO Y A LA EXTRACCIÓN DE HIDROCARBUROS CRUDOS EN ESTADO GASEOSO [GAS NATURAL]</t>
  </si>
  <si>
    <t>134 - CONSTRUCCIÓN DE OBRAS PARA EL TRATAMIENTO; DISTRIBUCIÓN Y SUMINISTRO DE AGUA Y DRENAJE</t>
  </si>
  <si>
    <t>0183 - ELABORACIÓN DE ALIMENTOS PARA ANIMALES</t>
  </si>
  <si>
    <t>192 - ELABORACIÓN Y REFINACIÓN DE AZÚCAR DE CAÑA</t>
  </si>
  <si>
    <t>197 - CONGELACIÓN DE FRUTAS Y VERDURAS</t>
  </si>
  <si>
    <t>185 - ELABORACIÓN DE HARINA DE TRIGO</t>
  </si>
  <si>
    <t>0220 - ELABORACIÓN DE CAFÉ SOLUBLE</t>
  </si>
  <si>
    <t>0234 - PRODUCCIÓN; FABRICACIÓN O ENVASADO DE CERVEZA</t>
  </si>
  <si>
    <t>0248 - PREPARACIÓN E HILADO DE FIBRAS DURAS NATURALES</t>
  </si>
  <si>
    <t>265 - TEJIDO DE CALCETINES Y MEDIAS</t>
  </si>
  <si>
    <t>285 - ASERRADEROS INTEGRADOS</t>
  </si>
  <si>
    <t>0310 - REFINACIÓN DE PETRÓLEO</t>
  </si>
  <si>
    <t>321 - FABRICACIÓN DE HULES SINTÉTICOS</t>
  </si>
  <si>
    <t>379 - FABRICACIÓN DE DESBASTES PRIMARIOS Y FERROALEACIONES</t>
  </si>
  <si>
    <t>0406 - FABRICACIÓN DE MAQUINARIA Y EQUIPO AGRÍCOLA</t>
  </si>
  <si>
    <t>431 - FABRICACIÓN DE COMPUTADORAS Y EQUIPO PERIFÉRICO</t>
  </si>
  <si>
    <t>451 - FABRICACIÓN O ENSAMBLE DE AUTOMÓVILES Y CAMIONETAS</t>
  </si>
  <si>
    <t>328 - FABRICACIÓN DE PREPARACIONES FARMACÉUTICAS</t>
  </si>
  <si>
    <t xml:space="preserve">355 - FABRICACIÓN DE ARTÍCULOS DE ALFARERÍA; PORCELANA Y LOZA </t>
  </si>
  <si>
    <t>492 - COMERCIO AL POR MAYOR DE ABARROTES</t>
  </si>
  <si>
    <t>0502 - COMERCIO AL POR MAYOR DE MATERIAS PRIMAS PARA REPOSTERÍA</t>
  </si>
  <si>
    <t>0511 - COMERCIO AL POR MAYOR DE BEBIDAS REFRESCANTES</t>
  </si>
  <si>
    <t>520 - COMERCIO AL POR MAYOR DE FIBRAS; HILOS Y TELAS</t>
  </si>
  <si>
    <t>525 - COMERCIO AL POR MAYOR DE PRODUCTOS FARMACÉUTICOS</t>
  </si>
  <si>
    <t>537 - COMERCIO AL POR MAYOR DE ELECTRODOMÉSTICOS MENORES Y APARATOS DE LÍNEA BLANCA</t>
  </si>
  <si>
    <t>172 - VENTA DE TERRENO</t>
  </si>
  <si>
    <t>529 - COMERCIO AL POR MAYOR DE DISCOS Y CASETES</t>
  </si>
  <si>
    <t>0571 - COMERCIO AL POR MENOR EN TIENDAS DE ABARROTES; ULTRAMARINOS Y MISCELÁNEAS</t>
  </si>
  <si>
    <t>0582 - VENTA DE ALCOHOL Y ALCOHOL DESNATURALIZADO A PÚBLICO EN GENERAL EN ENVASES DE HASTA 1 LITRO</t>
  </si>
  <si>
    <t>604 - COMERCIO AL POR MENOR DE TELAS</t>
  </si>
  <si>
    <t>613 - FARMACIAS SIN MINISUPER</t>
  </si>
  <si>
    <t>621 - COMERCIO AL POR MENOR DE JUGUETES; BICICLETAS; TRICICLOS Y PARTES PARA BICICLETAS Y TRICICLOS</t>
  </si>
  <si>
    <t>0652 - COMERCIO AL POR MENOR DE AUTOMÓVILES Y CAMIONETAS NUEVOS CUYA PROPULSIÓN SEA A TRAVÉS DE BATERÍAS ELÉCTRICAS RECARGABLE</t>
  </si>
  <si>
    <t>601 - COMERCIO AL POR MENOR EN SUPERMERCADOS</t>
  </si>
  <si>
    <t>0617 - COMERCIO AL POR MENOR DE APARATOS ORTOPÉDICOS</t>
  </si>
  <si>
    <t>666 - TRANSPORTE AÉREO REGULAR DE PASAJEROS Y DE CARGA EN AERONAVES CON MATRÍCULA NACIONAL CON RUTAS Y HORARIOS ESTABLECIDOS</t>
  </si>
  <si>
    <t>674 - AUTOTRANSPORTE LOCAL DE PRODUCTOS AGROPECUARIOS SIN REFRIGERACIÓN</t>
  </si>
  <si>
    <t>0689 - TRANSPORTE DE PASAJEROS URBANO Y SUBURBANO EN AUTOBUSES</t>
  </si>
  <si>
    <t>701 - TRANSPORTE DE PETRÓLEO CRUDO POR DUCTOS</t>
  </si>
  <si>
    <t>0698 - ALQUILER DE AUTOBUSES CON CHOFER</t>
  </si>
  <si>
    <t>723 - SERVICIOS POSTALES</t>
  </si>
  <si>
    <t>731 - EDICIÓN DE PERIÓDICOS NO INTEGRADA CON LA IMPRESIÓN; EXCEPTO A TRAVÉS DE INTERNET</t>
  </si>
  <si>
    <t>742 - PRODUCCIÓN DE PELÍCULAS CINEMATOGRÁFICAS Y VIDEOS</t>
  </si>
  <si>
    <t>0757 - TELEFONÍA TRADICIONAL</t>
  </si>
  <si>
    <t>741 - EDICIÓN DE SOFTWARE; EXCEPTO A TRAVÉS DE INTERNET</t>
  </si>
  <si>
    <t>0167 - EXPLOTACIÓN DE CONCESIONES; PERMISOS; AUTORIZACIONES O CONTRATOS</t>
  </si>
  <si>
    <t>1121 - CÁMARA DE SENADORES; LA CÁMARA DE DIPUTADOS; LA ASAMBLEA DE REPRESENTANTES</t>
  </si>
  <si>
    <t>080 - SERVICIOS DE FUMIGACIÓN AGRÍCOLA</t>
  </si>
  <si>
    <t>126 - ADMINISTRACIÓN Y SUPERVISIÓN DE CONSTRUCCIÓN DE VIVIENDA</t>
  </si>
  <si>
    <t>0477 - ACUÑACIÓN E IMPRESIÓN DE MONEDAS</t>
  </si>
  <si>
    <t>0802 - ALQUILER DE VIVIENDAS AMUEBLADAS</t>
  </si>
  <si>
    <t>0720 - AGENTES ADUANALES</t>
  </si>
  <si>
    <t>1078 - REPARACIÓN MECÁNICA EN GENERAL DE AUTOMÓVILES Y CAMIONES</t>
  </si>
  <si>
    <t>0910 - ESCUELAS DE EDUCACIÓN PREESCOLAR PERTENECIENTES AL SECTOR PRIVADO</t>
  </si>
  <si>
    <t>0843 - LABORATORIOS DE PRUEBAS</t>
  </si>
  <si>
    <t>0987 - RESIDENCIAS DEL SECTOR PRIVADO CON CUIDADOS DE ENFERMERAS PARA ENFERMOS CONVALECIENTES; EN REHABILITACIÓN; INCURABLES Y TERMINALES</t>
  </si>
  <si>
    <t>1002 - OTROS SERVICIOS DE ORIENTACIÓN Y TRABAJO SOCIAL PRESTADOS POR EL SECTOR PRIVADO</t>
  </si>
  <si>
    <t>856 - AGENCIAS DE PUBLICIDAD</t>
  </si>
  <si>
    <t>0890 - SERVICIOS DE RECEPCIÓN DE LLAMADAS TELEFÓNICAS Y PROMOCIÓN POR TELÉFONO</t>
  </si>
  <si>
    <t>079 - CAZA Y CAPTURA DE ANIMALES EN SU HÁBITAT NATURAL Y OPERACIÓN Y ADMINISTRACIÓN DE RESERVAS PARA CAZA [COMO LOS RANCHOS CINEGÉTICOS]</t>
  </si>
  <si>
    <t>1039 - CASAS DE JUEGOS ELECTRÓNICOS</t>
  </si>
  <si>
    <t>1056 - HOTELES CON OTROS SERVICIOS INTEGRADOS</t>
  </si>
  <si>
    <t>1067 - RESTAURANTES-BAR CON SERVICIO DE MESEROS</t>
  </si>
  <si>
    <t>0865 - SERVICIOS DE ESTUDIO FOTOGRÁFICO</t>
  </si>
  <si>
    <t>1113 - ASOCIACIONES; ORGANIZACIONES Y CÁMARAS DE PRODUCTORES; COMERCIANTES Y PRESTADORES DE SERVICIOS</t>
  </si>
  <si>
    <t>811 - SERVICIOS DE ADMINISTRACIÓN DE INMUEBLES</t>
  </si>
  <si>
    <t>2296 - GUÍAS DE TURISMO QUE TRABAJAN POR CUENTA PROPIA</t>
  </si>
  <si>
    <t>0866 - SERVICIOS DE TRADUCCIÓN E INTERPRETACIÓN</t>
  </si>
  <si>
    <t>0120 - GENERACIÓN Y TRANSMISIÓN DE ENERGÍA ELÉCTRICA</t>
  </si>
  <si>
    <t>0125 - CONSTRUCCIÓN DE VIVIENDA UNIFAMILIAR</t>
  </si>
  <si>
    <t>2368 - RECONOCIMIENTO Y EXPLORACIÓN SUPERFICIAL</t>
  </si>
  <si>
    <t>2369 - EXPLORACIÓN DE HIDROCARBUROS</t>
  </si>
  <si>
    <t>2371 - TRATAMIENTO DE PETRÓLEO</t>
  </si>
  <si>
    <t>2375 - PROCESAMIENTO DE GAS NATURAL</t>
  </si>
  <si>
    <t>2384 - TRASPORTE DE PRODUCTOS PETROLÍFEROS</t>
  </si>
  <si>
    <t>2388 - TRANSPORTE POR DUCTO DE PETROQUÍMICOS</t>
  </si>
  <si>
    <t>2390 - IMPORTACIÓN DE HIDROCARBUROS</t>
  </si>
  <si>
    <t>2396 - COMERCIALIZACIÓN DE HIDROCARBUROS</t>
  </si>
  <si>
    <t>82 - ADMINISTRACION GENERAL DE GRANDES CONTRIBUYENTES</t>
  </si>
  <si>
    <t>01 - FONDO FIJO</t>
  </si>
  <si>
    <t>01 - PRESTAMOS</t>
  </si>
  <si>
    <t>01 - MENSUAL</t>
  </si>
  <si>
    <t>01 - A. ACEPTACIONES BANCARIAS</t>
  </si>
  <si>
    <t>SI_NO{1,ELEMENTS(DATAINCOLUMN$@$,CATALOGCOLUMN7,0,01,@s@,02,@s@)}</t>
  </si>
  <si>
    <t>FECHA{1,ELEMENTS(5,,,,,,)}</t>
  </si>
  <si>
    <t>02 - BAJA CALIFORNIA</t>
  </si>
  <si>
    <t>2 - ADMINISTRACION DESCONCENTRADA DE AUDITORIA FISCAL</t>
  </si>
  <si>
    <t>0 - NINGUNO</t>
  </si>
  <si>
    <t>2 - TIPO DE OPINION: OPINION CON SALVEDADES QUE TENGAN IMPLICACIONES FISCALES</t>
  </si>
  <si>
    <t>COSTEO ABSORBENTE [COSTOS PREDETERMINADOS ESTIMADOS]</t>
  </si>
  <si>
    <t>06 - IA - IA A CARGO</t>
  </si>
  <si>
    <t>CONSULTA</t>
  </si>
  <si>
    <t>NEGOCIACION</t>
  </si>
  <si>
    <t>MTU - MARGENES TRANSACCIONALES DE UTILIDADES DE OPERACION</t>
  </si>
  <si>
    <t>0101 - INGRESOS TOTALES POR VENTA DE INVENTARIOS PRODUCIDOS SEMITERMINADOS</t>
  </si>
  <si>
    <t>1501 - COMPRA NETA DE INVENTARIOS SEMITERMINADOS</t>
  </si>
  <si>
    <t>ALBANIA - LEK</t>
  </si>
  <si>
    <t>IB - ACTIVOS RELACIONADOS CON EL MERCADO: NOMBRES COMERCIALES</t>
  </si>
  <si>
    <t>1.2 - RECURSOS NATURALES: GANADERÍA</t>
  </si>
  <si>
    <t>02 - SIEMBRA; CULTIVO Y COSECHA DE CÁRTAMO</t>
  </si>
  <si>
    <t>52 - CRÍA Y ENGORDA DE VACAS; RESES O NOVILLOS PARA VENTA DE LECHE</t>
  </si>
  <si>
    <t>72 - CULTIVO DE ESPECIES FORESTALES PARA TAREAS DE REFORESTACIÓN</t>
  </si>
  <si>
    <t>75 - PESCA DE CAMARÓN</t>
  </si>
  <si>
    <t>090 - MINERÍA DE CARBÓN MINERAL</t>
  </si>
  <si>
    <t>135 - CONSTRUCCIÓN DE OBRAS PARA EL SUMINISTRO DE AGUA REALIZADOS PARA EL SECTOR AGRÍCOLA O GANADERO</t>
  </si>
  <si>
    <t>0190 - ELABORACIÓN DE ACEITES Y GRASAS VEGETALES COMESTIBLES</t>
  </si>
  <si>
    <t>193 - ELABORACIÓN DE OTROS AZÚCARES COMO DE PILONCILLO O CANELA Y AZÚCAR DE REMOLACHA</t>
  </si>
  <si>
    <t>198 - CONGELACIÓN DE GUISOS</t>
  </si>
  <si>
    <t>186 - ELABORACIÓN DE HARINA DE MAÍZ</t>
  </si>
  <si>
    <t>0221 - PREPARACIÓN Y ENVASADO DE TÉ</t>
  </si>
  <si>
    <t>0235 - PRODUCCIÓN; FABRICACIÓN O ENVASADO DE VINOS DE MESA</t>
  </si>
  <si>
    <t>0249 - PREPARACIÓN E HILADO DE FIBRAS BLANDAS</t>
  </si>
  <si>
    <t>266 - TEJIDO DE ROPA INTERIOR DE PUNTO</t>
  </si>
  <si>
    <t>286 - ASERRADO DE TABLAS Y TABLONES. CORTE DE TABLAS Y TABLONES A PARTIR DE LA MADERA EN ROLLO</t>
  </si>
  <si>
    <t>330 - FABRICACIÓN DE ADHESIVOS O PEGAMENTOS; SELLADORES; IMPERMEABILIZANTES; MASILLAS; RESANADORES; GOMAS-CEMENTO Y SIMILARES</t>
  </si>
  <si>
    <t>380 - FABRICACIÓN DE TUBOS Y POSTES DE HIERRO Y ACERO DE MATERIAL COMPRADO</t>
  </si>
  <si>
    <t>0407 - FABRICACIÓN DE MAQUINARIA Y EQUIPO PECUARIO</t>
  </si>
  <si>
    <t>432 - FABRICACIÓN DE APARATOS TELEFÓNICOS Y EQUIPO DE COMUNICACIÓN ALÁMBRICA</t>
  </si>
  <si>
    <t>452 - VENTA DE VEHÍCULOS LIGEROS CON MOTOR DE COMBUSTIÓN INTERNA; COMO AUTOMÓVILES; FURGONETAS [MINIVANS] Y OTRAS CAMIONETAS DE CARGA LIGERA</t>
  </si>
  <si>
    <t>331 - FABRICACIÓN DE JABONES; LIMPIADORES Y DENTÍFRICOS</t>
  </si>
  <si>
    <t>356 - FABRICACIÓN DE MUEBLES DE BAÑO</t>
  </si>
  <si>
    <t>493 - COMERCIO AL POR MAYOR DE CARNES ROJAS</t>
  </si>
  <si>
    <t>0504 - COMERCIO AL POR MAYOR DE BOTANAS Y FRITURAS; COMO PAPAS FRITAS; CHICHARRONES DE HARINA Y DE CERDO; TOSTADAS; CACAHUATES; SEMILLAS FRITAS; PALOMITAS DE MAÍZ</t>
  </si>
  <si>
    <t>0512 - COMERCIO AL POR MAYOR DE VINOS DE MESA</t>
  </si>
  <si>
    <t>521 - COMERCIO AL POR MAYOR DE BLANCOS</t>
  </si>
  <si>
    <t>526 - COMERCIO AL POR MAYOR DE ARTÍCULOS DE PERFUMERÍA</t>
  </si>
  <si>
    <t>542 - COMERCIO AL POR MAYOR DE MATERIALES METÁLICOS</t>
  </si>
  <si>
    <t>173 - ENAJENACIÓN DE ARENA; GRAVA; PIEDRA; TIERRA Y OTROS BIENES MUEBLES PROVENIENTES DEL SUELO</t>
  </si>
  <si>
    <t>538 - COMERCIO AL POR MAYOR DE FERTILIZANTES; PLAGUICIDAS Y SEMILLAS PARA SIEMBRA</t>
  </si>
  <si>
    <t>0587 - COMERCIO AL POR MENOR DE CARNES ROJAS</t>
  </si>
  <si>
    <t>0596 - VENTA AL PÚBLICO EN GENERAL DE BEBIDAS REFRESCANTES</t>
  </si>
  <si>
    <t>605 - COMERCIO AL POR MENOR DE BLANCOS</t>
  </si>
  <si>
    <t>614 - FARMACIAS CON MINISUPER</t>
  </si>
  <si>
    <t>622 - COMERCIO AL POR MENOR DE EQUIPO; MATERIAL FOTOGRÁFICO Y SUS ACCESORIOS</t>
  </si>
  <si>
    <t>0653 - COMERCIO AL POR MENOR DE AUTOMÓVILES Y CAMIONETAS USADOS Y COMERCIO INTEGRADO DE AUTOMÓVILES Y CAMIONES USADOS; Y A LA COMPRA; VENTA Y CONSIGNACIÓN DE AUTOMÓVILES Y CAMIONETAS</t>
  </si>
  <si>
    <t>602 - COMERCIO AL POR MENOR EN MINISUPERS</t>
  </si>
  <si>
    <t>0620 - COMERCIO AL POR MENOR DE DISCOS; DISCOS COMPACTOS; CASETES; CARTUCHOS; CINTAS DE AUDIO Y VIDEO</t>
  </si>
  <si>
    <t>667 - TRANSPORTE AÉREO REGULAR DE PASAJEROS Y DE CARGA EN AERONAVES CON MATRÍCULA EXTRANJERA CON RUTAS Y HORARIOS ESTABLECIDOS</t>
  </si>
  <si>
    <t>675 - OTRO AUTOTRANSPORTE LOCAL DE CARGA GENERAL</t>
  </si>
  <si>
    <t>0690 - TRANSPORTE DE PASAJEROS URBANO Y SUBURBANO EN AUTOMÓVILES COLECTIVOS DE RUTA FIJA</t>
  </si>
  <si>
    <t>702 - TRANSPORTE DE GAS NATURAL POR DUCTOS</t>
  </si>
  <si>
    <t>0699 - ALQUILER DE AUTOMÓVILES CON CHOFER</t>
  </si>
  <si>
    <t>724 - SERVICIOS DE MENSAJERÍA Y PAQUETERÍA FORÁNEA</t>
  </si>
  <si>
    <t>732 - EDICIÓN DE PERIÓDICOS INTEGRADA CON LA IMPRESIÓN</t>
  </si>
  <si>
    <t>743 - PRODUCCIÓN DE PROGRAMAS PARA LA TELEVISIÓN</t>
  </si>
  <si>
    <t>0758 - TELEGRAFÍA Y OTRAS TELECOMUNICACIONES ALÁMBRICAS DEL SECTOR PRIVADO</t>
  </si>
  <si>
    <t>756 - CREACIÓN Y DIFUSIÓN DE CONTENIDO EXCLUSIVAMENTE A TRAVÉS DE INTERNET</t>
  </si>
  <si>
    <t>0168 - EXPLOTACIÓN DEL SUBSUELO SUJETOS A REGÍMENES FISCALES PREFERENTES</t>
  </si>
  <si>
    <t>1122 - ADMINISTRACIÓN PÚBLICA FEDERAL EN GENERAL</t>
  </si>
  <si>
    <t>081 - DESPEPITE DE ALGODÓN</t>
  </si>
  <si>
    <t>130 - ADMINISTRACIÓN Y SUPERVISIÓN DE CONSTRUCCIÓN DE NAVES Y PLANTAS INDUSTRIALES</t>
  </si>
  <si>
    <t>0726 - ALMACENES GENERALES DE DEPÓSITO</t>
  </si>
  <si>
    <t>0803 - ALQUILER DE VIVIENDAS NO AMUEBLADAS</t>
  </si>
  <si>
    <t>0831 - SERVICIOS JURÍDICOS</t>
  </si>
  <si>
    <t>1079 - REPARACIÓN DEL SISTEMA ELÉCTRICO DE AUTOMÓVILES Y CAMIONES</t>
  </si>
  <si>
    <t>0911 - ESCUELAS DE EDUCACIÓN PREESCOLAR PERTENECIENTES AL SECTOR PÚBLICO</t>
  </si>
  <si>
    <t>0867 - SERVICIOS VETERINARIOS PARA MASCOTAS</t>
  </si>
  <si>
    <t>0988 - RESIDENCIAS DEL SECTOR PÚBLICO CON CUIDADOS DE ENFERMERAS PARA ENFERMOS CONVALECIENTES; EN REHABILITACIÓN; INCURABLES Y TERMINALES</t>
  </si>
  <si>
    <t>1010 - SERVICIOS DE ORIENTACIÓN SOCIAL; EDUCACIÓN O CAPACITACIÓN PARA EL TRABAJO PRESTADOS POR EL SECTOR PRIVADO A PERSONAS DESEMPLEADAS; SUBEMPLEADAS O DISCAPACITADAS</t>
  </si>
  <si>
    <t>857 - AGENCIAS DE RELACIONES PÚBLICAS</t>
  </si>
  <si>
    <t>0891 - SERVICIOS DE FOTOCOPIADO; FAX Y AFINES</t>
  </si>
  <si>
    <t>1014 - COMPAÑÍAS DE TEATRO DEL SECTOR PRIVADO</t>
  </si>
  <si>
    <t>1040 - RECEPCIÓN; CAPTACIÓN; CRUCE O EXPLOTACIÓN DE APUESTAS</t>
  </si>
  <si>
    <t>1057 - SERVICIOS DE EXPORTACIÓN DE SERVICIOS DE HOTELERÍA</t>
  </si>
  <si>
    <t>1068 - RESTAURANTES SIN BAR Y CON SERVICIO DE MESEROS</t>
  </si>
  <si>
    <t>0889 - SERVICIOS DE CASETAS TELEFÓNICAS.</t>
  </si>
  <si>
    <t>1114 - ASOCIACIONES Y ORGANIZACIONES LABORALES Y SINDICALES</t>
  </si>
  <si>
    <t>812 - OTROS SERVICIOS RELACIONADOS CON LOS SERVICIOS INMOBILIARIOS</t>
  </si>
  <si>
    <t>0872 - DIRECCIÓN DE CORPORATIVOS Y EMPRESAS FINANCIERAS</t>
  </si>
  <si>
    <t>0121 - SUMINISTRO DE ENERGÍA ELÉCTRICA A LOS CONSUMIDORES FINALES</t>
  </si>
  <si>
    <t>0128 - CONSTRUCCIÓN DE NAVES Y PLANTAS INDUSTRIALES</t>
  </si>
  <si>
    <t>2370 - EXTRACCIÓN DE HIDROCARBUROS</t>
  </si>
  <si>
    <t>2372 - REFINACIÓN DEL PETRÓLEO</t>
  </si>
  <si>
    <t>2376 - COMPRENSIÓN DE GAS NATURAL</t>
  </si>
  <si>
    <t>2385 - ALMACENAMIENTO DE PRODUCTOS PETROLÍFEROS</t>
  </si>
  <si>
    <t>2389 - ALMACENAMIENTO VINCULADO A DUCTOS DE PETROQUÍMICOS</t>
  </si>
  <si>
    <t>2391 - IMPORTACIÓN DE PETROLÍFEROS</t>
  </si>
  <si>
    <t>2397 - COMERCIALIZACIÓN DE PETROLÍFEROS</t>
  </si>
  <si>
    <t>83 - ADMINISTRACION GENERAL DE HIDROCARBUROS</t>
  </si>
  <si>
    <t>02 - CUENTA DE CHEQUES</t>
  </si>
  <si>
    <t>02 - COMPRAS DE INVENTARIOS</t>
  </si>
  <si>
    <t>02 - TRIMESTRAL</t>
  </si>
  <si>
    <t>02 - B. CARTAS DE CREDITO</t>
  </si>
  <si>
    <t>ADMINISTRACIONES{1,ELEMENTS(DATAINCOLUMN$@$,CATALOGCOLUMN9,1,1,@s@,2,@s@,3,@s@)}</t>
  </si>
  <si>
    <t>RFC{1,ELEMENTS(7,,,,,,)}</t>
  </si>
  <si>
    <t>03 - BAJA CALIFORNIA SUR</t>
  </si>
  <si>
    <t>3 - ADMINISTRACION GENERAL DE HIDROCARBUROS</t>
  </si>
  <si>
    <t>2 - ESCISION</t>
  </si>
  <si>
    <t>N/A</t>
  </si>
  <si>
    <t>3 - TIPO DE OPINION: OPINION CON SALVEDADES QUE NO TENGAN IMPLICACIONES FISCALES</t>
  </si>
  <si>
    <t>COSTEO ABSORBENTE Y METODO DE VAL. COSTO ESTANDAR</t>
  </si>
  <si>
    <t>04 - IDE - IDE A CARGO</t>
  </si>
  <si>
    <t>PC - PRECIO COMPARABLE NO CONTROLADO</t>
  </si>
  <si>
    <t>0200 - INGRESOS TOTALES POR VENTA DE INVENTARIOS ADQUIRIDOS PARA DISTRIBUCION</t>
  </si>
  <si>
    <t>1600 - COMPRA NETA DE INVENTARIOS ADQUIRIDOS PARA DISTRIBUCION</t>
  </si>
  <si>
    <t>ALEMANIA - EURO</t>
  </si>
  <si>
    <t>IC - ACTIVOS RELACIONADOS CON EL MERCADO: MARCAS DE SERVICIO O CERTIFICACION</t>
  </si>
  <si>
    <t>1.3 - RECURSOS NATURALES: SILVICULTURA</t>
  </si>
  <si>
    <t>03 - SIEMBRA; CULTIVO Y COSECHA DE GIRASOL</t>
  </si>
  <si>
    <t>53 - CRÍA Y ENGORDA DE VACAS; RESES O NOVILLOS PARA SU VENTA</t>
  </si>
  <si>
    <t>73 - RECOLECCIÓN DE PRODUCTOS FORESTALES COMO GOMAS; RESINAS; RIZOMAS; FIBRAS Y HENO; RECOLECCIÓN DE FRUTAS SILVESTRES Y PLANTAS MEDICINALES Y RAÍCES</t>
  </si>
  <si>
    <t>76 - PESCA DE ATUNES</t>
  </si>
  <si>
    <t>091 - MINERÍA DE HIERRO</t>
  </si>
  <si>
    <t>136 - CONSTRUCCIÓN DE SISTEMAS DE RIEGO AGRÍCOLA</t>
  </si>
  <si>
    <t>0202 - ELABORACIÓN DE LECHE LÍQUIDA</t>
  </si>
  <si>
    <t>194 - ELABORACIÓN DE CHOCOLATE Y PRODUCTOS DE CHOCOLATE A PARTIR DE CACAO</t>
  </si>
  <si>
    <t>199 - DESHIDRATACIÓN DE FRUTAS Y VERDURAS</t>
  </si>
  <si>
    <t>187 - ELABORACIÓN DE HARINA DE OTROS PRODUCTOS AGRÍCOLAS</t>
  </si>
  <si>
    <t>0222 - ELABORACIÓN DE CONCENTRADOS; POLVOS; JARABES Y ESENCIAS DE SABOR PARA PREPARAR REFRESCOS; BEBIDAS HIDRATANTES O REHIDRATANTES QUE NO TIENEN AZÚCARES AÑADIDOS</t>
  </si>
  <si>
    <t>0236 - PRODUCCIÓN; FABRICACIÓN O ENVASADO DE BEBIDAS REFRESCANTES</t>
  </si>
  <si>
    <t>0250 - FABRICACIÓN DE HILOS PARA COSER Y BORDAR</t>
  </si>
  <si>
    <t>267 - TEJIDO DE ROPA EXTERIOR DE PUNTO</t>
  </si>
  <si>
    <t>288 - TRATAMIENTO DE LA MADERA Y PRODUCCIÓN DE POSTES Y DURMIENTES</t>
  </si>
  <si>
    <t>0312 - FABRICACIÓN DE PRODUCTOS DE ASFALTO</t>
  </si>
  <si>
    <t>337 - FABRICACIÓN DE RESINAS PLÁSTICAS HECHAS A PARTIR DE PLÁSTICOS RECICLADOS</t>
  </si>
  <si>
    <t>381 - FABRICACIÓN DE OTROS PRODUCTOS DE HIERRO Y ACERO DE MATERIAL COMPRADO</t>
  </si>
  <si>
    <t>0408 - FABRICACIÓN DE MAQUINARIA Y EQUIPO PARA LA CONSTRUCCIÓN</t>
  </si>
  <si>
    <t>433 - FABRICACIÓN DE EQUIPO DE TRANSMISIÓN Y RECEPCIÓN DE SEÑALES DE RADIO; TELEVISIÓN Y CABLE</t>
  </si>
  <si>
    <t>453 - FABRICACIÓN O ENSAMBLE DE CAMIONES Y TRACTOCAMIONES</t>
  </si>
  <si>
    <t>332 - FABRICACIÓN DE COSMÉTICOS; PERFUMES Y OTRAS PREPARACIONES DE TOCADOR</t>
  </si>
  <si>
    <t>357 - FABRICACIÓN DE LADRILLOS NO REFRACTARIOS</t>
  </si>
  <si>
    <t>494 - COMERCIO AL POR MAYOR DE CARNE Y VÍSCERAS DE POLLO Y OTRAS AVES DE CORRAL</t>
  </si>
  <si>
    <t>0505 - COMERCIO AL POR MAYOR DE CONSERVAS ALIMENTICIAS ENLATADAS; EN SALMUERA; ENCURTIDOS; PRODUCTOS ALIMENTICIOS CONGELADOS; EN ALMÍBAR; EN ACEITE; DIFERENTE DE BOTANA; DULCES DE FRUTAS U HORTALIZAS.</t>
  </si>
  <si>
    <t>0513 - COMERCIO AL POR MAYOR DE OTRAS BEBIDAS A BASE DE UVA</t>
  </si>
  <si>
    <t>522 - COMERCIO AL POR MAYOR DE OTROS PRODUCTOS TEXTILES</t>
  </si>
  <si>
    <t>530 - COMERCIO AL POR MAYOR DE JUGUETES</t>
  </si>
  <si>
    <t>546 - COMERCIO AL POR MAYOR DE EQUIPO Y MATERIAL ELÉCTRICO</t>
  </si>
  <si>
    <t>532 - COMERCIO AL POR MAYOR DE ARTÍCULOS DE PAPELERÍA PARA USO ESCOLAR Y DE OFICINA</t>
  </si>
  <si>
    <t>539 - COMERCIO AL POR MAYOR DE MEDICAMENTOS VETERINARIOS Y ALIMENTOS PARA ANIMALES</t>
  </si>
  <si>
    <t>0588 - COMERCIO AL POR MENOR DE CARNE DE AVES</t>
  </si>
  <si>
    <t>0597 - COMERCIO AL POR MENOR DE CERVEZA ENTREGANDO FACTURA</t>
  </si>
  <si>
    <t>606 - COMERCIO AL POR MENOR DE ARTÍCULOS DE MERCERÍA Y BONETERÍA</t>
  </si>
  <si>
    <t>615 - COMERCIO AL POR MENOR DE PRODUCTOS NATURISTAS Y DE COMPLEMENTOS ALIMENTICIOS SIN INCLUIR BOTANAS; PRODUCTOS DE CONFITERÍA; CHOCOLATES Y DEMÁS PRODUCTOS DERIVADOS DEL CACAO; DULCES DE FRUTAS Y HORTALIZAS; CREMAS DE CACACHUATE Y AVELLANAS; DULCES DE LECHE; ALIMENTOS PREPARADOS A BASE DE CEREALES; HELADOS; NIEVES Y PALETAS DE HIELO.</t>
  </si>
  <si>
    <t>624 - COMERCIO AL POR MENOR DE INSTRUMENTOS MUSICALES Y SUS ACCESORIOS</t>
  </si>
  <si>
    <t>0654 - COMERCIO AL POR MENOR DE PARTES Y REFACCIONES NUEVAS PARA AUTOMÓVILES; CAMIONETAS Y CAMIONES</t>
  </si>
  <si>
    <t>603 - COMERCIO AL POR MENOR EN TIENDAS DEPARTAMENTALES</t>
  </si>
  <si>
    <t>0629 - COMERCIO AL POR MENOR DE MASCOTAS; MEDICAMENTOS; ACCESORIOS Y OTROS PRODUCTOS</t>
  </si>
  <si>
    <t>668 - TRANSPORTE AÉREO NO REGULAR DE PASAJEROS Y DE CARGA POR VÍA AÉREA; SIN RUTAS NI HORARIOS FIJOS</t>
  </si>
  <si>
    <t>676 - AUTOTRANSPORTE FORÁNEO DE PRODUCTOS AGROPECUARIOS SIN REFRIGERACIÓN</t>
  </si>
  <si>
    <t>0691 - TRANSPORTE DE PASAJEROS URBANO Y SUBURBANO EN TROLEBUSES Y TRENES LIGEROS</t>
  </si>
  <si>
    <t>703 - TRANSPORTE POR DUCTOS DE PRODUCTOS REFINADOS DEL PETRÓLEO</t>
  </si>
  <si>
    <t>0708 - SERVICIOS A LA NAVEGACIÓN AÉREA</t>
  </si>
  <si>
    <t>725 - SERVICIOS DE MENSAJERÍA Y PAQUETERÍA LOCAL</t>
  </si>
  <si>
    <t>733 - EDICIÓN DE REVISTAS Y OTRAS PUBLICACIONES PERIÓDICAS NO INTEGRADA CON LA IMPRESIÓN; EXCEPTO A TRAVÉS DE INTERNET</t>
  </si>
  <si>
    <t>744 - PRODUCCIÓN DE VIDEOCLIPS; COMERCIALES Y OTROS MATERIALES AUDIOVISUALES</t>
  </si>
  <si>
    <t>0759 - TELEFONÍA CELULAR</t>
  </si>
  <si>
    <t>765 - PROVEEDORES DE ACCESO A INTERNET Y SERVICIOS DE BÚSQUEDA EN LA RED</t>
  </si>
  <si>
    <t>0169 - EXPLOTACIÓN DEL SUBSUELO</t>
  </si>
  <si>
    <t>1123 - ADMINISTRACIÓN PÚBLICA ESTATAL EN GENERAL</t>
  </si>
  <si>
    <t>082 - BENEFICIO DE PRODUCTOS AGRÍCOLAS</t>
  </si>
  <si>
    <t>133 - ADMINISTRACIÓN Y SUPERVISIÓN DE CONSTRUCCIÓN DE INMUEBLES COMERCIALES; INSTITUCIONALES Y DE SERVICIOS</t>
  </si>
  <si>
    <t>0772 - BANCO DE MÉXICO</t>
  </si>
  <si>
    <t>0804 - ALQUILER DE SALONES PARA FIESTAS Y CONVENCIONES</t>
  </si>
  <si>
    <t>0832 - NOTARIOS O CORREDORES PÚBLICOS</t>
  </si>
  <si>
    <t>1080 - RECTIFICACIÓN DE MOTORES DE AUTOMÓVILES Y CAMIONES</t>
  </si>
  <si>
    <t>0912 - ESCUELAS DE EDUCACIÓN PRIMARIA PERTENECIENTES AL SECTOR PRIVADO; QUE TENGAN AUTORIZACIÓN O RECONOCIMIENTO DE VALIDEZ OFICIAL DE ESTUDIOS; EN LOS TÉRMINOS DE LA LEY GENERAL DE EDUCACIÓN</t>
  </si>
  <si>
    <t>0868 - SERVICIOS VETERINARIOS PARA MASCOTAS PRESTADOS POR EL SECTOR PÚBLICO</t>
  </si>
  <si>
    <t>0989 - RESIDENCIAS DEL SECTOR PRIVADO PARA EL CUIDADO DE PERSONAS CON PROBLEMAS DE RETARDO MENTAL</t>
  </si>
  <si>
    <t>1011 - SERVICIOS DE ORIENTACIÓN SOCIAL; EDUCACIÓN O CAPACITACIÓN PARA EL TRABAJO PRESTADOS POR EL SECTOR PÚBLICO A PERSONAS DESEMPLEADAS; SUBEMPLEADAS O DISCAPACITADAS</t>
  </si>
  <si>
    <t>858 - AGENCIAS DE COMPRA DE MEDIOS A PETICIÓN DEL CLIENTE</t>
  </si>
  <si>
    <t>0898 - SERVICIOS DE INVESTIGACIÓN Y DE PROTECCIÓN Y CUSTODIA; EXCEPTO MEDIANTE MONITOREO</t>
  </si>
  <si>
    <t>1015 - COMPAÑÍAS DE TEATRO DEL SECTOR PÚBLICO</t>
  </si>
  <si>
    <t>1041 - VENTA DE BILLETES DE LOTERÍA</t>
  </si>
  <si>
    <t>1058 - SERVICIOS DE EXPORTACIÓN DE SERVICIOS DE CONVENCIONES Y EXPOSICIONES</t>
  </si>
  <si>
    <t>1069 - RESTAURANTES DE AUTOSERVICIO</t>
  </si>
  <si>
    <t>1029 - CREACIÓN DE OBRAS ARTÍSTICAS ESCRITAS; AUTORIZANDO A TERCEROS SU PUBLICACIÓN EN PERIÓDICOS Y REVISTAS; QUE SE DESTINES PARA SU ENAJENACIÓN AL PÚBLICO</t>
  </si>
  <si>
    <t>1115 - ASOCIACIONES Y ORGANIZACIONES DE PROFESIONISTAS</t>
  </si>
  <si>
    <t>0873 - DIRECCIÓN DE CORPORATIVOS Y EMPRESAS NO FINANCIERAS</t>
  </si>
  <si>
    <t>0122 - CAPTACIÓN; TRATAMIENTO Y SUMINISTRO DE AGUA PARA USO DISTINTO AL DOMÉSTICO</t>
  </si>
  <si>
    <t>0131 - CONSTRUCCIÓN DE INMUEBLES COMERCIALES; INSTITUCIONALES Y DE SERVICIOS</t>
  </si>
  <si>
    <t>2373 - TRANSPORTE DEL PETRÓLEO</t>
  </si>
  <si>
    <t>2377 - LICUEFACCIÓN DE GAS NATURAL</t>
  </si>
  <si>
    <t>2386 - DISTRIBUCIÓN DE PRODUCTOS PETROLÍFEROS</t>
  </si>
  <si>
    <t>2392 - IMPORTACIÓN DE PETROQUÍMICOS</t>
  </si>
  <si>
    <t>2398 - COMERCIALIZACIÓN DE PETROQUÍMICOS</t>
  </si>
  <si>
    <t>61 - AGUASCALIENTES “1” / AGUASCALIENTES</t>
  </si>
  <si>
    <t>03 - CUENTA DE INVERSIONES</t>
  </si>
  <si>
    <t>03 - COMPRAS DE ACTIVO FIJO</t>
  </si>
  <si>
    <t>03 - SEMESTRAL</t>
  </si>
  <si>
    <t>03 - C. CREDITO PUENTE</t>
  </si>
  <si>
    <t>TIPO_DICTAMEN_ESPECIAL{1,ELEMENTS(DATAINCOLUMN$@$,CATALOGCOLUMN11,1,3,@s@,0,@s@,2,@s@,1,@s@,5,@s@,4,@s@)}</t>
  </si>
  <si>
    <t>CURP{1,ELEMENTS(8,,,,,,)}</t>
  </si>
  <si>
    <t>04 - CAMPECHE</t>
  </si>
  <si>
    <t>1 - FUSION</t>
  </si>
  <si>
    <t>4 - TIPO DE OPINION: OPINION NEGATIVA QUE TENGA IMPLICACIONES FISCALES</t>
  </si>
  <si>
    <t>SISTEMA DISTINTO A LOS ANTERIORES</t>
  </si>
  <si>
    <t>05 - IDER - IDE RECAUDADO</t>
  </si>
  <si>
    <t>PR - PRECIO DE REVENTA</t>
  </si>
  <si>
    <t>0201 - INGRESOS TOTALES POR VENTA DE INVENTARIOS ADQUIRIDOS -MATERIAS PRIMAS</t>
  </si>
  <si>
    <t>1601 - COMPRA DE CARTERA</t>
  </si>
  <si>
    <t>ANTILLAS HOLAN. - FLORIN</t>
  </si>
  <si>
    <t>ID - ACTIVOS RELACIONADOS CON EL MERCADO: IMAGEN DE MERCADO</t>
  </si>
  <si>
    <t>1.4 - RECURSOS NATURALES: PESCA</t>
  </si>
  <si>
    <t>04 - SIEMBRA; CULTIVO Y COSECHA ANUAL DE OTRAS SEMILLAS OLEAGINOSAS</t>
  </si>
  <si>
    <t>54 - CRÍA Y ENGORDA DE CERDOS EN GRANJA</t>
  </si>
  <si>
    <t>74 - TALA DE ÁRBOLES; DESBASTADO Y EL DESCORTEZADO DE TRONCOS Y LA PRODUCCIÓN DE TROZAS; ASTILLAS Y RAJAS DE MADERA</t>
  </si>
  <si>
    <t>77 - PESCA DE SARDINA Y ANCHOVETA</t>
  </si>
  <si>
    <t>092 - MINERÍA DE ORO</t>
  </si>
  <si>
    <t>139 - CONSTRUCCIÓN DE OBRAS RELACIONADAS CON LA DISTRIBUCIÓN DE PETRÓLEO Y GAS</t>
  </si>
  <si>
    <t>0203 - ELABORACIÓN DE LECHE EN POLVO; CONDENSADA Y EVAPORADA</t>
  </si>
  <si>
    <t>195 - ELABORACIÓN DE PRODUCTOS DE CHOCOLATE A PARTIR DE CHOCOLATE</t>
  </si>
  <si>
    <t>200 - CONSERVACIÓN DE FRUTAS Y VERDURAS POR PROCESOS DISTINTOS A LA CONGELACIÓN Y LA DESHIDRATACIÓN. INCLUYE LA ELABORACIÓN DE JUGOS</t>
  </si>
  <si>
    <t>188 - ELABORACIÓN DE MALTA</t>
  </si>
  <si>
    <t>0223 - ELABORACIÓN DE COLORANTES Y SABORIZANTES NATURALES PARA ALIMENTOS; O CUALQUIER PRODUCTO DISTINTO A REFRESCOS</t>
  </si>
  <si>
    <t>0237 - PRODUCCIÓN; FABRICACIÓN O ENVASADO DE OTRAS BEBIDAS A BASE DE UVA</t>
  </si>
  <si>
    <t>0251 - FABRICACIÓN DE TELAS ANCHAS DE TRAMA</t>
  </si>
  <si>
    <t>268 - CONFECCIÓN DE ROPA [CHAMARRAS; SACOS; FALDAS; ABRIGOS] DE CUERO; PIEL Y MATERIALES SUCEDÁNEOS</t>
  </si>
  <si>
    <t>289 - FABRICACIÓN DE LAMINADOS Y AGLUTINADOS DE MADERA</t>
  </si>
  <si>
    <t>0313 - FABRICACIÓN DE ACEITES Y GRASAS LUBRICANTES</t>
  </si>
  <si>
    <t>339 - FABRICACIÓN DE BOLSAS Y PELÍCULAS DE PLÁSTICO FLEXIBLE SIN SOPORTE PARA ENVASE O EMPAQUE Y TELA PLÁSTICA SIN SOPORTE</t>
  </si>
  <si>
    <t>382 - INDUSTRIA DEL ALUMINIO</t>
  </si>
  <si>
    <t>0409 - FABRICACIÓN DE MAQUINARIA Y EQUIPO PARA LA INDUSTRIA EXTRACTIVA</t>
  </si>
  <si>
    <t>434 - FABRICACIÓN DE OTROS EQUIPOS DE COMUNICACIÓN</t>
  </si>
  <si>
    <t>454 - FABRICACIÓN DE CARROCERÍAS Y REMOLQUES</t>
  </si>
  <si>
    <t>334 - FABRICACIÓN DE EXPLOSIVOS Y SUS ACCESORIOS [FUSIBLES DE SEGURIDAD; DETONANTES]</t>
  </si>
  <si>
    <t>358 - FABRICACIÓN DE AZULEJOS Y LOSETAS NO REFRACTARIAS Y AZULEJOS</t>
  </si>
  <si>
    <t>495 - COMERCIO AL POR MAYOR DE PESCADOS Y MARISCOS FRESCOS; SECOS; SALADOS Y CONGELADOS</t>
  </si>
  <si>
    <t>0506 - COMERCIO AL POR MAYOR DE HELADOS; PALETAS DE HIELO; GELATINAS; FLANES; BUDINES Y OTROS PRODUCTOS ALIMENTICIOS PARA CONSUMO HUMANO NO CLASIFICADOS EN OTRA PARTE</t>
  </si>
  <si>
    <t>0514 - COMERCIO AL POR MAYOR DE AGUAMIEL Y PULQUE</t>
  </si>
  <si>
    <t>523 - COMERCIO AL POR MAYOR DE ROPA</t>
  </si>
  <si>
    <t>531 - COMERCIO AL POR MAYOR DE ARTÍCULOS Y APARATOS DEPORTIVOS</t>
  </si>
  <si>
    <t>548 - COMERCIO AL POR MAYOR DE VIDRIOS Y ESPEJOS</t>
  </si>
  <si>
    <t>533 - COMERCIO AL POR MAYOR DE LIBROS</t>
  </si>
  <si>
    <t>549 - COMERCIO AL POR MAYOR DE GANADO Y AVES DE CORRAL EN PIE</t>
  </si>
  <si>
    <t>0589 - COMERCIO AL POR MENOR DE PESCADOS Y MARISCOS</t>
  </si>
  <si>
    <t>0598 - COMERCIO AL POR MENOR DE AGUA PURIFICADA Y HIELO</t>
  </si>
  <si>
    <t>607 - COMERCIO AL POR MENOR DE ROPA NUEVA; DE TRAJES REGIONALES; DISFRACES; PIELES FINAS; VESTIDOS PARA NOVIA; UNIFORMES ESCOLARES; NO CONFECCIONADOS CON CUERO Y PIEL</t>
  </si>
  <si>
    <t>618 - COMERCIO AL POR MENOR DE ARTÍCULOS DE PERFUMERÍA Y COSMÉTICOS</t>
  </si>
  <si>
    <t>637 - COMERCIO AL POR MENOR DE ENSERES ELECTRODOMÉSTICOS MENORES Y APARATOS DE LÍNEA BLANCA</t>
  </si>
  <si>
    <t>0655 - COMERCIO AL POR MENOR DE PARTES Y REFACCIONES USADAS PARA AUTOMÓVILES; CAMIONETAS Y CAMIONES</t>
  </si>
  <si>
    <t>616 - COMERCIO AL POR MENOR DE LENTES</t>
  </si>
  <si>
    <t>0631 - COMERCIO AL POR MENOR DE ARTÍCULOS RELIGIOSOS</t>
  </si>
  <si>
    <t>669 - TRANSPORTE POR FERROCARRIL DE PASAJEROS Y DE CARGA</t>
  </si>
  <si>
    <t>677 - OTRO AUTOTRANSPORTE FORÁNEO DE CARGA GENERAL</t>
  </si>
  <si>
    <t>0692 - TRANSPORTE DE PASAJEROS URBANO Y SUBURBANO EN METRO</t>
  </si>
  <si>
    <t>704 - TRANSPORTE POR DUCTOS DE OTROS PRODUCTOS; EXCEPTO DE PRODUCTOS REFINADOS DEL PETRÓLEO</t>
  </si>
  <si>
    <t>0709 - ADMINISTRACIÓN DE AEROPUERTOS Y HELIPUERTOS</t>
  </si>
  <si>
    <t>727 - OTROS SERVICIOS DE ALMACENAMIENTO GENERAL SIN INSTALACIONES ESPECIALIZADAS</t>
  </si>
  <si>
    <t>734 - EDICIÓN DE REVISTAS Y OTRAS PUBLICACIONES PERIÓDICAS INTEGRADA CON LA IMPRESIÓN</t>
  </si>
  <si>
    <t>745 - DISTRIBUCIÓN DE PELÍCULAS CINEMATOGRÁFICAS; VIDEOS Y OTROS MATERIALES AUDIOVISUALES</t>
  </si>
  <si>
    <t>0760 - OTRAS TELECOMUNICACIONES INALÁMBRICAS; EXCEPTO LOS SERVICIOS DE SATÉLITES</t>
  </si>
  <si>
    <t>766 - PROCESAMIENTO ELECTRÓNICO DE INFORMACIÓN; HOSPEDAJE DE PÁGINAS WEB Y OTROS SERVICIOS RELACIONADOS</t>
  </si>
  <si>
    <t>0170 - PARTICIPACIÓN EN PRODUCTOS DEL SUBSUELO SUJETOS A REGÍMENES FISCALES PREFERENTES</t>
  </si>
  <si>
    <t>1124 - ADMINISTRACIÓN PÚBLICA MUNICIPAL EN GENERAL</t>
  </si>
  <si>
    <t>083 - OTROS SERVICIOS RELACIONADOS CON LA AGRICULTURA</t>
  </si>
  <si>
    <t>137 - ADMINISTRACIÓN Y SUPERVISIÓN DE CONSTRUCCIÓN DE OBRAS PARA EL TRATAMIENTO; DISTRIBUCIÓN Y SUMINISTRO DE AGUA; DRENAJE Y RIEGO</t>
  </si>
  <si>
    <t>0773 - BANCA MÚLTIPLE O COMERCIAL</t>
  </si>
  <si>
    <t>0805 - ALQUILER DE OFICINAS Y LOCALES COMERCIALES</t>
  </si>
  <si>
    <t>0833 - SERVICIOS DE APOYO PARA EFECTUAR TRÁMITES LEGALES</t>
  </si>
  <si>
    <t>1081 - REPARACIÓN DE TRANSMISIONES DE AUTOMÓVILES Y CAMIONES</t>
  </si>
  <si>
    <t>0913 - ESCUELAS DE EDUCACIÓN PRIMARIA PERTENECIENTES AL SECTOR PÚBLICO</t>
  </si>
  <si>
    <t>0869 - SERVICIOS VETERINARIOS PARA LA GANADERÍA</t>
  </si>
  <si>
    <t>0990 - RESIDENCIAS DEL SECTOR PÚBLICO PARA EL CUIDADO DE PERSONAS CON PROBLEMAS DE RETARDO MENTAL</t>
  </si>
  <si>
    <t>1012 - GUARDERÍAS DEL SECTOR PRIVADO.</t>
  </si>
  <si>
    <t>859 - AGENCIAS DE REPRESENTACIÓN DE MEDIOS</t>
  </si>
  <si>
    <t>0899 - SERVICIOS DE PROTECCIÓN Y CUSTODIA MEDIANTE EL MONITOREO DE SISTEMAS DE SEGURIDAD</t>
  </si>
  <si>
    <t>1016 - COMPAÑÍAS DE DANZA DEL SECTOR PRIVADO</t>
  </si>
  <si>
    <t>1042 - CONCURSOS EN LOS QUE SE OFREZCAN PREMIOS Y EN ALGUNA ETAPA DE SU DESARROLLO INTERVENGA DIRECTA O INDIRECTAMENTE EL AZAR</t>
  </si>
  <si>
    <t>1059 - HOTELES SIN OTROS SERVICIOS INTEGRADOS</t>
  </si>
  <si>
    <t>1070 - RESTAURANTES DE COMIDA PARA LLEVAR</t>
  </si>
  <si>
    <t>1030 - EXPLOTACIÓN DE DERECHOS DE AUTOR DE TERCEROS</t>
  </si>
  <si>
    <t>1116 - FEDERACIONES Y OTRAS ASOCIACIONES REGULATORIAS DE ACTIVIDADES RECREATIVAS</t>
  </si>
  <si>
    <t>0874 - SERVICIOS DE ADMINISTRACIÓN DE NEGOCIOS</t>
  </si>
  <si>
    <t>0123 - CAPTACIÓN; TRATAMIENTO Y SUMINISTRO DE AGUA PARA USO DISTINTO AL DOMÉSTICO REALIZADOS POR PARTICULARES</t>
  </si>
  <si>
    <t>0572 - CONSTRUCCIÓN DE VIVIENDA MULTIFAMILIAR</t>
  </si>
  <si>
    <t>2374 - ALMACENAMIENTO DEL PETRÓLEO</t>
  </si>
  <si>
    <t>2378 - DESCOMPRENSIÓN DE GAS NATURAL</t>
  </si>
  <si>
    <t>2387 - EXPENDIO AL PÚBLICO DE PRODUCTOS PETROLÍFEROS</t>
  </si>
  <si>
    <t>2393 - EXPORTACIÓN DE HIDROCARBUROS</t>
  </si>
  <si>
    <t>42 - BAJA CALIFORNIA “1” / MEXICALI</t>
  </si>
  <si>
    <t>04 - VENTAS DE INVENTARIOS</t>
  </si>
  <si>
    <t>04 - COMPRAS DE INTANGIBLES</t>
  </si>
  <si>
    <t>04 - ANUAL</t>
  </si>
  <si>
    <t>04 - D. DIRECTO</t>
  </si>
  <si>
    <t>SI_NO_N/A{1,ELEMENTS(DATAINCOLUMN$@$,CATALOGCOLUMN12,0,2,@s@,1,@s@,3,@s@)}</t>
  </si>
  <si>
    <t>EMAIL{1,ELEMENTS(6,,,,,,)}</t>
  </si>
  <si>
    <t>05 - COAHUILA</t>
  </si>
  <si>
    <t>5 - ASOCIANTE EN PARTICIPACION</t>
  </si>
  <si>
    <t>5 - TIPO DE OPINION: OPINION NEGATIVA QUE NO TENGA IMPLICACIONES FISCALES</t>
  </si>
  <si>
    <t>NO APLICA</t>
  </si>
  <si>
    <t>09 - IEPS - IEPS A CARGO</t>
  </si>
  <si>
    <t>PU - PARTICION DE UTILIDADES</t>
  </si>
  <si>
    <t>0202 - INGRESOS TOTALES POR VENTA DE INVENTARIOS ADQUIRIDOS [ARTICULOS SEMITERMINADOS]</t>
  </si>
  <si>
    <t>1700 - INVERSIONES EN ACTIVO FIJO</t>
  </si>
  <si>
    <t>ARABIA SAUDITA - RIYAL</t>
  </si>
  <si>
    <t>IE - ACTIVOS RELACIONADOS CON EL MERCADO: NOMBRES DE PORTALES O “SITIOS DE RED” EN INTERNET</t>
  </si>
  <si>
    <t>1.5 - RECURSOS NATURALES: MINERÍA Y EXTRACCIÓN DE PETRÓLEO Y GAS</t>
  </si>
  <si>
    <t>05 - SIEMBRA; CULTIVO Y COSECHA DE FRIJOL</t>
  </si>
  <si>
    <t>55 - CRÍA Y ENGORDA DE CERDOS EN PATIOS Y LUGARES DISTINTOS A GRANJAS</t>
  </si>
  <si>
    <t>78 - PESCA DE OTRAS ESPECIES</t>
  </si>
  <si>
    <t>093 - MINERÍA DE PLATA</t>
  </si>
  <si>
    <t>140 - CONSTRUCCIÓN DE PLANTAS DE REFINACIÓN DE PETRÓLEO; DE PROCESAMIENTO DE GAS NATURAL Y DE PETROQUÍMICA</t>
  </si>
  <si>
    <t>0204 - ELABORACIÓN DE DERIVADOS Y FERMENTOS LÁCTEOS</t>
  </si>
  <si>
    <t>196 - ELABORACIÓN DE DULCES; CHICLES Y PRODUCTOS DE CONFITERÍA QUE NO SEAN DE CHOCOLATE</t>
  </si>
  <si>
    <t>201 - CONSERVACIÓN DE GUISOS POR PROCESOS DISTINTOS A LA CONGELACIÓN</t>
  </si>
  <si>
    <t>189 - ELABORACIÓN DE FÉCULAS Y OTROS ALMIDONES</t>
  </si>
  <si>
    <t>0224 - PRODUCTOR; ENVASADOR O FABRICANTE DE CONCENTRADOS O JARABES PARA PREPARAR REFRESCO QUE SE EXPANDA EN ENVASE ABIERTO UTILIZANDO APARATOS AUTOMÁTICOS; ELÉCTRICOS O MECÁNICOS QUE NO TIENEN AZÚCARES AÑADIDOS</t>
  </si>
  <si>
    <t>0238 - PRODUCCIÓN; FABRICACIÓN O ENVASADO DE AGUAMIEL Y PULQUE</t>
  </si>
  <si>
    <t>0252 - FABRICACIÓN DE TELAS ANGOSTAS DE TRAMA Y PASAMANERÍA</t>
  </si>
  <si>
    <t>269 - CONFECCIÓN EN SERIE DE ROPA INTERIOR Y DE DORMIR</t>
  </si>
  <si>
    <t>290 - FABRICACIÓN DE PRODUCTOS DE MADERA PARA LA CONSTRUCCIÓN; COMO PUERTAS; VENTANAS</t>
  </si>
  <si>
    <t>0314 - FABRICACIÓN DE COQUE Y OTROS PRODUCTOS DERIVADOS DEL PETRÓLEO Y DEL CARBÓN</t>
  </si>
  <si>
    <t>340 - FABRICACIÓN DE PRODUCTOS DE PLÁSTICO RÍGIDO CON FORMA ESPECÍFICA; SIN SOPORTE O SIN REFORZAMIENTO; COMO TUBERÍAS; CONEXIONES Y PERFILES</t>
  </si>
  <si>
    <t xml:space="preserve">383 - AFINACIÓN Y REFINACIÓN DE COBRE [BLISTER Y ELECTROLÍTICO]; Y A LA PRODUCCIÓN DE SUS ALEACIONES </t>
  </si>
  <si>
    <t>0410 - FABRICACIÓN DE MAQUINARIA Y EQUIPO PARA LA INDUSTRIA DE LA MADERA</t>
  </si>
  <si>
    <t>435 - FABRICACIÓN DE EQUIPO DE AUDIO Y DE VIDEO</t>
  </si>
  <si>
    <t>455 - FABRICACIÓN DE MOTORES DE GASOLINA Y SUS PARTES PARA VEHÍCULOS AUTOMOTRICES</t>
  </si>
  <si>
    <t>335 - FABRICACIÓN DE CERILLOS O FÓSFOROS</t>
  </si>
  <si>
    <t>359 - FABRICACIÓN DE PRODUCTOS REFRACTARIOS ARCILLOSOS Y NO ARCILLOSOS; COMO MOLDES; LADRILLOS; LOSETAS Y BALDOSAS REFRACTARIOS</t>
  </si>
  <si>
    <t>496 - COMERCIO AL POR MAYOR DE FRUTAS Y VERDURAS FRESCAS</t>
  </si>
  <si>
    <t>0507 - COMERCIO AL POR MAYOR AGUA PURIFICADA Y HIELO</t>
  </si>
  <si>
    <t>0515 - COMERCIO AL POR MAYOR DE SIDRA Y OTRAS BEBIDAS FERMENTADAS</t>
  </si>
  <si>
    <t>524 - COMERCIO AL POR MAYOR DE CALZADO</t>
  </si>
  <si>
    <t>550 - COMERCIO AL POR MAYOR DE OTRAS MATERIAS PRIMAS PARA OTRAS INDUSTRIAS</t>
  </si>
  <si>
    <t>534 - COMERCIO AL POR MAYOR DE REVISTAS Y PERIÓDICOS</t>
  </si>
  <si>
    <t>560 - COMERCIO AL POR MAYOR DE ARTÍCULOS Y ACCESORIOS PARA DISEÑO Y PINTURA ARTÍSTICA</t>
  </si>
  <si>
    <t>0590 - COMERCIO AL POR MENOR DE FRUTAS Y VERDURAS FRESCAS</t>
  </si>
  <si>
    <t>0600 - COMERCIO AL POR MENOR DE CIGARROS; PUROS Y TABACO</t>
  </si>
  <si>
    <t>608 - COMERCIO AL POR MENOR BISUTERÍA Y ACCESORIOS DE VESTIR; COMO PAÑOLETAS; MASCADAS; ETC</t>
  </si>
  <si>
    <t>630 - COMERCIO AL POR MENOR DE REGALOS</t>
  </si>
  <si>
    <t>638 - COMERCIO AL POR MENOR DE CRISTALERÍA Y SUS PIEZAS SUELTAS; LOZA Y UTENSILIOS DE COCINA DE CERÁMICA Y PLÁSTICO</t>
  </si>
  <si>
    <t>0656 - COMERCIO AL POR MENOR DE LLANTAS Y CÁMARAS; CORBATAS; VÁLVULAS DE CÁMARA Y TAPONES PARA AUTOMÓVILES; CAMIONETAS Y CAMIONES DE MOTOR</t>
  </si>
  <si>
    <t>625 - COMERCIO AL POR MENOR DE ARTÍCULOS DE PAPELERÍA</t>
  </si>
  <si>
    <t>0632 - COMERCIO AL POR MENOR DE ARTESANÍAS</t>
  </si>
  <si>
    <t>670 - TRANSPORTE MARÍTIMO DE ALTURA</t>
  </si>
  <si>
    <t>678 - SERVICIO DE MUDANZAS</t>
  </si>
  <si>
    <t>0693 - TRANSPORTE DE PASAJEROS INTERURBANO Y RURAL</t>
  </si>
  <si>
    <t>0710 - OTROS SERVICIOS RELACIONADOS CON EL TRANSPORTE AÉREO</t>
  </si>
  <si>
    <t>728 - ALMACENAMIENTO CON REFRIGERACIÓN</t>
  </si>
  <si>
    <t>735 - EDICIÓN DE LIBROS NO INTEGRADA CON LA IMPRESIÓN; EXCEPTO A TRAVÉS DE INTERNET</t>
  </si>
  <si>
    <t>746 - EXHIBICIÓN DE PELÍCULAS CINEMATOGRÁFICAS; VIDEOS Y OTROS MATERIALES AUDIOVISUALES</t>
  </si>
  <si>
    <t>0761 - REVENTA DE SERVICIOS DE TELECOMUNICACIONES</t>
  </si>
  <si>
    <t>767 - AGENCIAS NOTICIOSAS</t>
  </si>
  <si>
    <t>0171 - PARTICIPACIÓN EN PRODUCTOS DEL SUBSUELO</t>
  </si>
  <si>
    <t>1125 - REGULACIÓN Y FOMENTO FEDERAL DEL DESARROLLO ECONÓMICO</t>
  </si>
  <si>
    <t>084 - ADMINISTRACIÓN DE EMPRESAS O NEGOCIOS AGRÍCOLAS</t>
  </si>
  <si>
    <t>142 - ADMINISTRACIÓN Y SUPERVISIÓN DE CONSTRUCCIÓN DE OBRAS PARA PETRÓLEO Y GAS</t>
  </si>
  <si>
    <t>0774 - BANCA DE DESARROLLO</t>
  </si>
  <si>
    <t>0806 - ALQUILER DE TEATROS; ESTADIOS; AUDITORIOS Y SIMILARES</t>
  </si>
  <si>
    <t>0834 - SERVICIOS DE CONTABILIDAD Y AUDITORÍA</t>
  </si>
  <si>
    <t>1082 - REPARACIÓN DE SUSPENSIONES DE AUTOMÓVILES Y CAMIONES</t>
  </si>
  <si>
    <t>0914 - ESCUELAS DE EDUCACIÓN SECUNDARIA GENERAL PERTENECIENTES AL SECTOR PRIVADO; QUE TENGAN AUTORIZACIÓN O RECONOCIMIENTO DE VALIDEZ OFICIAL DE ESTUDIOS; EN LOS TÉRMINOS DE LA LEY GENERAL DE EDUCACIÓN</t>
  </si>
  <si>
    <t>0870 - SERVICIOS VETERINARIOS PARA LA GANADERÍA PRESTADOS POR EL SECTOR PÚBLICO</t>
  </si>
  <si>
    <t>0991 - RESIDENCIAS DEL SECTOR PRIVADO PARA EL CUIDADO DE PERSONAS CON PROBLEMAS DE SALUD MENTAL Y ABUSO DE SUBSTANCIAS</t>
  </si>
  <si>
    <t>1013 - GUARDERÍAS DEL SECTOR PÚBLICO</t>
  </si>
  <si>
    <t>860 - AGENCIAS DE ANUNCIOS PUBLICITARIOS</t>
  </si>
  <si>
    <t>0900 - SERVICIOS DE CONTROL Y EXTERMINACIÓN DE PLAGAS</t>
  </si>
  <si>
    <t>1017 - COMPAÑÍAS DE DANZA DEL SECTOR PÚBLICO</t>
  </si>
  <si>
    <t>2299 - REALIZACIÓN DE JUEGOS CON APUESTAS Y SORTEOS</t>
  </si>
  <si>
    <t>1060 - MOTELES</t>
  </si>
  <si>
    <t>1071 - SERVICIOS DE COMEDOR PARA EMPRESAS E INSTITUCIONES</t>
  </si>
  <si>
    <t>1104 - SALONES Y CLÍNICAS DE BELLEZA Y PELUQUERÍAS</t>
  </si>
  <si>
    <t>1117 - ASOCIACIONES Y ORGANIZACIONES RELIGIOSAS</t>
  </si>
  <si>
    <t>0888 - SERVICIOS DE PREPARACIÓN DE DOCUMENTOS</t>
  </si>
  <si>
    <t>0124 - SUMINISTRO DE GAS POR DUCTOS AL CONSUMIDOR FINAL</t>
  </si>
  <si>
    <t>2239 - CONSTRUCCIÓN Y/O ADQUISICIÓN DE VIVIENDAS PARA SER RENTADAS</t>
  </si>
  <si>
    <t>2399 - COMERCIALIZACIÓN DEL PETRÓLEO</t>
  </si>
  <si>
    <t>2379 - REGASIFICACIÓN DE GAS NATURAL</t>
  </si>
  <si>
    <t>2394 - EXPORTACIÓN DE PETROLÍFEROS</t>
  </si>
  <si>
    <t>05 - COAHUILA DE ZARAGOZA</t>
  </si>
  <si>
    <t>41 - BAJA CALIFORNIA “2” / TIJUANA</t>
  </si>
  <si>
    <t>05 - VENTAS DE ACTIVO FIJO</t>
  </si>
  <si>
    <t>05 - COMPRAS DE ACCIONES</t>
  </si>
  <si>
    <t>05 - OTRO</t>
  </si>
  <si>
    <t>05 - E. HABILITACION O AVIO</t>
  </si>
  <si>
    <t>TIPO_OPINION{1,ELEMENTS(DATAINCOLUMN$@$,CATALOGCOLUMN14,1,1,@s@,2,@s@,3,@s@,4,@s@,5,@s@,6,@s@,7,@h@)}</t>
  </si>
  <si>
    <t>DAN_40{1,ELEMENTS(3,40,M,,,,)}</t>
  </si>
  <si>
    <t>06 - COLIMA</t>
  </si>
  <si>
    <t>4 - FIDEICOMISO</t>
  </si>
  <si>
    <t>6 - TIPO DE OPINION: ABSTENCION DE OPINION</t>
  </si>
  <si>
    <t>COSTEO DIRECTO [COSTOS HISTORICOS]</t>
  </si>
  <si>
    <t>10 - IEPSR - IEPS RETENIDO</t>
  </si>
  <si>
    <t>RPU - RESIDUAL DE PARTICION DE UTILIDADES</t>
  </si>
  <si>
    <t>0300 - INGRESOS POR PRESTACION DE SERVICIOS EN GENERAL</t>
  </si>
  <si>
    <t>1704 - COSTO FISCAL EN VENTA DE ACTIVO FIJO ADQUIRIDO A PARTES RELACIONADAS</t>
  </si>
  <si>
    <t>ARGELIA - DINAR</t>
  </si>
  <si>
    <t>IF - ACTIVOS RELACIONADOS CON EL MERCADO: ACUERDOS DE NO COMPETENCIA</t>
  </si>
  <si>
    <t>1.6 - RECURSOS NATURALES: GENERACIÓN Y SUMINISTRO DE ENERGÍA ELÉCTRICA; AGUA Y GAS</t>
  </si>
  <si>
    <t>06 - SIEMBRA; CULTIVO Y COSECHA DE GARBANZO</t>
  </si>
  <si>
    <t>56 - CRÍA Y ENGORDA DE GALLINAS PONEDORAS DE HUEVO PARA REPRODUCCIÓN</t>
  </si>
  <si>
    <t>094 - MINERÍA DE COBRE Y NÍQUEL</t>
  </si>
  <si>
    <t>143 - CONSTRUCCIÓN DE OBRAS DE GENERACIÓN Y CONDUCCIÓN DE ENERGÍA ELÉCTRICA</t>
  </si>
  <si>
    <t>0209 - PREPARACIÓN DE EMBUTIDOS Y OTRAS CONSERVAS DE CARNE DE GANADO Y AVES</t>
  </si>
  <si>
    <t>205 - ELABORACIÓN DE HELADOS Y PALETAS</t>
  </si>
  <si>
    <t>207 - CORTE Y EMPACADO DE CARNE DE GANADO Y AVES</t>
  </si>
  <si>
    <t>191 - ELABORACIÓN DE CEREALES</t>
  </si>
  <si>
    <t>0230 - PRODUCTOR; ENVASADOR O FABRICANTE DE REFRESCOS QUE NO UTILIZA EN SU ELABORACIÓN COMO EDULCORANTE ÚNICAMENTE LA CAÑA DE AZÚCAR</t>
  </si>
  <si>
    <t>0239 - PRODUCCIÓN; FABRICACIÓN O ENVASADO DE SIDRA Y OTRAS BEBIDAS FERMENTADAS</t>
  </si>
  <si>
    <t>0253 - FABRICACIÓN DE TELAS NO TEJIDAS</t>
  </si>
  <si>
    <t>270 - CONFECCIÓN EN SERIE DE CAMISAS Y GUAYABERAS</t>
  </si>
  <si>
    <t>291 - FABRICACIÓN DE PRODUCTOS PARA EMBALAJE Y ENVASES DE MADERA</t>
  </si>
  <si>
    <t>0315 - FABRICACIÓN DE PRODUCTOS PETROQUÍMICOS</t>
  </si>
  <si>
    <t>341 - FABRICACIÓN DE LAMINADOS RÍGIDOS DE PLÁSTICO SIN SOPORTE</t>
  </si>
  <si>
    <t>384 - REFINACIÓN DE OTROS METALES NO FERROSOS</t>
  </si>
  <si>
    <t>0411 - FABRICACIÓN DE MAQUINARIA Y EQUIPO PARA LA INDUSTRIA DEL HULE Y DEL PLÁSTICO</t>
  </si>
  <si>
    <t>436 - FABRICACIÓN DE COMPONENTES ELECTRÓNICOS</t>
  </si>
  <si>
    <t>456 - FABRICACIÓN DE EQUIPO ELÉCTRICO Y ELECTRÓNICO PARA VEHÍCULOS AUTOMOTORES</t>
  </si>
  <si>
    <t>472 - FABRICACIÓN DE COLCHONES Y BOX SPRING. INCLUYE LA FABRICACIÓN DE COLCHONES DE AGUA</t>
  </si>
  <si>
    <t>360 - FABRICACIÓN DE VIDRIO</t>
  </si>
  <si>
    <t>497 - COMERCIO AL POR MAYOR DE HUEVO DE GALLINA Y DE OTRAS AVES</t>
  </si>
  <si>
    <t>0508 - COMERCIO AL POR MAYOR DE CONCENTRADOS; POLVOS; JARABES Y ESENCIAS DE SABOR PARA PREPARAR REFRESCOS; BEBIDAS HIDRATANTES O REHIDRATANTES ELABORADOS CON AZÚCAR DE CAÑA Y OTROS EDULCORANTES</t>
  </si>
  <si>
    <t>0516 - COMERCIO AL POR MAYOR DE RON Y OTRAS BEBIDAS DESTILADAS DE CAÑA</t>
  </si>
  <si>
    <t>527 - COMERCIO AL POR MAYOR DE JOYERÍA; ORFEBRERÍA; PIEZAS ARTÍSTICAS U ORNAMENTALES DE ORO</t>
  </si>
  <si>
    <t>556 - COMERCIO AL POR MAYOR DE MAQUINARIA Y EQUIPO AGROPECUARIO; FORESTAL Y PARA LA PESCA</t>
  </si>
  <si>
    <t>540 - COMERCIO AL POR MAYOR DE CEMENTO; TABIQUE Y GRAVA</t>
  </si>
  <si>
    <t>568 - VENTA AL POR MAYOR POR COMISIÓN Y CONSIGNACIÓN</t>
  </si>
  <si>
    <t>0591 - COMERCIO AL POR MENOR DE HUEVOS DE GALLINA Y DE OTRAS AVES</t>
  </si>
  <si>
    <t>2227 - COMERCIO AL POR MENOR DE BEBIDAS REFRESCANTES ENTREGANDO FACTURA</t>
  </si>
  <si>
    <t>609 - COMERCIO AL POR MENOR CUERO; PIEL Y MATERIALES SUCEDÁNEOS COMO CHAMARRAS; CHALECOS; FALDAS Y OTROS ARTÍCULOS DE ESTOS MATERIALES COMO BOLSAS; PORTAFOLIOS; MALETAS; CINTURONES; GUANTES Y CARTERAS</t>
  </si>
  <si>
    <t>644 - COMERCIO AL POR MENOR DE LÁMPARAS ORNAMENTALES Y PANTALLAS PARA LÁMPARAS Y CANDILES</t>
  </si>
  <si>
    <t>0657 - COMERCIO AL POR MENOR DE MOTOCICLETAS; BICIMOTOS; MOTONETAS Y MOTOCICLETAS ACUÁTICAS Y SUS REFACCIONES</t>
  </si>
  <si>
    <t>626 - COMERCIO AL POR MENOR DE LIBROS</t>
  </si>
  <si>
    <t>0634 - COMERCIO AL POR MENOR DE ATAÚDES</t>
  </si>
  <si>
    <t>671 - TRANSPORTE MARÍTIMO DE CABOTAJE</t>
  </si>
  <si>
    <t>679 - AUTOTRANSPORTE LOCAL DE MATERIALES PARA LA CONSTRUCCIÓN CUYO RADIO DE ACCIÓN SE LIMITA AL ÁREA METROPOLITANA; MUNICIPIO O LOCALIDAD EN QUE OPERAN</t>
  </si>
  <si>
    <t>0694 - TRANSPORTE DE PASAJEROS EN TAXIS DE SITIO</t>
  </si>
  <si>
    <t>0711 - SERVICIOS RELACIONADOS CON EL TRANSPORTE POR FERROCARRIL</t>
  </si>
  <si>
    <t>729 - ALMACENAMIENTO DE PRODUCTOS AGROPECUARIOS QUE NO REQUIEREN REFRIGERACIÓN</t>
  </si>
  <si>
    <t>736 - EDICIÓN DE LIBROS INTEGRADA CON LA IMPRESIÓN</t>
  </si>
  <si>
    <t>747 - SERVICIOS DE POSTPRODUCCIÓN Y OTROS SERVICIOS PARA LA INDUSTRIA FÍLMICA Y DEL VIDEO</t>
  </si>
  <si>
    <t>0762 - SERVICIOS DE SATÉLITES</t>
  </si>
  <si>
    <t>0800 - INGRESOS DERIVADOS DEL OTORGAMIENTO DE FIANZAS O AVALES</t>
  </si>
  <si>
    <t>1126 - REGULACIÓN Y FOMENTO ESTATAL DEL DESARROLLO ECONÓMICO</t>
  </si>
  <si>
    <t>085 - SERVICIOS RELACIONADOS CON LA GANADERÍA</t>
  </si>
  <si>
    <t>146 - ADMINISTRACIÓN Y SUPERVISIÓN DE CONSTRUCCIÓN DE OBRAS DE GENERACIÓN Y CONDUCCIÓN DE ENERGÍA ELÉCTRICA Y TELECOMUNICACIONES</t>
  </si>
  <si>
    <t>0775 - FONDOS Y FIDEICOMISOS FINANCIEROS PARA EL DESARROLLO</t>
  </si>
  <si>
    <t>0807 - ALQUILER DE FINCAS DESTINADAS A FINES AGRÍCOLAS O GANADEROS</t>
  </si>
  <si>
    <t>0835 - OTROS SERVICIOS RELACIONADOS CON LA CONTABILIDAD</t>
  </si>
  <si>
    <t>1083 - ALINEACIÓN Y BALANCEO DE AUTOMÓVILES Y CAMIONES</t>
  </si>
  <si>
    <t>0915 - ESCUELAS DE EDUCACIÓN SECUNDARIA GENERAL PERTENECIENTES AL SECTOR PÚBLICO</t>
  </si>
  <si>
    <t>0949 - SERVICIOS DE MEDICINA GENERAL</t>
  </si>
  <si>
    <t>0992 - RESIDENCIAS DEL SECTOR PÚBLICO PARA EL CUIDADO DE PERSONAS CON PROBLEMAS DE SALUD MENTAL Y ABUSO DE SUBSTANCIAS</t>
  </si>
  <si>
    <t>2245 - DEFENSA DE LOS DERECHOS HUMANOS</t>
  </si>
  <si>
    <t>861 - AGENCIAS DE PUBLICIDAD QUE OPERAN POR CORREO DIRECTO</t>
  </si>
  <si>
    <t>0901 - SERVICIOS DE LIMPIEZA DE INMUEBLES</t>
  </si>
  <si>
    <t>1018 - CANTANTES Y GRUPOS MUSICALES</t>
  </si>
  <si>
    <t>2306 - JUEGOS O CONCURSOS DE DESTREZA</t>
  </si>
  <si>
    <t>1061 - HOTELES CON CASINO</t>
  </si>
  <si>
    <t>1072 - SERVICIOS DE PREPARACIÓN DE ALIMENTOS PARA OCASIONES ESPECIALES</t>
  </si>
  <si>
    <t>1105 - BAÑOS PÚBLICOS</t>
  </si>
  <si>
    <t>1118 - ASOCIACIONES Y ORGANIZACIONES POLÍTICAS</t>
  </si>
  <si>
    <t>0893 - SERVICIOS DE INVESTIGACIÓN DE SOLVENCIA FINANCIERA</t>
  </si>
  <si>
    <t>0810 - CAPTACIÓN; TRATAMIENTO Y SUMINISTRO DE AGUA PARA USO DOMÉSTICO REALIZADOS POR PARTICULARES</t>
  </si>
  <si>
    <t>2240 - CONSTRUCCIÓN Y/O ADQUISICIÓN DE SALONES PARA FIESTAS Y CONVENCIONES PARA SER RENTADOS</t>
  </si>
  <si>
    <t>2380 - TRANSPORTE DE GAS NATURAL</t>
  </si>
  <si>
    <t>2395 - EXPORTACIÓN DE PETROQUÍMICOS</t>
  </si>
  <si>
    <t>47 - BAJA CALIFORNIA “3” / ENSENADA</t>
  </si>
  <si>
    <t>06 - VENTAS DE INTANGIBLES</t>
  </si>
  <si>
    <t>06 - ANTICIPOS</t>
  </si>
  <si>
    <t>06 - F. HIPOTECARIO</t>
  </si>
  <si>
    <t>COSTO_DE_VENTAS{0,ELEMENTS(DATAINCOLUMN$@$,CATALOGCOLUMN16,0,3,@s@,4,@s@,5,@s@,6,@s@,7,@s@,1,@h@,2,@h@)}</t>
  </si>
  <si>
    <t>DAN_100{1,ELEMENTS(3,100,M,,,,)}</t>
  </si>
  <si>
    <t>07 - CHIAPAS</t>
  </si>
  <si>
    <t>7 - TIPO DE OPINION: ESPECIAL</t>
  </si>
  <si>
    <t>COSTEO DIRECTO [COSTOS PREDETERMINADOS]</t>
  </si>
  <si>
    <t>03 - IETU - IETU A CARGO</t>
  </si>
  <si>
    <t>0301 - INGRESOS POR PRESTACION DE SERVICIOS TECNICOS</t>
  </si>
  <si>
    <t>1705 - COSTO FISCAL EN VENTA DE TITULOS VALOR ADQUIRIDOS A PARTES RELACIONADAS</t>
  </si>
  <si>
    <t>ARGENTINA - PESO</t>
  </si>
  <si>
    <t>IG - ACTIVOS RELACIONADOS CON EL MERCADO: DERECHOS [TRANSMISION DE RADIO; DESARROLLO; DISTRIBUCION DE GAS; ATERRIZAJE; RENTA;  MINEROS; SERVICIO DE HIPOTECA; FRANQUICIA READQUIRIDA; SERVICIO; CORTE DE MADERA; USO O AGUA]</t>
  </si>
  <si>
    <t>1.7 - RECURSOS NATURALES: RECONOCIMIENTO Y EXPLORACIÓN SUPERFICIAL</t>
  </si>
  <si>
    <t>07 - SIEMBRA; CULTIVO Y COSECHA DE OTRAS LEGUMBRES</t>
  </si>
  <si>
    <t>57 - CRÍA Y ENGORDA DE GALLINAS PONEDORAS DE HUEVO PARA CONSUMO</t>
  </si>
  <si>
    <t>095 - MINERÍA DE PLOMO Y ZINC</t>
  </si>
  <si>
    <t>144 - CONSTRUCCIÓN DE OBRAS PARA TELECOMUNICACIONES</t>
  </si>
  <si>
    <t>0210 - ELABORACIÓN DE MANTECA Y OTRAS GRASAS ANIMALES COMESTIBLES</t>
  </si>
  <si>
    <t>217 - ELABORACIÓN DE BOTANAS</t>
  </si>
  <si>
    <t>211 - PREPARACIÓN Y ENVASADO DE PESCADOS Y MARISCOS</t>
  </si>
  <si>
    <t>213 - PANIFICACIÓN INDUSTRIAL</t>
  </si>
  <si>
    <t>0231 - PRODUCTOR; ENVASADOR O FABRICANTE DE BEBIDAS HIDRATANTES O REHIDRATANTES QUE NO UTILIZA EN SU ELABORACIÓN COMO EDULCORANTE ÚNICAMENTE LA CAÑA DE AZÚCAR</t>
  </si>
  <si>
    <t>0240 - PRODUCCIÓN; FABRICACIÓN O ENVASADO DE RON Y OTRAS BEBIDAS DESTILADAS DE CAÑA</t>
  </si>
  <si>
    <t>0254 - FABRICACIÓN DE TELAS DE PUNTO</t>
  </si>
  <si>
    <t>271 - CONFECCIÓN EN SERIE DE UNIFORMES [ESCOLARES; INDUSTRIALES; ETC.] Y ROPA DE TRABAJO</t>
  </si>
  <si>
    <t>292 - FABRICACIÓN DE PRODUCTOS DE MATERIALES TRENZABLES COMO VARA; CARRIZO; MIMBRE; EXCEPTO PALMA</t>
  </si>
  <si>
    <t>0316 - FABRICACIÓN DE GASES INDUSTRIALES</t>
  </si>
  <si>
    <t>342 - FABRICACIÓN DE ESPUMAS Y PRODUCTOS DE POLIESTIRENO; COMO VASOS; PLATOS; BLOQUES AISLANTES; TABLEROS Y PRODUCTOS PARA EMBALAJE</t>
  </si>
  <si>
    <t>385 - LAMINACIÓN SECUNDARIA DE COBRE</t>
  </si>
  <si>
    <t>0412 - FABRICACIÓN DE MAQUINARIA Y EQUIPO PARA LA INDUSTRIA ALIMENTARIA Y DE LAS BEBIDAS</t>
  </si>
  <si>
    <t>437 - FABRICACIÓN Y ENSAMBLE DE RELOJES Y SUS PARTES; MAQUINARIA PARA RELOJES; Y OTROS INSTRUMENTOS PARA MEDIR EL TIEMPO</t>
  </si>
  <si>
    <t>457 - FABRICACIÓN DE PARTES DE SISTEMAS DE DIRECCIÓN Y DE SUSPENSIÓN PARA VEHÍCULOS AUTOMOTRICES</t>
  </si>
  <si>
    <t>473 - FABRICACIÓN DE PERSIANAS; CORTINEROS Y SUS ACCESORIOS. INCLUYE LA FABRICACIÓN DE TOLDOS DE BAMBÚ Y OTRO TIPO DE SOMBRAS PARA VENTANAS</t>
  </si>
  <si>
    <t>361 - FABRICACIÓN DE ESPEJOS [PLANOS; CÓNCAVOS Y CONVEXOS]</t>
  </si>
  <si>
    <t>498 - COMERCIO AL POR MAYOR DE SEMILLAS Y GRANOS ALIMENTICIOS; FRUTAS SECAS; CHILES SECOS Y ESPECIAS [CLAVOS; PIMIENTA; AZAFRÁN; COMINO; NUEZ MOSCADA; CANELA]</t>
  </si>
  <si>
    <t>0509 - COMERCIO AL POR MAYOR DE CONCENTRADOS O JARABES PARA PREPARAR REFRESCOS QUE SE EXPENDAN EN ENVASES ABIERTOS UTILIZANDO APARATOS AUTOMÁTICOS; ELÉCTRICOS O MECÁNICOS ELABORADOS CON AZÚCAR DE CAÑA Y OTROS EDULCORANTES</t>
  </si>
  <si>
    <t>0517 - COMERCIO AL POR MAYOR DE BEBIDAS DESTILADAS DE AGAVE</t>
  </si>
  <si>
    <t>528 - COMERCIO AL POR MAYOR DE ARTÍCULOS DE JOYERÍA Y OTROS ACCESORIOS DE VESTIR</t>
  </si>
  <si>
    <t>557 - COMERCIO AL POR MAYOR DE MAQUINARIA Y EQUIPO PARA LA CONSTRUCCIÓN Y LA MINERÍA</t>
  </si>
  <si>
    <t>541 - COMERCIO AL POR MAYOR DE OTROS MATERIALES PARA LA CONSTRUCCIÓN; EXCEPTO DE MADERA</t>
  </si>
  <si>
    <t>569 - OTROS INTERMEDIARIOS DE COMERCIO AL POR MAYOR</t>
  </si>
  <si>
    <t>0592 - COMERCIO AL POR MENOR DE SEMILLAS Y GRANOS ALIMENTICIOS; ESPECIAS Y CHILES SECOS</t>
  </si>
  <si>
    <t>2228 - COMERCIO AL POR MENOR DE VINOS DE MESA</t>
  </si>
  <si>
    <t>610 - COMERCIO AL POR MENOR PAÑALES DESECHABLES Y/O TOALLAS SANITARIAS</t>
  </si>
  <si>
    <t>645 - COMERCIO AL POR MENOR DE OTROS ARTÍCULOS PARA LA DECORACIÓN DE INTERIORES</t>
  </si>
  <si>
    <t>0658 - COMERCIO AL POR MENOR DE OTROS VEHÍCULOS DE MOTOR</t>
  </si>
  <si>
    <t>627 - COMERCIO AL POR MENOR DE PERIÓDICOS Y REVISTAS</t>
  </si>
  <si>
    <t>0635 - COMERCIO AL POR MENOR DE ARTÍCULOS MISCELÁNEOS NO CLASIFICADOS EN OTRA PARTE  SIN INCLUIR BOTANAS; PRODUCTOS DE CONFITERÍA; CHOCOLATES Y DEMÁS PRODUCTOS DERIVADOS DEL CACAO; DULCES DE FRUTAS Y HORTALIZAS; CREMAS DE CACACHUATE Y AVELLANAS; DULCES DE LECHE; ALIMENTOS PREPARADOS A BASE DE CEREALES; HELADOS; NIEVES Y PALETAS DE HIELO.</t>
  </si>
  <si>
    <t>672 - TRANSPORTE MARÍTIMO DE ALTURA O DE CABOTAJE DE PETRÓLEO Y GAS NATURAL POR MAR</t>
  </si>
  <si>
    <t>680 - AUTOTRANSPORTE LOCAL DE MATERIALES Y RESIDUOS PELIGROSOS CUYO RADIO DE ACCIÓN SE LIMITA AL ÁREA METROPOLITANA; MUNICIPIO O LOCALIDAD EN QUE OPERAN</t>
  </si>
  <si>
    <t>0695 - TRANSPORTE DE PASAJEROS EN TAXIS DE RULETEO</t>
  </si>
  <si>
    <t>0712 - ADMINISTRACIÓN DE PUERTOS Y MUELLES</t>
  </si>
  <si>
    <t>730 - OTROS SERVICIOS DE ALMACENAMIENTO CON INSTALACIONES ESPECIALIZADAS</t>
  </si>
  <si>
    <t>737 - EDICIÓN DE DIRECTORIOS Y DE LISTAS DE CORREO NO INTEGRADA CON LA IMPRESIÓN; EXCEPTO A TRAVÉS DE INTERNET</t>
  </si>
  <si>
    <t>748 - PRODUCTORAS DISCOGRÁFICAS</t>
  </si>
  <si>
    <t>0764 - OTROS SERVICIOS DE TELECOMUNICACIONES</t>
  </si>
  <si>
    <t>0830 - REGALÍAS POR USO O GOCE TEMPORAL DE PATENTES Y FRANQUICIAS</t>
  </si>
  <si>
    <t>1127 - REGULACIÓN Y FOMENTO MUNICIPAL DEL DESARROLLO ECONÓMICO</t>
  </si>
  <si>
    <t>086 - ADMINISTRACIÓN DE EMPRESAS O NEGOCIOS GANADEROS</t>
  </si>
  <si>
    <t>147 - DIVISIÓN DE TERRENOS</t>
  </si>
  <si>
    <t>0776 - UNIONES DE CRÉDITO</t>
  </si>
  <si>
    <t>0808 - ALQUILER DE OTROS INMUEBLES</t>
  </si>
  <si>
    <t>0836 - SERVICIOS DE ARQUITECTURA</t>
  </si>
  <si>
    <t>1084 - OTRAS REPARACIONES MECÁNICAS Y ELÉCTRICAS DE AUTOMÓVILES Y CAMIONES</t>
  </si>
  <si>
    <t>0916 - ESCUELAS DE EDUCACIÓN SECUNDARIA TÉCNICA PERTENECIENTES AL SECTOR PRIVADO; QUE TENGAN AUTORIZACIÓN O RECONOCIMIENTO DE VALIDEZ OFICIAL DE ESTUDIOS; EN LOS TÉRMINOS DE LA LEY GENERAL DE EDUCACIÓN</t>
  </si>
  <si>
    <t>0950 - CONSULTORIOS DE MEDICINA GENERAL PERTENECIENTES AL SECTOR PÚBLICO</t>
  </si>
  <si>
    <t>0993 - ASILOS Y OTRAS RESIDENCIAS DEL SECTOR PRIVADO PARA EL CUIDADO DE ANCIANOS Y DISCAPACITADOS</t>
  </si>
  <si>
    <t>862 - DISTRIBUCIÓN DE MATERIAL PUBLICITARIO</t>
  </si>
  <si>
    <t>0902 - SERVICIOS DE INSTALACIÓN Y MANTENIMIENTO DE ÁREAS VERDES</t>
  </si>
  <si>
    <t>1019 - GRUPOS MUSICALES DEL SECTOR PÚBLICO</t>
  </si>
  <si>
    <t>1062 - CABAÑAS; VILLAS Y SIMILARES</t>
  </si>
  <si>
    <t>1073 - SERVICIOS DE PREPARACIÓN DE ALIMENTOS EN UNIDADES MÓVILES</t>
  </si>
  <si>
    <t>1106 - SANITARIOS PÚBLICOS Y BOLERÍAS</t>
  </si>
  <si>
    <t>1119 - ASOCIACIONES Y ORGANIZACIONES CIVILES</t>
  </si>
  <si>
    <t>0894 - OTROS SERVICIOS DE APOYO SECRETARIAL Y SIMILARES</t>
  </si>
  <si>
    <t>2255 - CAPTACIÓN; TRATAMIENTO Y SUMINISTRO DE AGUA PARA USO DOMÉSTICO</t>
  </si>
  <si>
    <t>2241 - CONSTRUCCIÓN Y/O ADQUISICIÓN DE OFICINAS Y LOCALES COMERCIALES PARA SER RENTADOS</t>
  </si>
  <si>
    <t>2381 - ALMACENAMIENTO DE GAS NATURAL</t>
  </si>
  <si>
    <t>43 - BAJA CALIFORNIA SUR “1” / LA PAZ</t>
  </si>
  <si>
    <t>07 - VENTAS DE ACCIONES</t>
  </si>
  <si>
    <t>07 - CONCESIONES</t>
  </si>
  <si>
    <t>07 - G. LINEAS GLOBALES</t>
  </si>
  <si>
    <t>IMPUESTOS{0,ELEMENTS(DATAINCOLUMN$@$,CATALOGCOLUMN38,1,13,@s@,06,@s@,04,@s@,05,@s@,09,@s@,10,@s@,03,@s@,12,@s@,11,@s@,01,@s@,02,@s@,07,@s@,08,@s@,14,@s@)}</t>
  </si>
  <si>
    <t>DAN_80{1,ELEMENTS(3,80,M,,,,)}</t>
  </si>
  <si>
    <t>08 - CHIHUAHUA</t>
  </si>
  <si>
    <t>8 - TIPO DE OPINION: ESPECIAL</t>
  </si>
  <si>
    <t>12 - IMPL - IMPUESTOS LOCALES</t>
  </si>
  <si>
    <t>0302 - INGRESOS POR PRESTACION DE SERVICIOS DE MANUFACTURA</t>
  </si>
  <si>
    <t>1706 - COSTO FISCAL EN VENTA DE INTANGIBLES ADQUIRIDOS A PARTES RELACIONADAS</t>
  </si>
  <si>
    <t>AUSTRALIA - DOLAR</t>
  </si>
  <si>
    <t>IH - ACTIVOS RELACIONADOS CON EL MERCADO: OTROS</t>
  </si>
  <si>
    <t>1.8 - RECURSOS NATURALES: EXPLORACIÓN Y EXTRACCIÓN DE HIDROCARBUROS</t>
  </si>
  <si>
    <t>08 - SIEMBRA; CULTIVO Y COSECHA DE TRIGO</t>
  </si>
  <si>
    <t>58 - CRÍA Y ENGORDA DE POLLOS PARA VENTA DE SU CARNE</t>
  </si>
  <si>
    <t>096 - MINERÍA DE MANGANESO</t>
  </si>
  <si>
    <t>148 - CONSTRUCCIÓN DE OBRAS DE URBANIZACIÓN</t>
  </si>
  <si>
    <t>0225 - ELABORACIÓN DE CONDIMENTOS Y ADEREZOS</t>
  </si>
  <si>
    <t>2349 - ELABORACIÓN DE ALIMENTOS NO BÁSICOS CON ALTA DENSIDAD CALÓRICA.</t>
  </si>
  <si>
    <t>2256 - CONGELACIÓN DE JUGOS; NÉCTARES Y CONCENTRADOS DE FRUTAS</t>
  </si>
  <si>
    <t>214 - PANIFICACIÓN TRADICIONAL</t>
  </si>
  <si>
    <t>2258 - ELABORACIÓN DE CONCENTRADOS; POLVOS; JARABES Y ESENCIAS DE SABOR PARA PREPARAR REFRESCOS; BEBIDAS HIDRATANTES O REHIDRATANTES QUE TIENEN AZÚCARES AÑADIDOS.</t>
  </si>
  <si>
    <t>0241 - PRODUCCIÓN; FABRICACIÓN O ENVASADO DE BEBIDAS DESTILADAS DE AGAVE</t>
  </si>
  <si>
    <t>0255 - ACABADO DE FIBRAS; HILADOS; HILOS Y TELAS</t>
  </si>
  <si>
    <t>272 - CONFECCIÓN EN SERIE DE ROPA ESPECIAL: ARTÍSTICA; DISFRACES; TRAJES TÍPICOS; TRAJES DE TORERO; HÁBITOS RELIGIOSOS</t>
  </si>
  <si>
    <t>293 - FABRICACIÓN DE ARTÍCULOS Y UTENSILIOS DE MADERA PARA EL HOGAR</t>
  </si>
  <si>
    <t>0317 - FABRICACIÓN DE PIGMENTOS Y COLORANTES SINTÉTICOS</t>
  </si>
  <si>
    <t>343 - FABRICACIÓN DE ESPUMAS Y PRODUCTOS DE URETANO</t>
  </si>
  <si>
    <t>386 - LAMINACIÓN SECUNDARIA DE OTROS METALES NO FERROSOS</t>
  </si>
  <si>
    <t>0413 - FABRICACIÓN DE MAQUINARIA Y EQUIPO PARA LA INDUSTRIA TEXTIL</t>
  </si>
  <si>
    <t>438 - FABRICACIÓN DE OTROS INSTRUMENTOS DE NAVEGACIÓN; MEDICIÓN; MÉDICOS Y DE CONTROL</t>
  </si>
  <si>
    <t>458 - FABRICACIÓN DE PARTES DE SISTEMAS DE FRENOS PARA VEHÍCULOS AUTOMOTRICES</t>
  </si>
  <si>
    <t>474 - FABRICACIÓN DE EQUIPO Y APARATOS PARA USO MÉDICO; DENTAL; PARA LABORATORIO Y DE MÁXIMA SEGURIDAD</t>
  </si>
  <si>
    <t>362 - FABRICACIÓN DE ENVASES Y AMPOLLETAS DE VIDRIO</t>
  </si>
  <si>
    <t>499 - COMERCIO AL POR MAYOR DE LECHE</t>
  </si>
  <si>
    <t>0510 - COMERCIO AL POR MAYOR DE REFRESCOS O BEBIDAS HIDRATANTES O REHIDRATANTES ELABORADOS CON AZÚCAR DE CAÑA Y OTROS EDULCORANTES</t>
  </si>
  <si>
    <t>0518 - COMERCIO AL POR MAYOR DE CERVEZA</t>
  </si>
  <si>
    <t>558 - COMERCIO AL POR MAYOR DE MAQUINARIA Y EQUIPO PARA LA INDUSTRIA MANUFACTURERA</t>
  </si>
  <si>
    <t>543 - COMERCIO AL POR MAYOR DE PRODUCTOS QUÍMICOS PARA USO INDUSTRIAL</t>
  </si>
  <si>
    <t>570 - COMERCIO AL POR MAYOR POR MEDIOS MASIVOS DE COMUNICACIÓN [COMO CORREO E INTERNET] Y OTROS MEDIOS</t>
  </si>
  <si>
    <t>0593 - COMERCIO AL POR MENOR DE PRODUCTOS LÁCTEOS Y EMBUTIDOS</t>
  </si>
  <si>
    <t>2229 - COMERCIO AL POR MENOR DE AGUAMIEL Y PULQUE</t>
  </si>
  <si>
    <t>611 - COMERCIO AL POR MENOR SOMBREROS</t>
  </si>
  <si>
    <t>646 - COMERCIO AL POR MENOR DE ARTÍCULOS USADOS DE MUEBLES; ENSERES DOMÉSTICOS; LIBROS; REVISTAS; ROPA; CALZADO; JUGUETES</t>
  </si>
  <si>
    <t>0659 - COMERCIO AL POR MENOR DE GASOLINA Y DIESEL</t>
  </si>
  <si>
    <t>633 - COMERCIO AL POR MENOR EN TIENDAS IMPORTADORAS DE PRODUCTOS DE ORIGEN EXTRANJERO</t>
  </si>
  <si>
    <t>0636 - COMERCIO AL POR MENOR DE MUEBLES PARA EL HOGAR</t>
  </si>
  <si>
    <t>673 - TRANSPORTE DE PASAJEROS Y DE CARGA POR RÍOS; PRESAS; LAGOS; LAGUNAS Y OTRAS VÍAS NAVEGABLES INTERIORES; SERVICIO DE REMOLQUE DE CARGA POR AGUAS INTERIORES</t>
  </si>
  <si>
    <t>681 - AUTOTRANSPORTE LOCAL CON REFRIGERACIÓN CUYO RADIO DE ACCIÓN SE LIMITA AL ÁREA METROPOLITANA; MUNICIPIO O LOCALIDAD EN QUE OPERAN</t>
  </si>
  <si>
    <t>0696 - SERVICIO DE LIMUSINAS</t>
  </si>
  <si>
    <t>0713 - SERVICIOS DE CARGA Y DESCARGA PARA EL TRANSPORTE POR AGUA</t>
  </si>
  <si>
    <t>738 - EDICIÓN DE DIRECTORIOS Y DE LISTAS DE CORREO INTEGRADA CON LA IMPRESIÓN</t>
  </si>
  <si>
    <t>749 - PRODUCCIÓN Y DISTRIBUCIÓN DE DISCOS Y CINTAS MAGNETOFÓNICAS</t>
  </si>
  <si>
    <t>2277 - TELEGRAFÍA Y OTRAS TELECOMUNICACIONES ALÁMBRICAS.</t>
  </si>
  <si>
    <t>0875 - OPERACIONES FINANCIERAS DERIVADAS EN EL MERCADO MEXICANO DE DERIVADOS</t>
  </si>
  <si>
    <t>1128 - IMPARTICIÓN DE JUSTICIA Y MANTENIMIENTO DE LA SEGURIDAD Y EL ORDEN PÚBLICO EN EL NIVEL FEDERAL</t>
  </si>
  <si>
    <t>087 - SERVICIOS RELACIONADOS CON EL APROVECHAMIENTO FORESTAL</t>
  </si>
  <si>
    <t>149 - ADMINISTRACIÓN Y SUPERVISIÓN DE DIVISIÓN DE TERRENOS Y DE CONSTRUCCIÓN DE OBRAS DE URBANIZACIÓN</t>
  </si>
  <si>
    <t>0777 - CAJAS DE AHORRO POPULAR</t>
  </si>
  <si>
    <t>0809 - INMOBILIARIAS Y CORREDORES DE BIENES RAÍCES</t>
  </si>
  <si>
    <t>0837 - SERVICIOS DE ARQUITECTURA DE PAISAJE Y URBANISMO</t>
  </si>
  <si>
    <t>1085 - HOJALATERÍA Y PINTURA DE AUTOMÓVILES Y CAMIONES</t>
  </si>
  <si>
    <t>0917 - ESCUELAS DE EDUCACIÓN SECUNDARIA TÉCNICA PERTENECIENTES AL SECTOR PÚBLICO</t>
  </si>
  <si>
    <t>0951 - SERVICIOS DE MEDICINA ESPECIALIZADA</t>
  </si>
  <si>
    <t>0994 - ASILOS Y OTRAS RESIDENCIAS DEL SECTOR PÚBLICO PARA EL CUIDADO DE ANCIANOS Y DISCAPACITADOS</t>
  </si>
  <si>
    <t>863 - OTROS SERVICIOS DE PUBLICIDAD</t>
  </si>
  <si>
    <t>0903 - SERVICIOS DE LIMPIEZA DE TAPICERÍA; ALFOMBRAS Y MUEBLES</t>
  </si>
  <si>
    <t>1020 - OTRAS COMPAÑÍAS Y GRUPOS CIRCENSES; DE MAGIA; DE PATINAJE Y DE OTROS ESPECTÁCULOS ARTÍSTICOS NO CLASIFICADOS EN OTRA PARTE</t>
  </si>
  <si>
    <t>1063 - CAMPAMENTOS Y ALBERGUES RECREATIVOS</t>
  </si>
  <si>
    <t>1074 - CENTROS NOCTURNOS; DISCOTECAS Y SIMILARES</t>
  </si>
  <si>
    <t>1107 - LAVANDERÍAS Y TINTORERÍAS</t>
  </si>
  <si>
    <t>2285 - ASOCIACIONES Y ORGANIZACIONES CIVILES DE CONDÓMINOS.</t>
  </si>
  <si>
    <t>2249 - SERVICIOS DE INVESTIGACIÓN Y DE PROTECCIÓN</t>
  </si>
  <si>
    <t>2242 - CONSTRUCCIÓN Y/O ADQUISICIÓN DE TEATROS; ESTADIOS; AUDITORIOS Y SIMILARES PARA SER RENTADOS</t>
  </si>
  <si>
    <t>2382 - DISTRIBUCIÓN DE GAS NATURAL</t>
  </si>
  <si>
    <t>40 - BAJA CALIFORNIA SUR “2” / LOS CABOS</t>
  </si>
  <si>
    <t>08 - ANTICIPOS</t>
  </si>
  <si>
    <t>08 - DERECHOS</t>
  </si>
  <si>
    <t>08 - H. PRENDARIO</t>
  </si>
  <si>
    <t>TIPO_DE_RESOLUCION{0,ELEMENTS(DATAINCOLUMN$@$,CATALOGCOLUMN39,0,1,@s@,2,@s@)}</t>
  </si>
  <si>
    <t>DAN_15{1,ELEMENTS(3,15,M,,,,)}</t>
  </si>
  <si>
    <t>09 - CIUDAD DE MEXICO</t>
  </si>
  <si>
    <t>11 - ISAN - ISAN</t>
  </si>
  <si>
    <t>0303 - INGRESOS POR PRESTACION DE SERVICIOS FINANCIEROS</t>
  </si>
  <si>
    <t>1707 - COSTO FISCAL EN VENTA DE OTROS CARGOS Y GASTOS DIFERIDOS ADQUIRIDOS A PARTES RELACIONADAS</t>
  </si>
  <si>
    <t>AUSTRIA - EURO</t>
  </si>
  <si>
    <t>IIA - ACTIVOS RELACIONADOS CON LA CARTERA DE CLIENTES: LISTAS DE CLIENTES</t>
  </si>
  <si>
    <t>1.9 - RECURSOS NATURALES: TRATAMIENTO; REFINACIÓN; ENAJENACIÓN; TRANSPORTE Y ALMACENAMIENTO DEL PETRÓLEO</t>
  </si>
  <si>
    <t>09 - SIEMBRA; CULTIVO Y COSECHA DE MAÍZ GRANO</t>
  </si>
  <si>
    <t>59 - CRÍA Y ENGORDA DE GUAJOLOTES O PAVOS PARA LA VENTA DE SU CARNE Y PRODUCCIÓN DE HUEVO</t>
  </si>
  <si>
    <t>097 - MINERÍA DE MERCURIO Y ANTIMONIO</t>
  </si>
  <si>
    <t>151 - CONSTRUCCIÓN DE CARRETERAS; AUTOPISTAS; TERRACERÍAS; PUENTES; PASOS A DESNIVEL Y AEROPISTAS</t>
  </si>
  <si>
    <t>0228 - ELABORACIÓN DE ALIMENTOS FRESCOS PARA CONSUMO INMEDIATO</t>
  </si>
  <si>
    <t>215 - ELABORACIÓN DE GALLETAS; PASTAS PARA SOPA Y HARINAS PREMEZCLADAS</t>
  </si>
  <si>
    <t>2259 - PRODUCTOR; ENVASADOR O FABRICANTE DE CONCENTRADOS O JARABES PARA PREPARAR REFRESCOS QUE SE EXPANDAN EN ENVASES ABIERTOS UTILIZANDO APARATOS AUTOMÁTICOS; ELÉCTRICOS O MECÁNICOS TIENEN AZÚCARES AÑADIDOS.</t>
  </si>
  <si>
    <t>0242 - PRODUCCIÓN; FABRICACIÓN O ENVASADO DE ALCOHOL O ALCOHOL DESNATURALIZADO</t>
  </si>
  <si>
    <t>0256 - RECUBRIMIENTO DE TELAS</t>
  </si>
  <si>
    <t>273 - CONFECCIÓN DE ROPA SOBRE MEDIDA</t>
  </si>
  <si>
    <t>294 - FABRICACIÓN DE PRODUCTOS DE MADERA DE USO INDUSTRIAL</t>
  </si>
  <si>
    <t>0318 - FABRICACIÓN DE OTROS PRODUCTOS QUÍMICOS BÁSICOS INORGÁNICOS</t>
  </si>
  <si>
    <t>344 - FABRICACIÓN DE BOTELLAS; BOTELLONES Y FRASCOS DE PLÁSTICO. INCLUYE LA FABRICACIÓN DE PREFORMAS DE BOTELLAS</t>
  </si>
  <si>
    <t>387 - VENTA DE LINGOTES DE ORO</t>
  </si>
  <si>
    <t>0414 - FABRICACIÓN DE MAQUINARIA Y EQUIPO PARA LA IMPRESIÓN</t>
  </si>
  <si>
    <t>439 - FABRICACIÓN Y REPRODUCCIÓN DE MEDIOS MAGNÉTICOS Y ÓPTICOS</t>
  </si>
  <si>
    <t>459 - FABRICACIÓN DE PARTES DE SISTEMAS DE TRANSMISIÓN</t>
  </si>
  <si>
    <t>475 - FABRICACIÓN DE MATERIAL DE CURACIÓN</t>
  </si>
  <si>
    <t>363 - FABRICACIÓN DE FIBRA DE VIDRIO</t>
  </si>
  <si>
    <t>500 - COMERCIO AL POR MAYOR DE PRODUCTOS LÁCTEOS; COMO CREMA; MANTEQUILLA; YOGUR; QUESO</t>
  </si>
  <si>
    <t>0583 - VENTA DE MIELES INCRISTALIZABLES QUE NO SE UTILICEN PARA TRANSFORMARLAS EN ALCOHOL</t>
  </si>
  <si>
    <t>0519 - COMERCIO AL POR MAYOR DE CIGARROS; PUROS Y TABACO</t>
  </si>
  <si>
    <t>559 - COMERCIO AL POR MAYOR DE EQUIPO DE TELECOMUNICACIONES; FOTOGRAFÍA Y CINEMATOGRAFÍA</t>
  </si>
  <si>
    <t>544 - COMERCIO AL POR MAYOR DE ENVASES; PAPEL Y CARTÓN</t>
  </si>
  <si>
    <t>0594 - COMERCIO AL POR MENOR DE MATERIAS PRIMAS PARA REPOSTERÍA</t>
  </si>
  <si>
    <t>2231 - VENTA DE CERVEZA REALIZADA POR PERSONAS DISTINTAS AL FABRICANTE; PRODUCTOR; ENVASADOR O IMPORTADOR</t>
  </si>
  <si>
    <t>612 - COMERCIO AL POR MENOR CALZADO; AGUJETAS; TINTAS; PLANTILLAS; ACCESORIOS DEL CALZADO</t>
  </si>
  <si>
    <t>647 - COMERCIO AL POR MENOR EN FERRETERÍAS Y TLAPALERÍAS</t>
  </si>
  <si>
    <t>0660 - COMERCIO AL POR MENOR DE GAS L.P. EN CILINDROS Y PARA TANQUES ESTACIONARIOS</t>
  </si>
  <si>
    <t>651 - COMERCIO AL POR MENOR EN TIENDAS DE AUTOSERVICIO DE MATERIALES PARA LA AUTOCONSTRUCCIÓN</t>
  </si>
  <si>
    <t>0639 - COMERCIO AL POR MENOR DE COMPUTADORAS Y SUS ACCESORIOS</t>
  </si>
  <si>
    <t>706 - TRANSPORTE TURÍSTICO POR AGUA</t>
  </si>
  <si>
    <t>682 - AUTOTRANSPORTE LOCAL DE MADERA Y SUS DERIVADOS CUYO RADIO DE ACCIÓN SE LIMITA AL ÁREA METROPOLITANA; MUNICIPIO O LOCALIDAD EN QUE OPERAN</t>
  </si>
  <si>
    <t>0697 - TRANSPORTE ESCOLAR Y DE PERSONAL</t>
  </si>
  <si>
    <t>0714 - SERVICIOS PARA LA NAVEGACIÓN POR AGUA</t>
  </si>
  <si>
    <t>739 - EDICIÓN DE OTROS MATERIALES NO INTEGRADA CON LA IMPRESIÓN; EXCEPTO A TRAVÉS DE INTERNET</t>
  </si>
  <si>
    <t>750 - EDITORAS DE MÚSICA</t>
  </si>
  <si>
    <t>0876 - INTERESES POR INVERSIONES O DEPÓSITOS EN SISTEMA FINANCIERO</t>
  </si>
  <si>
    <t>1129 - IMPARTICIÓN DE JUSTICIA Y MANTENIMIENTO DE LA SEGURIDAD Y EL ORDEN PÚBLICO EN EL NIVEL ESTATAL</t>
  </si>
  <si>
    <t>088 - ADMINISTRACION DE EMPRESAS O NEGOCIOS FORESTALES</t>
  </si>
  <si>
    <t>150 - INSTALACIÓN DE SEÑALAMIENTOS Y PROTECCIONES DE OBRAS VIALES</t>
  </si>
  <si>
    <t>0778 - SOCIEDADES Y ASOCIACIONES DE AHORRO Y PRÉSTAMO AUTORIZADAS COMO ENTIDADES DE AHORRO Y PRÉSTAMO</t>
  </si>
  <si>
    <t>0813 - ADMINISTRACIÓN DE BIEN INMUEBLE DESTINADO A HOSPEDAJE</t>
  </si>
  <si>
    <t>0838 - SERVICIOS DE INGENIERÍA</t>
  </si>
  <si>
    <t>1086 - TAPICERÍA DE AUTOMÓVILES Y CAMIONES</t>
  </si>
  <si>
    <t>0918 - ESCUELAS DE EDUCACIÓN MEDIA TÉCNICA TERMINAL PERTENECIENTES AL SECTOR PRIVADO; QUE TENGAN AUTORIZACIÓN O RECONOCIMIENTO DE VALIDEZ OFICIAL DE ESTUDIOS; EN LOS TÉRMINOS DE LA LEY GENERAL DE EDUCACIÓN</t>
  </si>
  <si>
    <t>0952 - CONSULTORIOS DE MEDICINA ESPECIALIZADA PERTENECIENTES AL SECTOR PÚBLICO</t>
  </si>
  <si>
    <t>0995 - ORFANATOS Y OTRAS RESIDENCIAS DE ASISTENCIA SOCIAL PERTENECIENTES AL SECTOR PRIVADO</t>
  </si>
  <si>
    <t>864 - SERVICIOS DE INVESTIGACIÓN DE MERCADOS Y ENCUESTAS DE OPINIÓN PÚBLICA</t>
  </si>
  <si>
    <t>0904 - OTROS SERVICIOS DE LIMPIEZA</t>
  </si>
  <si>
    <t>1021 - OTRAS COMPAÑÍAS Y GRUPOS DE ESPECTÁCULOS ARTÍSTICOS DEL SECTOR PÚBLICO</t>
  </si>
  <si>
    <t>1064 - PENSIONES Y CASAS DE HUÉSPEDES</t>
  </si>
  <si>
    <t>1075 - BARES Y CANTINAS</t>
  </si>
  <si>
    <t>1108 - SERVICIOS FUNERARIOS</t>
  </si>
  <si>
    <t>2287 - ASOCIACIONES DE PADRES DE FAMILIA.</t>
  </si>
  <si>
    <t>2243 - CONSTRUCCIÓN Y/O ADQUISICIÓN DE FINCAS DESTINADAS FINES AGRÍCOLAS O GANADEROS PARA SER RENTADOS</t>
  </si>
  <si>
    <t>2383 - EXPENDIO AL PÚBLICO DE GAS NATURAL</t>
  </si>
  <si>
    <t>09 - DURANGO</t>
  </si>
  <si>
    <t>72 - CAMPECHE “1” / CAMPECHE</t>
  </si>
  <si>
    <t>09 - PRESTAMOS</t>
  </si>
  <si>
    <t>09 - POR ADQUISICION DE ACCIONES</t>
  </si>
  <si>
    <t>09 - I. PROTOCOLOS</t>
  </si>
  <si>
    <t>TIPO_OPERACIONES_FINANCIERAS{0,ELEMENTS(DATAINCOLUMN$@$,CATALOGCOLUMN40,0,1,@s@,2,@s@)}</t>
  </si>
  <si>
    <t>DAN_10{1,ELEMENTS(3,10,M,,,,)}</t>
  </si>
  <si>
    <t>10 - DURANGO</t>
  </si>
  <si>
    <t>01 - ISR - ISR A CARGO</t>
  </si>
  <si>
    <t>0400 - INGRESOS POR MAQUILA</t>
  </si>
  <si>
    <t>1708 - COSTO FISCAL EN VENTA DE TERRENO ADQUIRIDO A PARTES RELACIONADAS</t>
  </si>
  <si>
    <t>BAHAMAS - DOLAR</t>
  </si>
  <si>
    <t>IIB - ACTIVOS RELACIONADOS CON LA CARTERA DE CLIENTES: PRODUCCION CONTRATADA Y PEDIDOS FINCADOS</t>
  </si>
  <si>
    <t>1.10 - RECURSOS NATURALES: PROCESAMIENTO; COMPRESIÓN; LICUEFACCIÓN; DESCOMPRESIÓN Y REGASIFICACIÓN; ASÍ COMO EL TRANSPORTE; ALMACENAMIENTO; DISTRIBUCIÓN Y EXPENDIO DE GAS NATURAL</t>
  </si>
  <si>
    <t>10 - SIEMBRA; CULTIVO Y COSECHA DE MAÍZ FORRAJERO</t>
  </si>
  <si>
    <t>60 - PRODUCCIÓN DE AVES DE CORRAL EN INCUBADORA</t>
  </si>
  <si>
    <t>098 - MINERÍA DE URANIO Y MINERALES RADIACTIVOS</t>
  </si>
  <si>
    <t>153 - CONSTRUCCIÓN DE PRESAS Y REPRESAS</t>
  </si>
  <si>
    <t>0229 - ELABORACIÓN DE OTROS ALIMENTOS</t>
  </si>
  <si>
    <t>216 - ELABORACIÓN DE TORTILLAS DE MAÍZ Y MOLIENDA DE NIXTAMAL</t>
  </si>
  <si>
    <t>2260 - PRODUCTOR; ENVASADOR O FABRICANTE DE REFRESCOS QUE UTILIZA EN DICHA ELABORACIÓN COMO EDULCORANTE ÚNICAMENTE CAÑA DE AZÚCAR</t>
  </si>
  <si>
    <t>0243 - PRODUCCIÓN; FABRICACIÓN O ENVASADO DE MIELES INCRISTALIZABLES PARA TRANSFORMARLAS EN ALCOHOL</t>
  </si>
  <si>
    <t>0257 - TEJIDO Y CONFECCIÓN DE ALFOMBRAS Y TAPETES</t>
  </si>
  <si>
    <t>274 - CONFECCIÓN DE OTRA ROPA DE MATERIALES TEXTILES</t>
  </si>
  <si>
    <t>295 - FABRICACIÓN DE OTROS PRODUCTOS DE MADERA</t>
  </si>
  <si>
    <t>0319 - FABRICACIÓN DE OTROS PRODUCTOS QUÍMICOS BÁSICOS ORGÁNICOS</t>
  </si>
  <si>
    <t>345 - FABRICACIÓN DE ARTÍCULOS DE PLÁSTICO PARA EL HOGAR</t>
  </si>
  <si>
    <t>388 - MOLDEO POR FUNDICIÓN DE TODO TIPO DE PIEZAS A PARTIR DE HIERRO Y ACERO PRODUCIDOS EN OTRO ESTABLECIMIENTO</t>
  </si>
  <si>
    <t>0415 - FABRICACIÓN DE MAQUINARIA Y EQUIPO PARA LA INDUSTRIA DEL VIDRIO Y OTROS MINERALES NO METÁLICOS</t>
  </si>
  <si>
    <t>440 - FABRICACIÓN DE FOCOS</t>
  </si>
  <si>
    <t>460 - FABRICACIÓN DE ASIENTOS PARA VEHÍCULOS AUTOMOTORES</t>
  </si>
  <si>
    <t>476 - FABRICACIÓN DE INSTRUMENTOS Y APARATOS ÓPTICOS DE USO OFTÁLMICO</t>
  </si>
  <si>
    <t xml:space="preserve">364 - FABRICACIÓN DE VASOS; JARRAS; PLATOS; CHAROLAS; FRUTEROS; ADORNOS Y OTROS ARTÍCULOS DOMÉSTICOS Y ORNAMENTALES DE VIDRIO </t>
  </si>
  <si>
    <t>501 - COMERCIO AL POR MAYOR DE EMBUTIDOS</t>
  </si>
  <si>
    <t>2265 - COMERCIO AL POR MAYOR DE REFRESCOS O BEBIDAS HIDRATANTES O REHIDRATANTES ELABORADOS ÚNICAMENTE CON AZÚCAR DE CAÑA COMO EDULCORANTE</t>
  </si>
  <si>
    <t>0581 - VENTA DE ALCOHOL Y ALCOHOL DESNATURALIZADO A HOSPITALES EN ENVASES DE HASTA 20 LITROS</t>
  </si>
  <si>
    <t>561 - COMERCIO AL POR MAYOR DE MOBILIARIO; EQUIPO E INSTRUMENTAL MÉDICO Y DE LABORATORIO</t>
  </si>
  <si>
    <t>545 - COMERCIO AL POR MAYOR DE MADERA</t>
  </si>
  <si>
    <t>0595 - COMERCIO AL POR MENOR DE OTROS ALIMENTOS PREPARADOS PARA SU CONSUMO SIN INCLUIR BOTANAS; PRODUCTOS DE CONFITERÍA; CHOCOLATES Y DEMÁS PRODUCTOS DERIVADOS DEL CACAO; DULCES DE FRUTAS Y HORTALIZAS; CREMAS DE CACACHUATE Y AVELLANAS; DULCES DE LECHE; ASÍ COMO ALIMENTOS PREPARADOS A BASE DE CEREALES</t>
  </si>
  <si>
    <t>2233 - COMERCIO AL POR MENOR DE OTRAS BEBIDAS A BASE DE UVA</t>
  </si>
  <si>
    <t>619 - COMERCIO AL POR MENOR DE RELOJES; JOYERÍA FINA Y ARTÍCULOS DECORATIVOS DE MATERIALES PRECIOSOS</t>
  </si>
  <si>
    <t>648 - COMERCIO AL POR MENOR DE PINTURA; RECUBRIMIENTOS; BARNICES; BROCHAS; MATERIALES Y ACCESORIOS PARA PINTURA NO ARTÍSTICA</t>
  </si>
  <si>
    <t>0661 - COMERCIO AL POR MENOR DE OTROS COMBUSTIBLES COMO PETRÓLEO DIÁFANO; CARBÓN VEGETAL Y LEÑA</t>
  </si>
  <si>
    <t>0640 - COMERCIO AL POR MENOR DE TELÉFONOS; DE OTROS APARATOS DE COMUNICACIÓN; REFACCCIONES Y ACCESORIOS</t>
  </si>
  <si>
    <t>683 - OTRO AUTOTRANSPORTE LOCAL DE CARGA ESPECIALIZADO</t>
  </si>
  <si>
    <t>0700 - OTRO TRANSPORTE TERRESTRE DE PASAJEROS</t>
  </si>
  <si>
    <t>0715 - OTROS SERVICIOS RELACIONADOS CON EL TRANSPORTE POR AGUA</t>
  </si>
  <si>
    <t>740 - EDICIÓN DE OTROS MATERIALES INTEGRADA CON LA IMPRESIÓN</t>
  </si>
  <si>
    <t>751 - GRABACIÓN DE DISCOS Y CINTAS MAGNETOFÓNICAS</t>
  </si>
  <si>
    <t>0877 - INVERSIONES REALIZADAS EN SOCIEDADES RESIDENTES EN EL EXTRANJERO SIN ESTABLECIMIENTO EN EL PAÍS</t>
  </si>
  <si>
    <t>1130 - IMPARTICIÓN DE JUSTICIA Y MANTENIMIENTO DE LA SEGURIDAD Y EL ORDEN PÚBLICO EN EL NIVEL MUNICIPAL</t>
  </si>
  <si>
    <t>184 - BENEFICIO DEL ARROZ</t>
  </si>
  <si>
    <t>152 - ADMINISTRACIÓN Y SUPERVISIÓN DE CONSTRUCCIÓN DE VÍAS DE COMUNICACIÓN</t>
  </si>
  <si>
    <t>0779 - ARRENDADORAS FINANCIERAS</t>
  </si>
  <si>
    <t>0814 - ALQUILER DE AUTOMÓVILES SIN CHOFER</t>
  </si>
  <si>
    <t>0839 - SERVICIOS DE DIBUJO</t>
  </si>
  <si>
    <t>1087 - INSTALACIÓN DE CRISTALES Y OTRAS REPARACIONES A LA CARROCERÍA DE AUTOMÓVILES Y CAMIONES</t>
  </si>
  <si>
    <t>0919 - ESCUELAS DE EDUCACIÓN MEDIA TÉCNICA TERMINAL PERTENECIENTES AL SECTOR PÚBLICO</t>
  </si>
  <si>
    <t>0953 - SERVICIOS DENTALES</t>
  </si>
  <si>
    <t>0996 - ORFANATOS Y OTRAS RESIDENCIAS DE ASISTENCIA SOCIAL PERTENECIENTES AL SECTOR PÚBLICO</t>
  </si>
  <si>
    <t>884 - SERVICIOS COMBINADOS DE APOYO EN INSTALACIONES</t>
  </si>
  <si>
    <t>0905 - SERVICIOS DE EMPACADO Y ETIQUETADO</t>
  </si>
  <si>
    <t>1022 - PRESENTACIÓN DE ESPECTÁCULOS PÚBLICOS DEPORTIVOS PROFESIONALES Y SEMIPROFESIONALES</t>
  </si>
  <si>
    <t>1065 - DEPARTAMENTOS Y CASAS AMUEBLADOS CON SERVICIOS DE HOTELERÍA</t>
  </si>
  <si>
    <t>1076 - CERVECERÍAS</t>
  </si>
  <si>
    <t>1109 - ADMINISTRACIÓN DE CEMENTERIOS</t>
  </si>
  <si>
    <t>2288 - SOCIEDADES DE GESTIÓN COLECTIVA CONSTITUIDAS DE ACUERDO CON LA LEY FEDERAL DEL DERECHO DE AUTOR</t>
  </si>
  <si>
    <t>2244 - CONSTRUCCIÓN Y/O ADQUISICIÓN DE OTROS INMUEBLES PARA SER RENTADOS; COMO TERRENOS; BODEGAS; GALERONES; PLANTAS INDUSTRIALES; NAVES INDUSTRIALES</t>
  </si>
  <si>
    <t>2400 - COMERCIALIZACIÓN DE GAS NATURAL</t>
  </si>
  <si>
    <t>10 - GUANAJUATO</t>
  </si>
  <si>
    <t>76 - CHIAPAS “1” / TUXTLA GUTIERREZ</t>
  </si>
  <si>
    <t>10 - REGALIAS</t>
  </si>
  <si>
    <t>10 - INTERESES POR VENTA DE CARTERA</t>
  </si>
  <si>
    <t>10 - J. QUIROGRAFARIOS</t>
  </si>
  <si>
    <t>PAISES{0,ELEMENTS(DATAINCOLUMN$@$,CATALOGCOLUMN41,0,1,@s@,2,@s@,3,@s@,4,@s@,5,@s@,6,@s@,7,@s@,8,@s@,9,@s@,10,@s@,11,@s@,12,@s@,13,@s@,14,@s@,15,@s@,16,@s@,17,@s@,18,@s@,19,@s@,20,@s@,21,@s@,22,@s@,23,@s@,24,@s@,25,@s@,26,@s@,27,@s@,28,@s@,29,@s@,30,@s@,31,@s@,32,@s@,33,@s@,34,@s@,35,@s@,37,@s@,38,@s@,39,@s@,40,@s@,41,@s@,36,@s@,42,@s@,43,@s@,44,@s@,45,@s@,46,@s@,47,@s@,48,@s@,49,@s@,50,@s@,51,@s@,53,@s@,52,@s@,54,@s@,55,@s@,56,@s@,57,@s@,58,@s@,59,@s@,60,@s@,61,@s@,62,@s@,63,@s@,64,@s@,65,@s@,66,@s@,67,@s@,68,@s@,69,@s@,70,@s@,71,@s@,72,@s@,73,@s@,74,@s@,75,@s@,76,@s@,77,@s@,78,@s@,79,@s@,80,@s@,81,@s@,82,@s@,83,@s@,84,@s@,85,@s@,86,@s@,87,@s@,88,@s@,91,@s@,90,@s@,89,@s@,93,@s@,92,@s@,94,@s@,95,@s@,96,@s@,97,@s@,98,@s@,99,@s@,100,@s@,101,@s@,102,@s@,103,@s@,104,@s@,105,@s@,106,@s@,107,@s@,108,@s@,109,@s@,110,@s@,111,@s@,112,@s@,113,@s@,114,@s@,115,@s@,116,@s@,117,@s@,118,@s@,119,@s@,120,@s@,121,@s@,122,@s@,123,@s@,124,@s@,125,@s@,126,@s@,127,@s@,128,@s@,129,@s@,130,@s@,131,@s@,132,@s@,133,@s@,134,@s@,135,@s@,136,@s@,137,@s@,138,@s@,139,@s@,140,@s@,141,@s@,142,@s@,143,@s@,144,@s@,145,@s@,146,@s@,147,@s@,148,@s@,149,@s@,150,@s@,151,@s@,152,@s@,153,@s@,154,@s@,155,@s@,156,@s@,157,@s@,158,@s@,159,@s@,160,@s@,161,@s@,162,@s@,163,@s@,164,@s@,165,@s@,166,@s@,167,@s@,168,@s@,169,@s@,170,@s@,171,@s@,172,@s@,173,@s@,174,@s@,175,@s@,176,@s@,177,@s@,178,@s@,179,@s@,181,@s@,180,@s@,183,@s@,182,@s@,184,@s@,185,@s@,186,@s@,187,@s@,188,@s@,189,@s@,190,@s@,191,@s@,192,@s@,193,@s@,194,@s@,195,@s@,196,@s@,197,@s@,198,@s@,199,@s@,200,@s@,201,@s@,202,@s@,203,@s@,204,@s@,205,@s@,206,@s@,207,@s@,208,@s@,209,@s@,210,@s@,211,@s@,212,@s@,213,@s@,214,@s@,215,@s@,216,@s@,217,@s@,218,@s@,219,@s@,220,@s@,221,@s@,222,@s@,223,@s@,224,@s@,225,@s@,226,@s@,227,@s@,228,@s@,229,@s@,230,@s@,231,@s@,232,@s@,233,@s@,234,@s@,235,@s@,236,@s@,237,@s@,238,@s@,239,@s@,240,@s@,241,@s@,242,@s@)}</t>
  </si>
  <si>
    <t>CN_5_EXACTO{1,ELEMENTS(2,5,E,5,0,0,0)}</t>
  </si>
  <si>
    <t>11 - GUANAJUATO</t>
  </si>
  <si>
    <t>02 - ISRR - ISR RETENIDO</t>
  </si>
  <si>
    <t>0500 - INGRESOS POR SERVICIOS ADMINISTRATIVOS</t>
  </si>
  <si>
    <t>1801- REGALIAS POR USO DE ACTIVOS RELACIONADOS CON EL MERCADO</t>
  </si>
  <si>
    <t>BAHRAIN - DINAR</t>
  </si>
  <si>
    <t>IIC - ACTIVOS RELACIONADOS CON LA CARTERA DE CLIENTES: CONTRATOS CON CLIENTES Y LAS CORRESPONDIENTES RELACIONES CON CLIENTES</t>
  </si>
  <si>
    <t>1.11 - RECURSOS NATURALES: TRANSPORTE; ALMACENAMIENTO; DISTRIBUCIÓN Y EXPEDICIÓN AL PÚBLICO DE PETROLÍFEROS.</t>
  </si>
  <si>
    <t>11 - SIEMBRA; CULTIVO Y COSECHA DE ARROZ</t>
  </si>
  <si>
    <t>61 - CRÍA Y ENGORDA DE OTRAS AVES PARA VENTA DE SU CARNE Y PRODUCCIÓN DE HUEVO</t>
  </si>
  <si>
    <t>099 - MINERÍA DE OTROS MINERALES METÁLICOS</t>
  </si>
  <si>
    <t>154 - CONSTRUCCIÓN DE OBRAS MARÍTIMAS; FLUVIALES Y SUBACUÁTICAS</t>
  </si>
  <si>
    <t>0232 - PURIFICACIÓN DE AGUA [POR FILTRACIÓN; PASTEURIZACIÓN; ÓSMOSIS INVERSA; ETC.]</t>
  </si>
  <si>
    <t>226 - ELABORACIÓN DE POSTRES EN POLVO</t>
  </si>
  <si>
    <t>2261 - PRODUCTOR; ENVASADOR O FABRICANTE DE BEBIDAS HIDRATANTES O REHIDRATANTES QUE UTILIZA EN DICHA ELABORACIÓN COMO EDULCORANTE ÚNICAMENTE CAÑA DE AZÚCAR</t>
  </si>
  <si>
    <t>0244 - PRODUCCIÓN; FABRICACIÓN O ENVASADO DE OTRAS BEBIDAS DESTILADAS</t>
  </si>
  <si>
    <t>0258 - CONFECCIÓN DE CORTINAS; BLANCOS Y SIMILARES</t>
  </si>
  <si>
    <t>275 - FABRICACIÓN DE SOMBREROS; GORRAS; CACHUCHAS; BOINAS; VISERAS Y OTROS ACCESORIOS SIMILARES HECHOS A BASE DE MATERIALES DIVERSOS</t>
  </si>
  <si>
    <t>296 - FABRICACIÓN DE CELULOSA A PARTIR DE MADERA; BAGAZO Y MATERIALES RECICLABLES COMO PAPEL; CARTÓN Y TEXTILES</t>
  </si>
  <si>
    <t>0320 - FABRICACIÓN DE RESINAS SINTÉTICAS</t>
  </si>
  <si>
    <t>346 - FABRICACIÓN DE AUTOPARTES DE PLÁSTICO</t>
  </si>
  <si>
    <t>389 - MOLDEO POR FUNDICIÓN DE PIEZAS METÁLICAS NO FERROSAS</t>
  </si>
  <si>
    <t>0416 - FABRICACIÓN DE MAQUINARIA Y EQUIPO PARA OTRAS INDUSTRIAS MANUFACTURERAS</t>
  </si>
  <si>
    <t>441 - FABRICACIÓN DE LÁMPARAS ORNAMENTALES</t>
  </si>
  <si>
    <t>461 - FABRICACIÓN DE PIEZAS METÁLICAS TROQUELADAS PARA VEHÍCULOS AUTOMOTRICES</t>
  </si>
  <si>
    <t>481 - FABRICACIÓN DE PRODUCTOS DE METALES NO PRECIOSOS; COMO TROFEOS; ARTÍCULOS ORNAMENTALES PARA USO DOMÉSTICO; PLATONES; JARRONES; FLOREROS</t>
  </si>
  <si>
    <t>365 - FABRICACIÓN DE ARTÍCULOS DE VIDRIO DE USO INDUSTRIAL Y COMERCIAL</t>
  </si>
  <si>
    <t>503 - COMERCIO AL POR MAYOR DE PAN Y PASTELES Y OTROS PRODUCTOS DE PANADERÍA</t>
  </si>
  <si>
    <t>2266 - COMERCIO AL POR MAYOR DE CONCENTRADOS; POLVOS; JARABES Y ESENCIAS DE SABOR PARA PREPARAR REFRESCOS; BEBIDAS HIDRATANTES O REHIDRATANTES ELABORADOS ÚNICAMENTE CON AZÚCAR DE CAÑA COMO EDULCORANTE</t>
  </si>
  <si>
    <t>0584 - VENTA DE MIELES INCRISTALIZABLES PARA TRANSFORMARLAS EN ALCOHOL</t>
  </si>
  <si>
    <t>562 - COMERCIO AL POR MAYOR DE MAQUINARIA Y EQUIPO PARA OTROS SERVICIOS Y PARA ACTIVIDADES COMERCIALES</t>
  </si>
  <si>
    <t>547 - COMERCIO AL POR MAYOR DE PINTURA</t>
  </si>
  <si>
    <t>0599 - COMERCIO AL POR MENOR DE REFRESCOS; BEBIDAS HIDRATANTES Y REHIDRATANTES ELABORADOS ÚNICAMENTE CON AZÚCAR DE CAÑA COMO EDULCORANTE</t>
  </si>
  <si>
    <t>2270 - COMERCIO AL POR MENOR DE SIDRA Y OTRAS BEBIDAS FERMENTADAS</t>
  </si>
  <si>
    <t>623 - COMERCIO AL POR MENOR EN GENERAL DE UNIFORMES Y ARTÍCULOS DEPORTIVOS; EQUIPO Y ACCESORIOS PARA EXCURSIONISMO; PESCA Y CAZA DEPORTIVA</t>
  </si>
  <si>
    <t>649 - COMERCIO AL POR MENOR DE VIDRIOS Y ESPEJOS; CANCELERÍA DE ALUMINIO; DOMOS DE MATERIAL ACRÍLICO Y POLICARBONATO; TRAGALUCES DE VIDRIO</t>
  </si>
  <si>
    <t>0662 - COMERCIO AL POR MENOR DE ACEITES Y GRASAS LUBRICANTES DE USO INDUSTRIAL; ADITIVOS Y SIMILARES PARA VEHÍCULOS DE MOTOR</t>
  </si>
  <si>
    <t>0642 - COMERCIO AL POR MENOR DE PLANTAS Y FLORES NATURALES; ARREGLOS FLORALES Y FRUTALES; CORONAS FUNERARIAS; NATURALEZAS MUERTAS</t>
  </si>
  <si>
    <t>684 - AUTOTRANSPORTE FORÁNEO DE MATERIALES PARA LA CONSTRUCCIÓN</t>
  </si>
  <si>
    <t>0705 - TRANSPORTE TURÍSTICO POR TIERRA</t>
  </si>
  <si>
    <t>0716 - REMOLQUE DE VEHÍCULOS DE MOTOR</t>
  </si>
  <si>
    <t>768 - BIBLIOTECAS Y ARCHIVOS DEL SECTOR PRIVADO</t>
  </si>
  <si>
    <t>752 - OTROS SERVICIOS DE GRABACIÓN DEL SONIDO</t>
  </si>
  <si>
    <t>0878 - GANANCIA CAMBIARIA Y LOS INTERESES OBTENIDOS POR OTROS CRÉDITOS; OPERACIONES O PRÉSTAMOS OTORGADOS</t>
  </si>
  <si>
    <t>1131 - REGULACIÓN Y FOMENTO FEDERAL DE ACTIVIDADES PARA MEJORAR Y PRESERVAR EL MEDIO AMBIENTE</t>
  </si>
  <si>
    <t>206 - MATANZA DE GANADO Y AVES</t>
  </si>
  <si>
    <t>156 - ADMINISTRACIÓN Y SUPERVISIÓN DE CONSTRUCCIÓN DE OTRAS OBRAS DE INGENIERÍA CIVIL U OBRA PESADA</t>
  </si>
  <si>
    <t>0780 - EMPRESAS DE FACTORAJE FINANCIERO</t>
  </si>
  <si>
    <t>0815 - ALQUILER DE CAMIONES DE CARGA SIN CHOFER</t>
  </si>
  <si>
    <t>0840 - SERVICIOS DE INSPECCIÓN DE EDIFICIOS</t>
  </si>
  <si>
    <t>1088 - REPARACIÓN MENOR DE LLANTAS</t>
  </si>
  <si>
    <t>0920 - ESCUELAS DE EDUCACIÓN MEDIA SUPERIOR PERTENECIENTES AL SECTOR PRIVADO; QUE TENGAN AUTORIZACIÓN O RECONOCIMIENTO DE VALIDEZ OFICIAL DE ESTUDIOS; EN LOS TÉRMINOS DE LA LEY GENERAL DE EDUCACIÓN</t>
  </si>
  <si>
    <t>0954 - CONSULTORIOS DENTALES DEL SECTOR PÚBLICO</t>
  </si>
  <si>
    <t>0997 - SERVICIOS DE ORIENTACIÓN Y TRABAJO SOCIAL PARA LA NIÑEZ Y LA JUVENTUD PRESTADOS POR EL SECTOR PRIVADO</t>
  </si>
  <si>
    <t>885 - AGENCIAS DE COLOCACIÓN</t>
  </si>
  <si>
    <t>0907 - OTROS SERVICIOS DE APOYO A LOS NEGOCIOS</t>
  </si>
  <si>
    <t>1023 - EQUIPOS DEPORTIVOS PROFESIONALES Y SEMIPROFESIONALES</t>
  </si>
  <si>
    <t>1066 - ALQUILER DE INMUEBLES DESTINADOS A HOSPEDAJE A TRAVÉS DE TERCEROS</t>
  </si>
  <si>
    <t>1077 - PULQUERÍAS</t>
  </si>
  <si>
    <t>1110 - ESTACIONAMIENTOS Y PENSIONES PARA AUTOMÓVILES</t>
  </si>
  <si>
    <t>2289 - SOCIEDADES COOPERATIVAS DE CONSUMO</t>
  </si>
  <si>
    <t>11 - GUERRERO</t>
  </si>
  <si>
    <t>78 - CHIAPAS “2” / TAPACHULA</t>
  </si>
  <si>
    <t>11 - ASISTENCIA TECNICA</t>
  </si>
  <si>
    <t>11 - GASTOS A PRORRATA</t>
  </si>
  <si>
    <t>11 - K. REFACCIONARIO</t>
  </si>
  <si>
    <t>METODO-PRECIOS{0,ELEMENTS(DATAINCOLUMN$@$,CATALOGCOLUMN42,0,3,@s@,6,@s@,1,@s@,2,@s@,4,@s@,5,@s@)}</t>
  </si>
  <si>
    <t>DAN_20{1,ELEMENTS(3,20,M,,,,)}</t>
  </si>
  <si>
    <t>12 - GUERRERO</t>
  </si>
  <si>
    <t>07 - IVA - IVA A CARGO</t>
  </si>
  <si>
    <t>0600 - INGRESOS POR SEGUROS Y REASEGUROS</t>
  </si>
  <si>
    <t>1802 - REGALIAS POR USO DE ACTIVOS RELACIONADOS CON LA CARTERA DE CLIENTES</t>
  </si>
  <si>
    <t>BARBADOS - DOLAR</t>
  </si>
  <si>
    <t>IID - ACTIVOS RELACIONADOS CON LA CARTERA DE CLIENTES: RELACIONES NO CONTRACTUALES CON CLIENTES</t>
  </si>
  <si>
    <t>1.12 - RECURSOS NATURALES: TRANSPORTE POR DUCTO Y EL ALMACENAMIENTO QUE SE ENCUENTRE VINCULADO A DUCTOS DE PETROQUÍMICOS</t>
  </si>
  <si>
    <t>12 - SIEMBRA; CULTIVO Y COSECHA DE SORGO GRANO</t>
  </si>
  <si>
    <t>62 - CRÍA Y ENGORDA DE BORREGOS</t>
  </si>
  <si>
    <t>100 - MINERÍA DE PIEDRA DE CAL</t>
  </si>
  <si>
    <t>155 - CONSTRUCCIÓN DE OBRAS PARA TRANSPORTE ELÉCTRICO Y FERROVIARIO</t>
  </si>
  <si>
    <t>0233 - ELABORACIÓN DE HIELO</t>
  </si>
  <si>
    <t>227 - ELABORACIÓN DE LEVADURA</t>
  </si>
  <si>
    <t>2263 - PRODUCCIÓN; FABRICACIÓN O ENVASADO DE MIELES INCRISTALIZABLES QUE NO SE UTILIZARÁN PARA TRANSFORMARLAS EN ALCOHOL</t>
  </si>
  <si>
    <t>0245 - PROCESO DE TRANSFORMACIÓN DEL TABACO</t>
  </si>
  <si>
    <t>0259 - CONFECCIÓN DE COSTALES</t>
  </si>
  <si>
    <t>276 - CONFECCIÓN DE OTROS ACCESORIOS DE VESTIR</t>
  </si>
  <si>
    <t>297 - FABRICACIÓN DE CELULOSA; PAPEL Y PRODUCTOS DE PAPEL EN PLANTAS INTEGRADAS</t>
  </si>
  <si>
    <t>0322 - FABRICACIÓN DE FIBRAS QUÍMICAS</t>
  </si>
  <si>
    <t>347 - FABRICACIÓN DE ENVASES Y CONTENEDORES DE PLÁSTICO. INCLUYE LA FABRICACIÓN DE TAPAS Y TARIMAS DE PLÁSTICO</t>
  </si>
  <si>
    <t>390 - FABRICACIÓN DE PRODUCTOS METÁLICOS FORJADOS Y TROQUELADOS</t>
  </si>
  <si>
    <t>0417 - FABRICACIÓN DE APARATOS FOTOGRÁFICOS</t>
  </si>
  <si>
    <t>442 - FABRICACIÓN DE ENSERES ELECTRODOMÉSTICOS MENORES</t>
  </si>
  <si>
    <t>462 - FABRICACIÓN DE OTRAS PARTES PARA VEHÍCULOS AUTOMOTRICES</t>
  </si>
  <si>
    <t>482 - FABRICACIÓN DE ARTÍCULOS DEPORTIVOS</t>
  </si>
  <si>
    <t>366 - FABRICACIÓN DE OTROS PRODUCTOS DE VIDRIO</t>
  </si>
  <si>
    <t>2267 - COMERCIO AL POR MAYOR DE CONCENTRADOS O JARABES PARA PREPARAR REFRESCOS QUE SE EXPENDAN EN ENVASES ABIERTOS UTILIZANDO APARATOS AUTOMÁTICOS; ELÉCTRICOS O MECÁNICOS ELABORADOS ÚNICAMENTE CON AZÚCAR DE CAÑA COMO EDULCORANTE</t>
  </si>
  <si>
    <t>0585 - VENTA DE ALCOHOL Y ALCOHOL DESNATURALIZADO</t>
  </si>
  <si>
    <t>563 - COMERCIO AL POR MAYOR DE EQUIPO Y ACCESORIOS DE CÓMPUTO</t>
  </si>
  <si>
    <t>551 - COMERCIO AL POR MAYOR DE DESECHOS METÁLICOS</t>
  </si>
  <si>
    <t>2230 - COMERCIO AL POR MENOR DE CONCENTRADOS; POLVOS; JARABES Y ESENCIAS DE SABOR PARA PREPARAR REFRESCOS; BEBIDAS HIDRATANTES O REHIDRATANTES ELABORADOS CON AZÚCAR DE CAÑA Y OTROS EDULCORANTES ENTREGANDO FACTURA</t>
  </si>
  <si>
    <t>2271 - COMERCIO AL POR MENOR DE RON Y OTRAS BEBIDAS DESTILADAS DE CAÑA</t>
  </si>
  <si>
    <t>641 - COMERCIO AL POR MENOR DE ALFOMBRAS; TAPETES; GOBELINOS; TAPICES; LINÓLEOS; CORTINAS; PERSIANAS Y SIMILARES</t>
  </si>
  <si>
    <t>650 - COMERCIO AL POR MENOR DE ARTÍCULOS PARA LA LIMPIEZA</t>
  </si>
  <si>
    <t>1145 - VENTA DE AUTOMÓVILES NUEVOS AL CONSUMIDOR POR EL FABRICANTE; ENSAMBLADOR; POR EL DISTRIBUIDOR AUTORIZADO O POR EL COMERCIANTE EN EL RAMO DE VEHÍCULOS CUYO PRECIO DE VENTA NO EXCEDA $150;000.00</t>
  </si>
  <si>
    <t>0643 - COMERCIO AL POR MENOR DE ANTIGÜEDADES Y OBRAS DE ARTE</t>
  </si>
  <si>
    <t>685 - AUTOTRANSPORTE FORÁNEO DE MATERIALES Y RESIDUOS PELIGROSOS</t>
  </si>
  <si>
    <t>0707 - OTRO TRANSPORTE TURÍSTICO</t>
  </si>
  <si>
    <t>0717 - SERVICIOS DE ADMINISTRACIÓN DE CENTRALES CAMIONERAS</t>
  </si>
  <si>
    <t>769 - BIBLIOTECAS Y ARCHIVOS DEL SECTOR PÚBLICO</t>
  </si>
  <si>
    <t>753 - TRANSMISIÓN DE PROGRAMAS DE RADIO; EXCEPTO A TRAVÉS DE INTERNET</t>
  </si>
  <si>
    <t>0879 - GANANCIA CAMBIARIA Y LOS INTERESES OBTENIDOS POR OTROS CRÉDITOS; OPERACIONES O PRÉSTAMOS OTORGADOS A RESIDENTES EN EL EXTRANJERO</t>
  </si>
  <si>
    <t>1132 - REGULACIÓN Y FOMENTO ESTATAL DE ACTIVIDADES PARA MEJORAR Y PRESERVAR EL MEDIO AMBIENTE</t>
  </si>
  <si>
    <t>218 - BENEFICIO DEL CAFÉ</t>
  </si>
  <si>
    <t>158 - TRABAJOS DE CIMENTACIONES</t>
  </si>
  <si>
    <t>0781 - SOCIEDADES FINANCIERAS DE OBJETO LIMITADO</t>
  </si>
  <si>
    <t>0816 - ALQUILER DE AUTOBUSES; MINIBUSES Y REMOLQUES SIN CHOFER</t>
  </si>
  <si>
    <t>0841 - SERVICIOS DE LEVANTAMIENTO GEOFÍSICO</t>
  </si>
  <si>
    <t>1089 - LAVADO Y LUBRICADO DE AUTOMÓVILES Y CAMIONES</t>
  </si>
  <si>
    <t>0921 - ESCUELAS DE EDUCACIÓN MEDIA SUPERIOR PERTENECIENTES AL SECTOR PÚBLICO</t>
  </si>
  <si>
    <t>0955 - SERVICIOS QUIROPRÁCTICOS</t>
  </si>
  <si>
    <t>0998 - SERVICIOS DE ORIENTACIÓN Y TRABAJO SOCIAL PARA LA NIÑEZ Y LA JUVENTUD PRESTADOS POR EL SECTOR PÚBLICO</t>
  </si>
  <si>
    <t>886 - AGENCIAS DE EMPLEO TEMPORAL</t>
  </si>
  <si>
    <t>0908 - MANEJO DE DESECHOS PELIGROSOS Y SERVICIOS DE REMEDIACIÓN A ZONAS DAÑADAS POR DESECHOS PELIGROSOS</t>
  </si>
  <si>
    <t>1024 - PROMOTORES DEL SECTOR PRIVADO CON INSTALACIONES PARA LA PRESENTACIÓN DE ESPECTÁCULOS ARTÍSTICOS; DEPORTIVOS Y SIMILARES</t>
  </si>
  <si>
    <t>2325 - ALQUILER DE INMUEBLES DESTINADOS A HOSPEDAJE A TRAVÉS DE TERCEROS; SUJETO A REGÍMENES FISCALES PREFERENTES</t>
  </si>
  <si>
    <t>2297 - PREPARACIÓN Y VENTA DE COMIDA Y ANTOJITOS EN GENERAL</t>
  </si>
  <si>
    <t>1111 - SERVICIOS DE REVELADO DE FOTOGRAFÍAS</t>
  </si>
  <si>
    <t>2290 - ORANISMOS QUE AGRUPAN A SOCIEDADES COOPERATIVAS YA SEA DE PRODUCTORES O DE CONSUMIDORES</t>
  </si>
  <si>
    <t>12 - HIDALGO</t>
  </si>
  <si>
    <t>54 - CHIHUAHUA “1” / CHIHUAHUA</t>
  </si>
  <si>
    <t>12 - PUBLICIDAD</t>
  </si>
  <si>
    <t>12 - GARANTIAS</t>
  </si>
  <si>
    <t>12 - L. REVOLVENTE</t>
  </si>
  <si>
    <t>OPERACIONES-INGRESO{0,ELEMENTS(DATAINCOLUMN$@$,CATALOGCOLUMN43,0,1,@s@,2,@s@,3,@s@,4,@s@,5,@s@,6,@s@,7,@s@,8,@s@,9,@s@,10,@s@,11,@s@,12,@s@,13,@s@,14,@s@,15,@s@,16,@s@,17,@s@,18,@s@,19,@s@,20,@s@,21,@s@,22,@s@,23,@s@,24,@s@,25,@s@,26,@s@,27,@s@,28,@s@,29,@s@,30,@s@,31,@s@,32,@s@,33,@s@,34,@s@)}</t>
  </si>
  <si>
    <t>DAN_19{1,ELEMENTS(3,19,M,,,,)}</t>
  </si>
  <si>
    <t>13 - HIDALGO</t>
  </si>
  <si>
    <t>08 - IVAR - IVA RETENIDO</t>
  </si>
  <si>
    <t>0700 - INGRESOS POR COMISIONES</t>
  </si>
  <si>
    <t>1803 - REGALIAS POR USO DE ACTIVOS INTELECTUALES O ARTISTICOS</t>
  </si>
  <si>
    <t>BELGICA - EURO</t>
  </si>
  <si>
    <t>IIE - ACTIVOS RELACIONADOS CON LA CARTERA DE CLIENTES: OTROS</t>
  </si>
  <si>
    <t>1.13 - RECURSOS NATURALES: IMPORTACIÓN Y EXPORTACIÓN DE HIDROCARBUROS; PETROLÍFEROS Y PETROQUÍMICOS</t>
  </si>
  <si>
    <t>13 - SIEMBRA; CULTIVO Y COSECHA DE AVENA GRANO</t>
  </si>
  <si>
    <t>63 - CRÍA Y ENGORDA DE BORREGOS EN FORMA CONJUNTA CON CABRAS O CHIVOS</t>
  </si>
  <si>
    <t>101 - MINERÍA DE MÁRMOL</t>
  </si>
  <si>
    <t>157 - OTRAS CONSTRUCCIONES DE INGENIERÍA CIVIL U OBRA PESADA</t>
  </si>
  <si>
    <t>2257 - PREPARACIÓN DE EMBUTIDOS Y OTRAS CONSERVAS DE CARNE DE GANADO Y AVES</t>
  </si>
  <si>
    <t>2310 - FABRICANTE; PRODUCTOR O ENVASADOR DE CONCENTRADOS; POLVOS Y JARABES PARA PREPARAR BEBIDAS ENERGETIZANTES.</t>
  </si>
  <si>
    <t>0246 - ELABORACIÓN; FABRICACIÓN Y PRODUCCIÓN DE CIGARROS</t>
  </si>
  <si>
    <t>0260 - CONFECCIÓN DE PRODUCTOS DE TEXTILES RECUBIERTOS Y DE MATERIALES SUCEDÁNEOS</t>
  </si>
  <si>
    <t>277 - CURTIDO Y ACABADO DE CUERO Y PIEL</t>
  </si>
  <si>
    <t>298 - FABRICACIÓN DE PAPEL A PARTIR DE CELULOSA</t>
  </si>
  <si>
    <t>0323 - FABRICACIÓN DE FERTILIZANTES DESTINADOS PARA SER UTILIZADOS EN LA AGRICULTURA O GANADERÍA</t>
  </si>
  <si>
    <t>348 - FABRICACIÓN DE PARTES Y PIEZAS DE PLÁSTICO SIN REFORZAMIENTO PARA LAS INDUSTRIAS ELÉCTRICA; ELECTRÓNICA; QUÍMICA; TEXTIL Y PARA OTRAS INDUSTRIAS</t>
  </si>
  <si>
    <t>391 - FABRICACIÓN DE HERRAMIENTAS DE MANO METÁLICAS SIN MOTOR</t>
  </si>
  <si>
    <t>0418 - FABRICACIÓN Y ENSAMBLE DE MÁQUINAS FOTOCOPIADORAS</t>
  </si>
  <si>
    <t>443 - FABRICACIÓN DE APARATOS DE LÍNEA BLANCA</t>
  </si>
  <si>
    <t>463 - FABRICACIÓN; RECONSTRUCCIÓN; ENSAMBLE Y SUBENSAMBLE DE EQUIPO AEROESPACIAL; INCLUSO MOTORES</t>
  </si>
  <si>
    <t>483 - FABRICACIÓN DE JUGUETES. INCLUYE LA FABRICACIÓN DE JUEGOS Y JUGUETES ELECTRÓNICOS; INSTRUMENTOS MUSICALES DE JUGUETE Y JUEGOS DE MESA</t>
  </si>
  <si>
    <t>367 - FABRICACIÓN DE CEMENTO PARA LA CONSTRUCCIÓN</t>
  </si>
  <si>
    <t>2312 - COMERCIO AL POR MAYOR DE CONCENTRADOS; POLVOS Y JARABES PARA PREPARAR BEBIDAS ENERGETIZANTES.</t>
  </si>
  <si>
    <t>2225 - COMERCIO AL POR MAYOR DE BEBIDAS ALCOHÓLICAS NO CLASIFICADOS EN OTRA PARTE</t>
  </si>
  <si>
    <t>564 - COMERCIO AL POR MAYOR DE MOBILIARIO Y EQUIPO DE OFICINA</t>
  </si>
  <si>
    <t>552 - COMERCIO AL POR MAYOR DE DESECHOS DE PAPEL Y DE CARTÓN</t>
  </si>
  <si>
    <t xml:space="preserve">2232 - VENTA DE REFRESCOS; BEBIDAS HIDRATANTES Y REHIDRATANTES; REALIZADA POR PERSONAS DISTINTAS AL FABRICANTE; PRODUCTOR; ENVASADOR O IMPORTADOR </t>
  </si>
  <si>
    <t>2272 - COMERCIO AL POR MENOR DE BEBIDAS DESTILADAS DE AGAVE.</t>
  </si>
  <si>
    <t>1146 - VENTA DE AUTOMÓVILES NUEVOS AL CONSUMIDOR POR EL FABRICANTE; ENSAMBLADOR; POR EL DISTRIBUIDOR AUTORIZADO O POR EL COMERCIANTE EN EL RAMO DE VEHÍCULOS CUYO PRECIO DE VENTA EXCEDA $150;000.00</t>
  </si>
  <si>
    <t>0663 - COMERCIO AL POR MENOR DE PRODUCTOS DE CONSUMO FINAL PROPIEDAD DE TERCEROS POR COMISIÓN Y CONSIGNACIÓN</t>
  </si>
  <si>
    <t>686 - AUTOTRANSPORTE FORÁNEO CON REFRIGERACIÓN</t>
  </si>
  <si>
    <t>2362 - TRANSPORTE TERRESTRE FORÁNEO DE PASAJEROS</t>
  </si>
  <si>
    <t>0718 - SERVICIOS DE ADMINISTRACIÓN DE CARRETERAS; PUENTES Y SERVICIOS AUXILIARES</t>
  </si>
  <si>
    <t>770 - OTROS SERVICIOS DE SUMINISTRO DE INFORMACIÓN</t>
  </si>
  <si>
    <t>754 - TRANSMISIÓN DE PROGRAMAS DE TELEVISIÓN; EXCEPTO A TRAVÉS DE INTERNET</t>
  </si>
  <si>
    <t>0880 - DIVIDENDOS O UTILIDADES DISTRIBUIDOS POR SOCIEDADES RESIDENTES EN EL EXTRANJERO</t>
  </si>
  <si>
    <t>1133 - REGULACIÓN Y FOMENTO MUNICIPAL DE ACTIVIDADES PARA MEJORAR Y PRESERVAR EL MEDIO AMBIENTE</t>
  </si>
  <si>
    <t>219 - TOSTADO Y MOLIENDA DE CAFÉ</t>
  </si>
  <si>
    <t>159 - MONTAJE DE ESTRUCTURAS DE CONCRETO PREFABRICADAS</t>
  </si>
  <si>
    <t>0782 - COMPAÑÍAS DE AUTOFINANCIAMIENTO</t>
  </si>
  <si>
    <t>0817 - ALQUILER DE APARATOS ELÉCTRICOS Y ELECTRÓNICOS PARA EL HOGAR</t>
  </si>
  <si>
    <t>0842 - SERVICIOS DE ELABORACIÓN DE MAPAS</t>
  </si>
  <si>
    <t>1090 - OTROS SERVICIOS DE REPARACIÓN Y MANTENIMIENTO DE AUTOMÓVILES Y CAMIONES</t>
  </si>
  <si>
    <t>0922 - ESCUELAS DEL SECTOR PRIVADO QUE COMBINAN DIVERSOS NIVELES DE EDUCACIÓN; QUE TENGAN AUTORIZACIÓN O RECONOCIMIENTO DE VALIDEZ OFICIAL DE ESTUDIOS; EN LOS TÉRMINOS DE LA LEY GENERAL DE EDUCACIÓN</t>
  </si>
  <si>
    <t>0956 - CONSULTORIOS DE QUIROPRÁCTICA PERTENECIENTES AL SECTOR PÚBLICO</t>
  </si>
  <si>
    <t>0999 - CENTROS DEL SECTOR PRIVADO DEDICADOS A LA ATENCIÓN Y CUIDADO DIURNO DE ANCIANOS Y DISCAPACITADOS</t>
  </si>
  <si>
    <t>887 - SUMINISTRO DE PERSONAL PERMANENTE</t>
  </si>
  <si>
    <t>0909 - MANEJO DE DESECHOS NO PELIGROSOS Y SERVICIOS DE REMEDIACIÓN A ZONAS DAÑADAS POR DESECHOS NO PELIGROSOS</t>
  </si>
  <si>
    <t>1025 - PROMOTORES DEL SECTOR PÚBLICO CON INSTALACIONES PARA LA PRESENTACIÓN DE ESPECTÁCULOS ARTÍSTICOS; DEPORTIVOS Y SIMILARES.</t>
  </si>
  <si>
    <t>1112 - OTROS SERVICIOS COMO MÁQUINAS FOTOGRÁFICAS QUE FUNCIONAN CON MONEDAS; DE CASILLEROS QUE FUNCIONAN CON MONEDAS; DE GUARDAPAQUETES</t>
  </si>
  <si>
    <t>2291 - ASOCIACIONES Y ORGANIZACIONES PATRONALES</t>
  </si>
  <si>
    <t>13 - JALISCO</t>
  </si>
  <si>
    <t>53 - CHIHUAHUA “2” / CIUDAD JUAREZ</t>
  </si>
  <si>
    <t>13 - MAQUILA</t>
  </si>
  <si>
    <t>13 - HONORARIOS</t>
  </si>
  <si>
    <t>13 - M. SINDICADO</t>
  </si>
  <si>
    <t>OPERACIONES_COSTO_GASTO{0,ELEMENTS(DATAINCOLUMN$@$,CATALOGCOLUMN44,0,1,@s@,2,@s@,3,@s@,4,@s@,5,@s@,6,@s@,7,@s@,8,@s@,9,@s@,10,@s@,11,@s@,12,@s@,13,@s@,14,@s@,15,@s@,16,@s@,17,@s@,18,@s@,19,@s@,20,@s@,21,@s@,22,@s@,23,@s@,24,@s@,25,@s@,26,@s@,27,@s@,28,@s@,29,@s@,30,@s@,31,@s@,32,@s@,33,@s@,34,@s@,35,@s@,36,@s@,37,@s@,38,@s@,39,@s@,40,@s@,41,@s@,42,@s@,43,@s@,44,@s@,45,@s@,46,@s@,47,@s@)}</t>
  </si>
  <si>
    <t>CN_IPN{1,ELEMENTS(2,19,M,15,0,1,1)}</t>
  </si>
  <si>
    <t>14 - JALISCO</t>
  </si>
  <si>
    <t>14 - OTROS - OTROS</t>
  </si>
  <si>
    <t>0800 - INGRESOS POR REGALIAS</t>
  </si>
  <si>
    <t>1804 - REGALIAS POR USO DE ACTIVOS BASADOS EN CONTRATOS O DERECHOS</t>
  </si>
  <si>
    <t>BELICE - DOLAR</t>
  </si>
  <si>
    <t>IIIA - ACTIVOS INTELECTUALES O ARTISTICOS: OBRAS TEATRALES; OPERAS; BALLETS; ETC.</t>
  </si>
  <si>
    <t>1.14 - RECURSOS NATURALES: COMERCIALIZACIÓN DE HIDROCARBUROS; PETROLÍFEROS Y PETROQUÍMICOS</t>
  </si>
  <si>
    <t>14 - SIEMBRA; CULTIVO Y COSECHA DE CEBADA GRANO</t>
  </si>
  <si>
    <t>64 - CRÍA Y ENGORDA DE CABRAS O CHIVOS</t>
  </si>
  <si>
    <t>102 - MINERÍA DE OTRAS PIEDRAS DIMENSIONADAS</t>
  </si>
  <si>
    <t>2311 - FABRICANTE; PRODUCTOR O ENVASADOR DE BEBIDAS ENERGETIZANTES.</t>
  </si>
  <si>
    <t>0247 - ELABORACIÓN; FABRICACIÓN Y PRODUCCIÓN DE PUROS Y OTROS TABACOS LABRADOS</t>
  </si>
  <si>
    <t>0261 - CONFECCIÓN DE PRODUCTOS BORDADOS Y DESHILADOS COMO SERVILLETAS; MANTELES; REBOZOS</t>
  </si>
  <si>
    <t>278 - FABRICACIÓN DE CALZADO CON CORTE DE PIEL Y CUERO</t>
  </si>
  <si>
    <t>299 - FABRICACIÓN DE CARTÓN EN PLANTAS INTEGRADAS</t>
  </si>
  <si>
    <t>0324 - FABRICACIÓN DE FERTILIZANTES DOMÉSTICOS O INDUSTRIALES</t>
  </si>
  <si>
    <t>349 - FABRICACIÓN DE OTROS ARTÍCULOS DE PLÁSTICO REFORZADO</t>
  </si>
  <si>
    <t>392 - FABRICACIÓN DE UTENSILIOS DE COCINA METÁLICOS</t>
  </si>
  <si>
    <t>0419 - FABRICACIÓN DE OTRA MAQUINARIA Y EQUIPO PARA EL COMERCIO Y LOS SERVICIOS</t>
  </si>
  <si>
    <t>444 - FABRICACIÓN DE MOTORES Y GENERADORES ELÉCTRICOS TRIFÁSICOS Y MONOFÁSICOS O DE CORRIENTE DIRECTA</t>
  </si>
  <si>
    <t>464 - FABRICACIÓN DE EQUIPO FERROVIARIO</t>
  </si>
  <si>
    <t>485 - FABRICACIÓN DE ANUNCIOS PUBLICITARIOS DE TODO TIPO DE MATERIAL; COMO ANUNCIOS Y TOLDOS LUMINOSOS; CARTELERAS ESPECTACULARES; ANUNCIOS ELECTRÓNICOS; ROTAGRAPHICS; UNIPOLARES; DE NEÓN</t>
  </si>
  <si>
    <t>368 - FABRICACIÓN DE CONCRETO</t>
  </si>
  <si>
    <t>2313 - COMERCIO AL POR MAYOR DE BEBIDAS ENERGETIZANTES.</t>
  </si>
  <si>
    <t>565 - COMERCIO AL POR MAYOR DE OTRA MAQUINARIA Y EQUIPO DE USO GENERAL</t>
  </si>
  <si>
    <t>553 - COMERCIO AL POR MAYOR DE DESECHOS DE VIDRIO</t>
  </si>
  <si>
    <t>2234 - VENTA DE CONCENTRADOS; POLVOS; JARABES Y ESENCIAS DE SABOR PARA PREPARAR REFRESCOS; BEBIDAS HIDRATANTES O REHIDRATANTES; REALIZADA POR PERSONAS DISTINTAS AL FABRICANTE; PRODUCTOR; ENVASADOR O IMPORTADOR</t>
  </si>
  <si>
    <t>2273 - COMERCIO AL POR MENOR DE BEBIDAS ALCOHÓLICAS NO CLASIFICADOS EN OTRA PARTE</t>
  </si>
  <si>
    <t>2305 - VENTA EN TERRITORIO NACIONAL DE COMBUSTIBLES AUTOMOTRICES</t>
  </si>
  <si>
    <t>0664 - OTROS INTERMEDIARIOS DEL COMERCIO AL POR MENOR</t>
  </si>
  <si>
    <t>687 - AUTOTRANSPORTE FORÁNEO DE MADERA Y SUS DERIVADOS</t>
  </si>
  <si>
    <t>0719 - SERVICIOS DE BÁSCULA PARA EL TRANSPORTE</t>
  </si>
  <si>
    <t>755 - PRODUCCIÓN DE PROGRAMACIÓN DE CANALES PARA SISTEMAS DE TELEVISIÓN POR CABLE O SATELITALES; EXCEPTO A TRAVÉS DE INTERNET</t>
  </si>
  <si>
    <t>0881 - REMANENTE DISTRIBUIBLE PROVENIENTE DE PERSONAS MORALES CON FINES NO LUCRATIVOS DEL IMPUESTO SOBRE LA RENTA</t>
  </si>
  <si>
    <t>1134 - ACTIVIDADES ADMINISTRATIVAS FEDERALES DE INSTITUCIONES DE BIENESTAR SOCIAL</t>
  </si>
  <si>
    <t>2300 - ASOCIACIONES Y SOCIEDADES QUE ADMINISTREN DISTRITOS O UNIDADES DE RIEGO</t>
  </si>
  <si>
    <t>160 - MONTAJE DE ESTRUCTURAS DE ACERO PREFABRICADAS</t>
  </si>
  <si>
    <t>0783 - MONTEPÍOS</t>
  </si>
  <si>
    <t>0818 - ALQUILER DE ROPA</t>
  </si>
  <si>
    <t>0844 - DISEÑO Y DECORACIÓN DE INTERIORES</t>
  </si>
  <si>
    <t>1091 - REPARACIÓN Y MANTENIMIENTO DE EQUIPO ELECTRÓNICO DE USO DOMÉSTICO</t>
  </si>
  <si>
    <t>0923 - ESCUELAS DEL SECTOR PÚBLICO QUE COMBINAN DIVERSOS NIVELES DE EDUCACIÓN</t>
  </si>
  <si>
    <t>0957 - SERVICIOS DE OPTOMETRÍA</t>
  </si>
  <si>
    <t>1000 - CENTROS DEL SECTOR PÚBLICO DEDICADOS A LA ATENCIÓN Y CUIDADO DIURNO DE ANCIANOS Y DISCAPACITADOS</t>
  </si>
  <si>
    <t>892 - AGENCIAS DE COBRANZA</t>
  </si>
  <si>
    <t>1161 - SERVICIOS ESPECIALIZADOS DE APOYO A LAS EMPRESAS MICRO; PEQUEÑAS Y MEDIANAS [EMPRESAS INTEGRADORAS]</t>
  </si>
  <si>
    <t>1026 - PROMOTORES DE ESPECTÁCULOS ARTÍSTICOS; DEPORTIVOS Y SIMILARES QUE NO CUENTAN CON INSTALACIONES PARA PRESENTARLOS</t>
  </si>
  <si>
    <t>2319 - ASALARIADO</t>
  </si>
  <si>
    <t>2337 - APORTACIÓN DE SERVICIOS PARA LA ATENCIÓN A GRUPOS SOCIALES CON DISCAPACIDAD.</t>
  </si>
  <si>
    <t>14 - MEXICO</t>
  </si>
  <si>
    <t>52 - COAHUILA DE ZARAGOZA “1” / SALTILLO</t>
  </si>
  <si>
    <t>14 - VENTA DE CARTERA</t>
  </si>
  <si>
    <t>14 - PUBLICIDAD</t>
  </si>
  <si>
    <t>14 - N. OTRO</t>
  </si>
  <si>
    <t>MONEDAS{0,ELEMENTS(DATAINCOLUMN$@$,CATALOGCOLUMN45,0,1,@s@,2,@s@,3,@s@,4,@s@,5,@s@,6,@s@,7,@s@,8,@s@,9,@s@,10,@s@,11,@s@,12,@s@,13,@s@,14,@s@,15,@s@,16,@s@,17,@s@,18,@s@,19,@s@,20,@s@,21,@s@,22,@s@,23,@s@,24,@s@,25,@s@,26,@s@,27,@s@,28,@s@,29,@s@,38,@s@,30,@s@,31,@s@,32,@s@,33,@s@,34,@s@,35,@s@,36,@s@,37,@s@,39,@s@,40,@s@,41,@s@,42,@s@,43,@s@,44,@s@,45,@s@,46,@s@,47,@s@,48,@s@,49,@s@,50,@s@,51,@s@,52,@s@,53,@s@,54,@s@,55,@s@,56,@s@,57,@s@,58,@s@,59,@s@,60,@s@,61,@s@,62,@s@,63,@s@,64,@s@,65,@s@,66,@s@,67,@s@,68,@s@,69,@s@,70,@s@,114,@s@,71,@s@,72,@s@,73,@s@,74,@s@,75,@s@,76,@s@,77,@s@,78,@s@,79,@s@,80,@s@,81,@s@,82,@s@,83,@s@,84,@s@,85,@s@,86,@s@,87,@s@,88,@s@,89,@s@,91,@s@,90,@s@,92,@s@,93,@s@,94,@s@,95,@s@,96,@s@,97,@s@,98,@s@,99,@s@,100,@s@,101,@s@,102,@s@,103,@s@,104,@s@,105,@s@,109,@s@,106,@s@,107,@s@,108,@s@,110,@s@,111,@s@,112,@s@,113,@s@)}</t>
  </si>
  <si>
    <t>ID2_IPN{0,ELEMENTS(2,18,M,10,4,1,1)}</t>
  </si>
  <si>
    <t>15 - ESTADO DE MEXICO</t>
  </si>
  <si>
    <t>0900 - INGRESOS POR ASISTENCIA TECNICA</t>
  </si>
  <si>
    <t>1805 - REGALIAS POR USO DE ACTIVOS INTANGIBLES TECNOLOGICOS</t>
  </si>
  <si>
    <t>BERMUDA - DOLAR</t>
  </si>
  <si>
    <t>IIIB - ACTIVOS INTELECTUALES O ARTISTICOS: LIBROS; REVISTAS; PERIODICOS; MANUSCRITOS Y OTRO MATERIAL LITERARIO</t>
  </si>
  <si>
    <t>2.1 - CONSTRUCCIÓN: VIVIENDA; COMERCIAL E INDUSTRIAL</t>
  </si>
  <si>
    <t>15 - SIEMBRA; CULTIVO Y COSECHA DE SORGO FORRAJERO</t>
  </si>
  <si>
    <t xml:space="preserve">65 - CRÍA; FOMENTO Y CUIDADO DE CAMARONES </t>
  </si>
  <si>
    <t>103 - MINERÍA DE ARENA Y GRAVA PARA LA CONSTRUCCIÓN</t>
  </si>
  <si>
    <t>2342 - ELABORACIÓN DE BEBIDAS SABORIZADAS CON AZÚCARES AÑADIDOS.</t>
  </si>
  <si>
    <t>0573 - PRODUCCIÓN Y ENVASADO DE CERVEZA CON UNA GRADUACIÓN ALCOHÓLICA DE MÁS DE 20º G.L.</t>
  </si>
  <si>
    <t>0262 - FABRICACIÓN DE REDES Y OTROS PRODUCTOS DE CORDELERÍA</t>
  </si>
  <si>
    <t>279 - FABRICACIÓN DE CALZADO CON CORTE DE TELA</t>
  </si>
  <si>
    <t>300 - FABRICACIÓN DE CARTÓN Y CARTONCILLO A PARTIR DE CELULOSA</t>
  </si>
  <si>
    <t>0325 - FABRICACIÓN DE PESTICIDAS Y AGROQUÍMICOS; EXCEPTO PLAGUICIDAS</t>
  </si>
  <si>
    <t>350 - FABRICACIÓN DE OTROS PRODUCTOS DE PLÁSTICO</t>
  </si>
  <si>
    <t>393 - FABRICACIÓN DE ESTRUCTURAS METÁLICAS</t>
  </si>
  <si>
    <t>0420 - FABRICACIÓN DE SISTEMAS DE AIRE ACONDICIONADO Y CALEFACCIÓN</t>
  </si>
  <si>
    <t>445 - FABRICACIÓN DE EQUIPO Y APARATOS DE DISTRIBUCIÓN DE ENERGÍA ELÉCTRICA</t>
  </si>
  <si>
    <t>465 - FABRICACIÓN DE EMBARCACIONES</t>
  </si>
  <si>
    <t>486 - FABRICACIÓN Y ENSAMBLE DE INSTRUMENTOS MUSICALES</t>
  </si>
  <si>
    <t>369 - FABRICACIÓN DE TUBOS Y BLOQUES DE CEMENTO Y CONCRETO; COMO TUBOS DE DRENAJE Y ALCANTARILLADO; CELOSÍAS; ADOQUINES; TABIQUES</t>
  </si>
  <si>
    <t>2340 - COMERCIO DE BEBIDAS SABORIZADAS CON AZÚCARES AÑADIDOS</t>
  </si>
  <si>
    <t>566 - COMERCIO AL POR MAYOR DE CAMIONES</t>
  </si>
  <si>
    <t>554 - COMERCIO AL POR MAYOR DE DESECHOS DE PLÁSTICO</t>
  </si>
  <si>
    <t>2247 - COMERCIO AL POR MENOR DE CONCENTRADOS O JARABES PARA PREPARAR REFRESCOS QUE SE EXPENDAN EN ENVASES ABIERTOS UTILIZANDO APARATOS AUTOMÁTICOS; ELÉCTRICOS O MECÁNICOS ENTREGANDO FACTURA</t>
  </si>
  <si>
    <t>2314 - COMERCIO AL POR MENOR DE BEBIDAS ENERGETIZANTES ENTREGANDO FACTURA.</t>
  </si>
  <si>
    <t>0665 - COMERCIO AL POR MENOR POR MEDIOS MASIVOS DE COMUNICACIÓN Y OTROS MEDIOS</t>
  </si>
  <si>
    <t>688 - OTRO AUTOTRANSPORTE FORÁNEO DE CARGA ESPECIALIZADO</t>
  </si>
  <si>
    <t>0721 - OTROS SERVICIOS DE INTERMEDIACIÓN PARA EL TRANSPORTE DE CARGA</t>
  </si>
  <si>
    <t>763 - DISTRIBUCIÓN POR SUSCRIPCIÓN DE PROGRAMAS DE TELEVISIÓN; EXCEPTO A TRAVÉS DE INTERNET</t>
  </si>
  <si>
    <t>0882 - INTERESES DEL EXTRANJERO</t>
  </si>
  <si>
    <t>1135 - ACTIVIDADES ADMINISTRATIVAS ESTATALES DE INSTITUCIONES DE BIENESTAR SOCIAL</t>
  </si>
  <si>
    <t>161 - TRABAJOS DE ALBAÑILERÍA</t>
  </si>
  <si>
    <t>0784 - SOCIEDADES CONTROLADORAS DE GRUPOS FINANCIEROS</t>
  </si>
  <si>
    <t>0819 - ALQUILER DE VIDEOCASETES Y DISCOS</t>
  </si>
  <si>
    <t>0845 - DISEÑO INDUSTRIAL</t>
  </si>
  <si>
    <t>1092 - REPARACIÓN Y MANTENIMIENTO DE OTRO EQUIPO ELECTRÓNICO Y DE EQUIPO DE PRECISIÓN</t>
  </si>
  <si>
    <t>0924 - ESCUELAS DE EDUCACIÓN ESPECIAL PERTENECIENTES AL SECTOR PRIVADO; QUE TENGAN AUTORIZACIÓN O RECONOCIMIENTO DE VALIDEZ OFICIAL DE ESTUDIOS; EN LOS TÉRMINOS DE LA LEY GENERAL DE EDUCACIÓN</t>
  </si>
  <si>
    <t>0958 - SERVICIOS DE PSICOLOGÍA</t>
  </si>
  <si>
    <t>1001 - ASISTENCIA SOCIAL DE AYUDA MUTUA</t>
  </si>
  <si>
    <t>895 - AGENCIAS DE VIAJES</t>
  </si>
  <si>
    <t>1027 - AGENTES Y REPRESENTANTES DE ARTISTAS; DEPORTISTAS Y SIMILARES</t>
  </si>
  <si>
    <t>2320 - JUBILADO O PENSIONADO</t>
  </si>
  <si>
    <t>2338 - FOMENTO DE ACCIONES PARA MEJORAR LA ECONOMÍA POPULAR.</t>
  </si>
  <si>
    <t>15 - MICHOACAN</t>
  </si>
  <si>
    <t>51 - COAHUILA DE ZARAGOZA “2” / TORREON</t>
  </si>
  <si>
    <t>15 - REEMBOLSOS</t>
  </si>
  <si>
    <t>15 - MAQUILA</t>
  </si>
  <si>
    <t>ACTIVOS_INTANGIBLES{0,ELEMENTS(DATAINCOLUMN$@$,CATALOGCOLUMN46,0,1,@s@,2,@s@,3,@s@,4,@s@,5,@s@,6,@s@,7,@s@,8,@s@,9,@s@,10,@s@,11,@s@,12,@s@,13,@s@,14,@s@,15,@s@,16,@s@,17,@s@,18,@s@,19,@s@,20,@s@,21,@s@,22,@s@,23,@s@,24,@s@,25,@s@,26,@s@,27,@s@,28,@s@,29,@s@,30,@s@,31,@s@,32,@s@,33,@s@,34,@s@,35,@s@,36,@s@,37,@s@,38,@s@)}</t>
  </si>
  <si>
    <t>IDE1_IPN{0,ELEMENTS(2,18,M,12,2,1,1)}</t>
  </si>
  <si>
    <t>16 - MICHOACAN</t>
  </si>
  <si>
    <t>1000 - INGRESOS POR INTERESES DEVENGADOS</t>
  </si>
  <si>
    <t>1806 - REGALIAS POR USO DE OTROS ACTIVOS INTANGIBLES U OTROS CONCEPTOS</t>
  </si>
  <si>
    <t>BOLIVIA - BOLIVIANO</t>
  </si>
  <si>
    <t>IIIC - ACTIVOS INTELECTUALES O ARTISTICOS: OBRAS MUSICALES</t>
  </si>
  <si>
    <t>2.2 - CONSTRUCCIÓN: OBRAS DE INGENIERÍA CIVIL</t>
  </si>
  <si>
    <t>16 - SIEMBRA; CULTIVO Y COSECHA DE AVENA FORRAJERA</t>
  </si>
  <si>
    <t>67 - EXPLOTACIÓN; RECOLECCIÓN Y VENTA DE MIEL DE ABEJA Y OTROS PRODUCTOS DERIVADOS</t>
  </si>
  <si>
    <t>104 - MINERÍA DE TEZONTLE Y TEPETATE</t>
  </si>
  <si>
    <t>2343 - FABRICACIÓN O PRODUCCIÓN DE CONCENTRADOS; POLVOS; JARABES; ESCENCIAS QUE PERMITAN OBTENER BEBIDAS SABORIZADAS QUE CONTIENEN AZÚCARES AÑADIDOS.</t>
  </si>
  <si>
    <t>0574 - PRODUCCIÓN; FABRICACIÓN O ENVASADO DE VINOS DE MESA CON UNA GRADUACIÓN ALCOHÓLICA DE MÁS DE 20º G.L.</t>
  </si>
  <si>
    <t>0263 - FABRICACIÓN DE PRODUCTOS TEXTILES RECICLADOS</t>
  </si>
  <si>
    <t>280 - FABRICACIÓN DE CALZADO DE PLÁSTICO</t>
  </si>
  <si>
    <t>301 - FABRICACIÓN DE ENVASES DE CARTÓN</t>
  </si>
  <si>
    <t>0326 - FABRICACIÓN DE PESTICIDAS; EXCEPTO FERTILIZANTES Y PLAGUICIDAS</t>
  </si>
  <si>
    <t>351 - FABRICACIÓN DE LLANTAS Y CÁMARAS</t>
  </si>
  <si>
    <t>394 - FABRICACIÓN DE PRODUCTOS DE HERRERÍA</t>
  </si>
  <si>
    <t>0421 - FABRICACIÓN Y ENSAMBLE DE SISTEMAS DE REFRIGERACIÓN INDUSTRIAL Y COMERCIAL</t>
  </si>
  <si>
    <t>446 - FABRICACIÓN DE ACUMULADORES Y PILAS</t>
  </si>
  <si>
    <t>466 - FABRICACIÓN DE MOTOCICLETAS Y SUS PARTES</t>
  </si>
  <si>
    <t>487 - FABRICACIÓN DE CIERRES; BOTONES Y AGUJAS</t>
  </si>
  <si>
    <t>370 - FABRICACIÓN DE PRODUCTOS PREESFORZADOS</t>
  </si>
  <si>
    <t>2341 - COMERCIO DE CONCENTRADOS; POLVOS; JARABES; ESCENCIAS QUE PERMITAN OBTENER BEBIDAS SABORIZADAS QUE CONTIENEN AZÚCARES AÑADIDOS.</t>
  </si>
  <si>
    <t>567 - COMERCIO AL POR MAYOR DE CARROCERÍAS; CAJAS DE CARGA; REMOLQUES Y SEMIRREMOLQUES</t>
  </si>
  <si>
    <t>555 - COMERCIO AL POR MAYOR DE OTROS MATERIALES DE DESECHO</t>
  </si>
  <si>
    <t>2248 - COMERCIO AL POR MENOR DE OTROS ALIMENTOS PREPARADOS PARA SU CONSUMO</t>
  </si>
  <si>
    <t>2246 - COMERCIO AL POR MENOR A TRAVÉS DE MÁQUINAS EXPENDEDORAS</t>
  </si>
  <si>
    <t>0722 - OTROS SERVICIOS RELACIONADOS CON EL TRANSPORTE</t>
  </si>
  <si>
    <t>0883 - INTERESES POR PRÉSTAMOS EN EL PAÍS</t>
  </si>
  <si>
    <t>1136 - ACTIVIDADES ADMINISTRATIVAS MUNICIPALES DE INSTITUCIONES DE BIENESTAR SOCIAL</t>
  </si>
  <si>
    <t>162 - OTROS TRABAJOS EN EXTERIORES NO CLASIFICADOS EN OTRA PARTE</t>
  </si>
  <si>
    <t>0785 - SERVICIOS RELACIONADOS CON LA INTERMEDIACIÓN CREDITICIA</t>
  </si>
  <si>
    <t>0820 - ALQUILER DE MESAS; SILLAS; VAJILLAS Y SIMILARES</t>
  </si>
  <si>
    <t>0846 - DISEÑO GRÁFICO</t>
  </si>
  <si>
    <t>1093 - REPARACIÓN Y MANTENIMIENTO DE MAQUINARIA Y EQUIPO AGROPECUARIO Y FORESTAL</t>
  </si>
  <si>
    <t>0925 - ESCUELAS DE EDUCACIÓN ESPECIAL PERTENECIENTES AL SECTOR PÚBLICO</t>
  </si>
  <si>
    <t>0959 - CONSULTORIOS DE PSICOLOGÍA PERTENECIENTES AL SECTOR PÚBLICO</t>
  </si>
  <si>
    <t>1003 - OTROS SERVICIOS DE ORIENTACIÓN Y TRABAJO SOCIAL PRESTADOS POR EL SECTOR PÚBLICO</t>
  </si>
  <si>
    <t>896 - ORGANIZACIÓN DE EXCURSIONES Y PAQUETES TURÍSTICOS PARA AGENCIAS DE VIAJES</t>
  </si>
  <si>
    <t>1028 - ARTISTAS Y TÉCNICOS INDEPENDIENTES</t>
  </si>
  <si>
    <t>2321 - SOCIO O ACCIONISTA</t>
  </si>
  <si>
    <t>2339 - PROMOCIÓN DE LA PARTICIPACIÓN ORGANIZADA DE LA POBLACIÓN; EN BENEFICIO DE LA COMUNIDAD.</t>
  </si>
  <si>
    <t>16 - MORELOS</t>
  </si>
  <si>
    <t>57 - COAHUILA DE ZARAGOZA “3” / PIEDRAS NEGRAS</t>
  </si>
  <si>
    <t>16 - DIVIDENDOS</t>
  </si>
  <si>
    <t>16 - SERVICIOS</t>
  </si>
  <si>
    <t>GRUPOS_ECONOMICOS{0,ELEMENTS(DATAINCOLUMN$@$,CATALOGCOLUMN54,0,01,@s@,02,@s@,03,@s@,04,@s@,05,@s@,06,@s@,07,@s@,08,@s@,09,@s@,10,@s@,11,@s@,12,@s@,13,@s@,14,@s@,15,@s@,16,@s@,17,@s@,18,@s@,19,@s@,20,@s@,21,@s@,22,@s@,23,@s@,24,@s@,25,@s@,26,@s@,27,@s@,28,@s@,29,@s@,30,@s@,31,@s@,32,@s@,33,@s@,34,@s@,35,@s@,36,@s@,37,@s@,38,@s@,39,@s@,40,@s@,41,@s@,42,@s@,43,@s@,44,@s@,45,@s@,46,@s@,47,@s@,48,@s@,49,@s@,50,@s@,51,@s@,52,@s@,53,@s@,54,@s@,55,@s@,56,@s@,57,@s@,58,@s@,59,@s@,60,@s@,61,@s@,62,@s@,63,@s@,64,@s@,65,@s@,66,@s@,67,@s@,68,@s@,69,@s@,70,@s@,71,@s@,72,@s@,73,@s@,74,@s@,75,@s@,76,@s@,77,@s@,78,@s@,79,@s@,80,@s@,81,@s@,82,@s@)}</t>
  </si>
  <si>
    <t>DAN_150{0,ELEMENTS(3,150,M,,,,)}</t>
  </si>
  <si>
    <t>17 - MORELOS</t>
  </si>
  <si>
    <t>1100 - INGRESOS POR ARRENDAMIENTO</t>
  </si>
  <si>
    <t>1900 - ASISTENCIA TECNICA</t>
  </si>
  <si>
    <t>BRASIL - REAL</t>
  </si>
  <si>
    <t>IIID - ACTIVOS INTELECTUALES O ARTISTICOS: PINTURAS Y FOTOGRAFIAS</t>
  </si>
  <si>
    <t>3.1 - FABRICACIÓN; PRODUCCIÓN O ELABORACIÓN: ALIMENTOS; EMBUTIDOS; AGUA O HIELO</t>
  </si>
  <si>
    <t>17 - SIEMBRA; CULTIVO Y COSECHA DE OTROS CEREALES</t>
  </si>
  <si>
    <t>68 - CRÍA Y ENGORDA DE CABALLOS; MULAS; BURROS Y OTROS ÉQUIDOS</t>
  </si>
  <si>
    <t>105 - MINERÍA DE FELDESPATO</t>
  </si>
  <si>
    <t>0575 - PRODUCCIÓN; FABRICACIÓN O ENVASADO DE BEBIDAS REFRESCANTES CON UNA GRADUACIÓN ALCOHÓLICA DE MÁS DE 20º G.L.</t>
  </si>
  <si>
    <t>0264 - FABRICACIÓN DE BANDERAS Y OTROS PRODUCTOS CONFECCIONADOS</t>
  </si>
  <si>
    <t>281 - FABRICACIÓN DE CALZADO DE HULE</t>
  </si>
  <si>
    <t>302 - FABRICACIÓN DE BOLSAS DE PAPEL Y PRODUCTOS CELULÓSICOS RECUBIERTOS Y TRATADOS</t>
  </si>
  <si>
    <t>0329 - FABRICACIÓN DE PINTURAS Y RECUBRIMIENTOS</t>
  </si>
  <si>
    <t>352 - REVITALIZACIÓN [RECAUCHUTADO] DE LLANTAS</t>
  </si>
  <si>
    <t>395 - FABRICACIÓN DE CALDERAS INDUSTRIALES</t>
  </si>
  <si>
    <t>0422 - FABRICACIÓN DE MAQUINARIA Y EQUIPO PARA LA INDUSTRIA METALMECÁNICA</t>
  </si>
  <si>
    <t>447 - FABRICACIÓN DE ALAMBRES Y CABLES DE CONDUCCIÓN ELÉCTRICA Y DE COMUNICACIÓN</t>
  </si>
  <si>
    <t>467 - FABRICACIÓN DE BICICLETAS Y TRICICLOS Y SUS PARTES</t>
  </si>
  <si>
    <t>488 - FABRICACIÓN DE ESCOBAS; CEPILLOS Y SIMILARES</t>
  </si>
  <si>
    <t>371 - FABRICACIÓN DE OTROS PRODUCTOS DE CEMENTO Y CONCRETO</t>
  </si>
  <si>
    <t>2274 - COMERCIO AL POR MENOR DE REFRESCOS; BEBIDAS HIDRATANTES Y REHIDRATANTES ELABORADOS CON AZÚCAR DE CAÑA Y OTROS EDULCORANTES ENTREGANDO FACTURA.</t>
  </si>
  <si>
    <t>2344 - COMERCIO DE COMBUSTIBLES FÓSILES.</t>
  </si>
  <si>
    <t>2298 - ACTIVIDADES COMPLEMENTARIAS PRESTADAS COMO INTEGRANTE A LOS COORDINADOS</t>
  </si>
  <si>
    <t>1141 - INVERSIONES REALIZADAS EN SOCIEDADES RESIDENTES EN EL EXTRANJERO SIN ESTABLECIMIENTO EN EL PAÍS. SUJETOS A REGÍMENES FISCALES PREFERENTES</t>
  </si>
  <si>
    <t>1137 - RELACIONES EXTERIORES</t>
  </si>
  <si>
    <t>163 - INSTALACIONES ELÉCTRICAS EN CONSTRUCCIONES</t>
  </si>
  <si>
    <t>0786 - CASAS DE BOLSA</t>
  </si>
  <si>
    <t>0821 - ALQUILER DE INSTRUMENTOS MUSICALES</t>
  </si>
  <si>
    <t>0847 - DISEÑO DE MODAS Y OTROS DISEÑOS ESPECIALIZADOS</t>
  </si>
  <si>
    <t>1094 - REPARACIÓN Y MANTENIMIENTO DE MAQUINARIA Y EQUIPO INDUSTRIAL</t>
  </si>
  <si>
    <t>0926 - ESCUELAS DE EDUCACIÓN POSTBACHILLERATO NO UNIVERSITARIA PERTENECIENTES AL SECTOR PRIVADO; QUE TENGAN AUTORIZACIÓN O RECONOCIMIENTO DE VALIDEZ OFICIAL DE ESTUDIOS; EN LOS TÉRMINOS DE LA LEY GENERAL DE EDUCACIÓN</t>
  </si>
  <si>
    <t>0960 - SERVICIOS DE AUDIOLOGÍA Y DE TERAPIA OCUPACIONAL; FÍSICA Y DEL LENGUAJE</t>
  </si>
  <si>
    <t>1004 - SERVICIOS COMUNITARIOS DE ALIMENTACIÓN; VESTIDO O VIVIENDA; PRESTADOS POR EL SECTOR PRIVADO</t>
  </si>
  <si>
    <t>897 - OTROS SERVICIOS DE RESERVACIONES</t>
  </si>
  <si>
    <t>1031 - MUSEOS DEL SECTOR PRIVADO</t>
  </si>
  <si>
    <t>2322 - REPRODUCCIÓN EN SERIE DE GRABACIONES DE OBRAS MUSICALES; PERMITIENDO A TERCEROS SU PUBLICACIÓN; SIEMPRE QUE LOS BIENES QUE CONTENGAN LAS GRABACIONES; SE DESTINEN PARA SU ENAJENACIÓN AL PÚBLICO</t>
  </si>
  <si>
    <t>2350 - PROMOCIÓN DE LA EQUIDAD DE GÉNERO.</t>
  </si>
  <si>
    <t>17 - NAYARIT</t>
  </si>
  <si>
    <t>62 - COLIMA “1” / COLIMA</t>
  </si>
  <si>
    <t>17 - COMISIONES</t>
  </si>
  <si>
    <t>AGRICULTURA{0,ELEMENTS(DATAINCOLUMN$@$,CATALOGCOLUMN55,1,01,,02,,03,,04,,05,,06,,07,,08,,09,,10,@s@,11,@s@,12,@s@,13,@s@,14,@s@,15,@s@,16,@s@,17,@s@,18,@s@,19,@s@,20,@s@,21,@s@,22,@s@,23,@s@,24,@s@,25,@s@,26,@s@,27,@s@,28,@s@,29,@s@,30,@s@,31,@s@,32,@s@,33,@s@,34,@s@,35,@s@,36,@s@,37,@s@,38,@s@,39,@s@,40,@s@,41,@s@,42,@s@,43,@s@,44,@s@,45,@s@,46,@s@,47,@s@,48,@s@,49,@s@,50,@s@)}</t>
  </si>
  <si>
    <t>CN_20{0,ELEMENTS(2,20,M,20,0,0,0)}</t>
  </si>
  <si>
    <t>18 - NAYARIT</t>
  </si>
  <si>
    <t>1200 - INGRESO POR ENAJENACION DE ACCIONES</t>
  </si>
  <si>
    <t>2000 - HONORARIOS; INCLUYE SERVICIOS ADMINISTRATIVOS Y MANO DE OBRA</t>
  </si>
  <si>
    <t>BULGARIA - LEV</t>
  </si>
  <si>
    <t>IIIE - ACTIVOS INTELECTUALES O ARTISTICOS: MATERIAL AUDIOVISUAL; VIDEOS; PELICULAS; VIDEOS MUSICALES Y PROGRAMAS DE TELEVISION</t>
  </si>
  <si>
    <t>3.2 - FABRICACIÓN; PRODUCCIÓN O ELABORACIÓN: DULCES; CHOCOLATES; BOTANAS Y SIMILARES</t>
  </si>
  <si>
    <t>18 - SIEMBRA; CULTIVO Y COSECHA DE JITOMATE O TOMATE ROJO</t>
  </si>
  <si>
    <t>69 - CRÍA Y EXPLOTACIÓN DE ANIMALES DE PIEL CON PELAJE FINO</t>
  </si>
  <si>
    <t>106 - MINERÍA DE SÍLICE</t>
  </si>
  <si>
    <t>0576 - PRODUCCIÓN; FABRICACIÓN O ENVASADO DE OTRAS BEBIDAS A BASE DE UVA CON UNA GRADUACIÓN ALCOHÓLICA DE MÁS DE 20º G.L.</t>
  </si>
  <si>
    <t>2284 - PREPARACIÓN; TEJIDO Y ANUDADO DE FIBRAS DE IXTLE; PALMA Y LECHUGUILLA</t>
  </si>
  <si>
    <t>282 - FABRICACIÓN DE HUARACHES; CALZADO TEJIDO Y DE OTRO TIPO DE MATERIALES NO CLASIFICADOS EN OTRA PARTE</t>
  </si>
  <si>
    <t>303 - FABRICACIÓN DE PRODUCTOS DE PAPELERÍA</t>
  </si>
  <si>
    <t>0336 - FABRICACIÓN DE PELÍCULAS; PLACAS; PRODUCTOS QUÍMICOS PARA FOTOGRAFÍA; TELAS Y PAPEL FOTOSENSIBLE PARA FOTOGRAFÍA; CINEMATOGRAFÍA; ARTES GRÁFICAS Y RAYOS X</t>
  </si>
  <si>
    <t>353 - FABRICACIÓN DE BANDAS; MANGUERAS DE USO INDUSTRIAL Y DOMÉSTICO DE HULE Y DE PLÁSTICO</t>
  </si>
  <si>
    <t>396 - FABRICACIÓN DE TANQUES METÁLICOS DE CALIBRE GRUESO</t>
  </si>
  <si>
    <t xml:space="preserve">0423 - FABRICACIÓN DE MOTORES DE COMBUSTIÓN INTERNA; TURBINAS Y TRANSMISIONES </t>
  </si>
  <si>
    <t xml:space="preserve">448 - FABRICACIÓN DE ENCHUFES; CONTACTOS; FUSIBLES Y OTROS ACCESORIOS PARA INSTALACIONES ELÉCTRICAS </t>
  </si>
  <si>
    <t>468 - FABRICACIÓN DE OTRO EQUIPO DE TRANSPORTE</t>
  </si>
  <si>
    <t>489 - FABRICACIÓN DE VELAS Y VELADORAS</t>
  </si>
  <si>
    <t>372 - FABRICACIÓN DE CAL</t>
  </si>
  <si>
    <t>2275 - COMERCIO AL POR MENOR DE CONCENTRADOS; POLVOS; JARABES Y ESENCIAS DE SABOR PARA PREPARAR REFRESCOS; BEBIDAS HIDRATANTES O REHIDRATANTES ELABORADOS ÚNICAMENTE CON AZÚCAR DE CAÑA COMO EDULCORANTE</t>
  </si>
  <si>
    <t>2346 - COMERCIO DE PLAGUICIDAS.</t>
  </si>
  <si>
    <t>1142 - DIVIDENDOS O UTILIDADES DISTRIBUIDOS POR SOCIEDADES RESIDENTES EN EL EXTRANJERO SUJETOS A REGÍMENES FISCALES PREFERENTES</t>
  </si>
  <si>
    <t>1138 - ACTIVIDADES DE SEGURIDAD NACIONAL</t>
  </si>
  <si>
    <t>164 - INSTALACIONES HIDROSANITARIAS Y DE GAS EN CONSTRUCCIONES</t>
  </si>
  <si>
    <t>0787 - CASAS DE CAMBIO</t>
  </si>
  <si>
    <t>0822 - ALQUILER DE OTROS ARTÍCULOS PARA EL HOGAR</t>
  </si>
  <si>
    <t>0848 - SERVICIOS DE CONSULTORÍA EN COMPUTACIÓN</t>
  </si>
  <si>
    <t>1095 - REPARACIÓN Y MANTENIMIENTO DE MAQUINARIA Y EQUIPO PARA MOVER; ACOMODAR Y LEVANTAR MATERIALES</t>
  </si>
  <si>
    <t>0927 - ESCUELAS DE EDUCACIÓN POSTBACHILLERATO NO UNIVERSITARIA PERTENECIENTES AL SECTOR PÚBLICO</t>
  </si>
  <si>
    <t>0962 - CONSULTORIOS DE AUDIOLOGÍA Y DE TERAPIA OCUPACIONAL; FÍSICA Y DEL LENGUAJE PERTENECIENTE AL SECTOR PÚBLICO</t>
  </si>
  <si>
    <t>1005 - SERVICIOS COMUNITARIOS DE ALIMENTACIÓN; VESTIDO O VIVIENDA; PRESTADOS POR EL SECTOR PÚBLICO</t>
  </si>
  <si>
    <t>906 - ORGANIZADORES DE CONVENCIONES Y FERIAS COMERCIALES E INDUSTRIALES</t>
  </si>
  <si>
    <t>1032 - MUSEOS DEL SECTOR PÚBLICO</t>
  </si>
  <si>
    <t>2323 - TRANSMISIÓN TEMPORAL DE DERECHOS PATRIMONIALES U OTORGAMIENTO TEMPORAL DE LICENCIAS DE USO A TERCEROS POR OBRAS DE SU AUTORÍA</t>
  </si>
  <si>
    <t>2351 - ASOCIACIONES Y ORGANIZACIONES ENFOCADAS A PROMOVER LA PARTICIPACIÓN CIUDADANA EN ASUNTOS DE INTERÉS PÚBLICO.</t>
  </si>
  <si>
    <t>18 - NUEVO LEON</t>
  </si>
  <si>
    <t>11 - DISTRITO FEDERAL “1” / NORTE DEL DF</t>
  </si>
  <si>
    <t>18 - OPERACIONES FINANCIERAS DERIVADAS</t>
  </si>
  <si>
    <t>18 - INTERESES A CARGO</t>
  </si>
  <si>
    <t>GANADERIA{0,ELEMENTS(DATAINCOLUMN$@$,CATALOGCOLUMN56,1,51,@s@,52,@s@,53,@s@,54,@s@,55,@s@,56,@s@,57,@s@,58,@s@,59,@s@,60,@s@,61,@s@,62,@s@,63,@s@,64,@s@,65,@s@,67,@s@,68,@s@,69,@s@,70,@s@)}</t>
  </si>
  <si>
    <t>DAN_200{0,ELEMENTS(3,200,M,,,,)}</t>
  </si>
  <si>
    <t>19 - NUEVO LEON</t>
  </si>
  <si>
    <t>1300 - INGRESOS POR VENTA DE ACTIVO FIJO</t>
  </si>
  <si>
    <t>2100 - ARRENDAMIENTO</t>
  </si>
  <si>
    <t>CANADA - DOLAR</t>
  </si>
  <si>
    <t>IIIF - ACTIVOS INTELECTUALES O ARTISTICOS: OTROS</t>
  </si>
  <si>
    <t>3.3 - FABRICACIÓN; PRODUCCIÓN O ELABORACIÓN: CONSERVAS; CORTE Y EMPACADO</t>
  </si>
  <si>
    <t>19 - SIEMBRA; CULTIVO Y COSECHA DE CHILE</t>
  </si>
  <si>
    <t xml:space="preserve">70 - CRÍA Y EXPLOTACIÓN DE OTROS ANIMALES </t>
  </si>
  <si>
    <t>107 - MINERÍA DE CAOLÍN</t>
  </si>
  <si>
    <t>0578 - PRODUCCIÓN; FABRICACIÓN O ENVASADO DE SIDRA Y OTRAS BEBIDAS FERMENTADAS CON UNA GRADUACIÓN ALCOHÓLICA DE MÁS DE 20º G.L.</t>
  </si>
  <si>
    <t>283 - FABRICACIÓN DE BOLSOS DE MANO; MALETAS Y SIMILARES</t>
  </si>
  <si>
    <t>304 - FABRICACIÓN DE PAÑALES DESECHABLES Y PRODUCTOS SANITARIOS</t>
  </si>
  <si>
    <t>0338 - FABRICACIÓN DE OTROS PRODUCTOS QUÍMICOS</t>
  </si>
  <si>
    <t>354 - FABRICACIÓN DE OTROS PRODUCTOS DE HULE</t>
  </si>
  <si>
    <t>397 - FABRICACIÓN DE ENVASES METÁLICOS DE CALIBRE LIGERO PARA EMBALAJE; COMO LATAS PARA REFRESCOS; TONELES; TAMBORES; CUBETAS; TINAS</t>
  </si>
  <si>
    <t>0424 - FABRICACIÓN DE BOMBAS</t>
  </si>
  <si>
    <t>449 - FABRICACIÓN DE PRODUCTOS ELÉCTRICOS DE CARBÓN Y GRAFITO</t>
  </si>
  <si>
    <t>490 - FABRICACIÓN DE ATAÚDES</t>
  </si>
  <si>
    <t>373 - FABRICACIÓN DE YESO Y PRODUCTOS DE YESO</t>
  </si>
  <si>
    <t>2276 - COMERCIO AL POR MENOR DE CONCENTRADOS O JARABES PARA PREPARAR REFRESCOS QUE SE EXPENDAN EN ENVASES ABIERTOS UTILIZANDO APARATOS AUTOMÁTICOS; ELÉCTRICOS O MECÁNICOS ELABORADOS ÚNICAMENTE CON AZÚCAR DE CAÑA COMO EDULCORANTE.</t>
  </si>
  <si>
    <t>2401 - ELABORACIÓN Y ENAJENACIÓN DE ARTESANÍAS.</t>
  </si>
  <si>
    <t>1144 - OPERACIONES FINANCIERAS DERIVADAS EN EL MERCADO MEXICANO DE DERIVADOS SUJETOS A REGÍMENES FISCALES PREFERENTES</t>
  </si>
  <si>
    <t>1139 - ORGANISMOS INTERNACIONALES</t>
  </si>
  <si>
    <t>165 - INSTALACIONES DE SISTEMAS CENTRALES DE AIRE ACONDICIONADO Y CALEFACCIÓN</t>
  </si>
  <si>
    <t>0788 - CENTROS CAMBIARIOS</t>
  </si>
  <si>
    <t>0823 - CENTROS GENERALES DE ALQUILER</t>
  </si>
  <si>
    <t>0849 - SERVICIOS DE CONSULTORÍA EN ADMINISTRACIÓN</t>
  </si>
  <si>
    <t>1096 - REPARACIÓN Y MANTENIMIENTO DE MAQUINARIA Y EQUIPO COMERCIAL Y DE SERVICIOS</t>
  </si>
  <si>
    <t>0928 - ESCUELAS DE EDUCACIÓN SUPERIOR PERTENECIENTES AL SECTOR PRIVADO; QUE TENGAN AUTORIZACIÓN O RECONOCIMIENTO DE VALIDEZ OFICIAL DE ESTUDIOS; EN LOS TÉRMINOS DE LA LEY GENERAL DE EDUCACIÓN</t>
  </si>
  <si>
    <t>0964 - SERVICIOS DE NUTRIÓLOGOS Y DIETISTAS</t>
  </si>
  <si>
    <t>1006 - REFUGIOS TEMPORALES COMUNITARIOS PERTENECIENTES AL SECTOR PRIVADO</t>
  </si>
  <si>
    <t>1033 - SITIOS HISTÓRICOS</t>
  </si>
  <si>
    <t>2324 - CREACIÓN DE OBRAS COMO IDEAS O FRASES PUBLICITARIAS; LOGOTIPOS; EMBLEMAS; SELLOS DISTINTIVOS; DISEÑOS MODELOS INDUSTRIALES; MANUALES OPERATIVOS U OBRAS DE ARTE APLICADO</t>
  </si>
  <si>
    <t>2352 - PARTICIPACIÓN EN ACCIONES DE PROTECCIÓN CIVIL.</t>
  </si>
  <si>
    <t>19 - OAXACA</t>
  </si>
  <si>
    <t>12 - DISTRITO FEDERAL “2” / CENTRO DEL DF</t>
  </si>
  <si>
    <t>19 - ARRENDAMIENTO</t>
  </si>
  <si>
    <t>19 - OTROS ACREEDOR</t>
  </si>
  <si>
    <t>SILVICULTURA{0,ELEMENTS(DATAINCOLUMN$@$,CATALOGCOLUMN57,1,71,@s@,72,@s@,73,@s@,74,@s@)}</t>
  </si>
  <si>
    <t>Porcentaje{0,ELEMENTS(9,6,M,3,2,,)}</t>
  </si>
  <si>
    <t>20 - OAXACA</t>
  </si>
  <si>
    <t>1301 - INGRESOS POR VENTA DE TERRENOS</t>
  </si>
  <si>
    <t>2200 - GARANTIAS</t>
  </si>
  <si>
    <t>CHILE - PESO</t>
  </si>
  <si>
    <t>IVA - ACTIVOS BASADOS EN CONTRATOS O DERECHOS: CONTRATOS DE LICENCIA DE USO; REGALIA Y PRIORIDAD</t>
  </si>
  <si>
    <t>3.4 - FABRICACIÓN; PRODUCCIÓN O ELABORACIÓN: PAN; TORTILLAS; HARINAS Y CEREALES</t>
  </si>
  <si>
    <t>20 - SIEMBRA; CULTIVO Y COSECHA DE CEBOLLA</t>
  </si>
  <si>
    <t>108 - MINERÍA DE OTRAS ARCILLAS Y OTROS MINERALES REFRACTARIOS</t>
  </si>
  <si>
    <t>0579 - PRODUCCIÓN; FABRICACIÓN O ENVASADO DE RON Y OTRAS BEBIDAS DESTILADAS DE CAÑA CON UNA GRADUACIÓN ALCOHÓLICA DE MÁS DE 20º G.L.</t>
  </si>
  <si>
    <t>284 - FABRICACIÓN DE ARTÍCULOS DE TALABARTERÍA</t>
  </si>
  <si>
    <t>305 - FABRICACIÓN DE OTROS PRODUCTOS DE PAPEL Y CARTÓN</t>
  </si>
  <si>
    <t>480 - FABRICACIÓN DE JOYERÍA DE FANTASÍA HECHA DE METALES Y PIEDRAS NO PRECIOSAS; DE PLÁSTICO Y DE OTROS MATERIALES</t>
  </si>
  <si>
    <t>398 - FABRICACIÓN DE HERRAJES Y CERRADURAS</t>
  </si>
  <si>
    <t>0425 - FABRICACIÓN DE SISTEMAS DE BOMBEO PARA USO INDUSTRIAL; COMERCIAL Y DOMÉSTICO</t>
  </si>
  <si>
    <t>450 - FABRICACIÓN DE OTROS PRODUCTOS ELÉCTRICOS</t>
  </si>
  <si>
    <t>491 - OTRAS INDUSTRIAS MANUFACTURERAS</t>
  </si>
  <si>
    <t>374 - FABRICACIÓN DE PRODUCTOS ABRASIVOS</t>
  </si>
  <si>
    <t>2295 - COMERCIO AL POR MENOR DE LECHE.</t>
  </si>
  <si>
    <t>2326 - ACTIVIDADES SUJETAS A REGÍMENES FISCALES PREFERENTES</t>
  </si>
  <si>
    <t>1140 - SEDES DIPLOMÁTICAS Y OTRAS UNIDADES EXTRATERRITORIALES</t>
  </si>
  <si>
    <t>166 - OTRAS INSTALACIONES Y EQUIPAMIENTO EN CONSTRUCCIONES</t>
  </si>
  <si>
    <t>0789 - BOLSA DE VALORES</t>
  </si>
  <si>
    <t>0824 - ALQUILER DE MAQUINARIA PARA CONSTRUCCIÓN; MINERÍA Y ACTIVIDADES FORESTALES</t>
  </si>
  <si>
    <t>0850 - SERVICIOS DE CONSULTORÍA EN MEDIO AMBIENTE</t>
  </si>
  <si>
    <t>1097 - REPARACIÓN Y MANTENIMIENTO DE APARATOS ELÉCTRICOS PARA EL HOGAR Y PERSONALES</t>
  </si>
  <si>
    <t>0929 - ESCUELAS DE EDUCACIÓN SUPERIOR PERTENECIENTES AL SECTOR PÚBLICO</t>
  </si>
  <si>
    <t>0965 - CONSULTORIOS DEL SECTOR PÚBLICO DE NUTRIÓLOGOS Y DIETISTAS</t>
  </si>
  <si>
    <t>1007 - REFUGIOS TEMPORALES COMUNITARIOS PERTENECIENTES AL SECTOR PÚBLICO</t>
  </si>
  <si>
    <t>1034 - JARDINES BOTÁNICOS Y ZOOLÓGICOS DEL SECTOR PRIVADO</t>
  </si>
  <si>
    <t>2353 - CREACIÓN Y FORTALECIMIENTO DE ORGANIZACIONES QUE REALICEN ACTIVIDADES DE FOMENTO.</t>
  </si>
  <si>
    <t>20 - PUEBLA</t>
  </si>
  <si>
    <t>14 - DISTRITO FEDERAL “3” / ORIENTE DEL DF</t>
  </si>
  <si>
    <t>20 - PRESTACION DE SERVICIOS</t>
  </si>
  <si>
    <t>PESCA{0,ELEMENTS(DATAINCOLUMN$@$,CATALOGCOLUMN58,1,66,@s@,75,@s@,76,@s@,77,@s@,78,@s@)}</t>
  </si>
  <si>
    <t>CN_5{0,ELEMENTS(2,5,M,5,0,0,0)}</t>
  </si>
  <si>
    <t>21 - PUEBLA</t>
  </si>
  <si>
    <t>1302 - INGRESOS POR CONDONACION DE DEUDAS</t>
  </si>
  <si>
    <t>2300 - PUBLICIDAD</t>
  </si>
  <si>
    <t>CHINA - YUAN CONTINENTAL</t>
  </si>
  <si>
    <t>IVB -ACTIVOS BASADOS EN CONTRATOS O DERECHOS: CONTRATOS DE PUBLICIDAD; CONSTRUCCION; ADMINISTRACION; SERVICIO O SUMINISTRO</t>
  </si>
  <si>
    <t>3.5 - FABRICACIÓN; PRODUCCIÓN O ELABORACIÓN: BEBIDAS NO ALCOHÓLICAS Y CONCENTRADOS PARA PREPARARLAS</t>
  </si>
  <si>
    <t>21 - SIEMBRA; CULTIVO Y COSECHA DE MELÓN O SANDÍA</t>
  </si>
  <si>
    <t>109 - EXTRACCIÓN Y EXPLOTACIÓN DE SAL</t>
  </si>
  <si>
    <t>0580 - PRODUCCIÓN; FABRICACIÓN O ENVASADO DE BEBIDAS DESTILADAS DE AGAVE CON UNA GRADUACIÓN ALCOHÓLICA DE MÁS DE 20º G.L.</t>
  </si>
  <si>
    <t>306 - IMPRESIÓN DE LIBROS; PERIÓDICOS Y REVISTAS POR CONTRATO</t>
  </si>
  <si>
    <t>2345 - FABRICACIÓN O PRODUCCIÓN DE COMBUSTIBLES FÓSILES.</t>
  </si>
  <si>
    <t xml:space="preserve">399 - FABRICACIÓN DE ALAMBRE; PRODUCTOS DE ALAMBRE Y RESORTES </t>
  </si>
  <si>
    <t>0426 - FABRICACIÓN DE MAQUINARIA Y EQUIPO PARA LEVANTAR Y TRASLADAR</t>
  </si>
  <si>
    <t>471 - FABRICACIÓN DE MUEBLES DE OFICINA Y ESTANTERÍA</t>
  </si>
  <si>
    <t>375 - CORTE; PULIDO Y LAMINADO DE MÁRMOL FUERA DE LA MINA</t>
  </si>
  <si>
    <t>2315 - COMERCIO AL POR MENOR DE CONCENTRADOS; POLVOS Y JARABES PARA PREPARAR BEBIDAS ENERGETIZANTES ENTREGANDO FACTURA.</t>
  </si>
  <si>
    <t>2327 - OPERACIONES CON PARTES RELACIONADAS RESIDENTES EN EL EXTRANJERO [MULTINACIONALES]</t>
  </si>
  <si>
    <t>174 - COLOCACIÓN DE MUROS FALSOS Y AISLAMIENTO</t>
  </si>
  <si>
    <t>0790 - SOCIEDADES DE INVERSIÓN DE CAPITALES</t>
  </si>
  <si>
    <t>0825 - ALQUILER DE EQUIPO DE TRANSPORTE; EXCEPTO TERRESTRE</t>
  </si>
  <si>
    <t>0851 - OTROS SERVICIOS DE CONSULTORÍA CIENTÍFICA Y TÉCNICA</t>
  </si>
  <si>
    <t>1098 - REPARACIÓN DE TAPICERÍA DE MUEBLES PARA EL HOGAR</t>
  </si>
  <si>
    <t>0930 - ESCUELAS COMERCIALES Y SECRETARIALES DEL SECTOR PRIVADO; QUE TENGAN AUTORIZACIÓN O RECONOCIMIENTO DE VALIDEZ OFICIAL DE ESTUDIOS; EN LOS TÉRMINOS DE LA LEY GENERAL DE EDUCACIÓN</t>
  </si>
  <si>
    <t>0966 - OTROS SERVICIOS PARA EL CUIDADO DE LA SALUD</t>
  </si>
  <si>
    <t>1008 - SERVICIOS DE EMERGENCIA COMUNITARIOS PRESTADOS POR EL SECTOR PRIVADO</t>
  </si>
  <si>
    <t>1035 - JARDINES BOTÁNICOS Y ZOOLÓGICOS DEL SECTOR PÚBLICO</t>
  </si>
  <si>
    <t>2354 - PROMOCIÓN Y DEFENSA DE LOS DERECHOS DE LOS CONSUMIDORES.</t>
  </si>
  <si>
    <t>21 - QUERETARO</t>
  </si>
  <si>
    <t>13 - DISTRITO FEDERAL “4” / SUR DEL DF</t>
  </si>
  <si>
    <t>21 - SERVICIOS ADMINISTRATIVOS</t>
  </si>
  <si>
    <t>MINERIA_EXTRAC_PETROLEO_GAS{0,ELEMENTS(DATAINCOLUMN$@$,CATALOGCOLUMN59,1,089,,090,,091,,092,,093,,094,,095,,096,,097,,098,,099,,100,@s@,101,@s@,102,@s@,103,@s@,104,@s@,105,@s@,106,@s@,107,@s@,108,@s@,109,@s@,110,@s@,111,@s@,112,@s@,113,@s@,114,@s@,115,@s@,116,@s@,117,@s@,118,@s@,119,@s@)}</t>
  </si>
  <si>
    <t>EJERCICIO_4{0,ELEMENTS(2,4,E,4,0,0,0)}</t>
  </si>
  <si>
    <t>22 - QUERETARO</t>
  </si>
  <si>
    <t>1303 - INGRESOS POR CANTIDADES PERCIBIDAS PARA EFECTUAR GASTOS POR CUENTA DE PARTES RELACIONADAS</t>
  </si>
  <si>
    <t>2400 - SERVICIOS DE MAQUILA</t>
  </si>
  <si>
    <t>CHINA - YUAN EXTRACONTINENTAL</t>
  </si>
  <si>
    <t>IVC - ACTIVOS BASADOS EN CONTRATOS O DERECHOS: PERMISOS O CONCESIONES DE EXPLOTACION DE RECURSOS; ASI COMO DE PUERTOS Y AEROPUERTOS</t>
  </si>
  <si>
    <t>3.6 - FABRICACIÓN; PRODUCCIÓN O ELABORACIÓN: BEBIDAS CON CONTENIDO ALCOHÓLICO Y TABACOS</t>
  </si>
  <si>
    <t>22 - SIEMBRA; CULTIVO Y COSECHA DE TOMATE VERDE</t>
  </si>
  <si>
    <t>110 - MINERÍA DE PIEDRA DE YESO</t>
  </si>
  <si>
    <t>2236 - FABRICANTES; PRODUCTORES; ENVASADORES O IMPORTADORES QUE ENAJENAN O IMPORTAN CERVEZA EN ENVASES REUTILIZABLES</t>
  </si>
  <si>
    <t>308 - IMPRESIÓN DE FORMAS CONTINUAS Y OTROS IMPRESOS</t>
  </si>
  <si>
    <t>2347 - FABRICACIÓN O PRODUCCIÓN DE PLAGUICIDAS.</t>
  </si>
  <si>
    <t>400 - MAQUINADO DE PIEZAS METÁLICAS PARA MAQUINARIA Y EQUIPO EN GENERAL</t>
  </si>
  <si>
    <t>0427 - FABRICACIÓN DE EQUIPO PARA SOLDAR Y SOLDADURAS FERROSAS Y NO FERROSAS</t>
  </si>
  <si>
    <t>484 - FABRICACIÓN DE ARTÍCULOS Y ACCESORIOS PARA ESCRITURA; PINTURA; DIBUJO Y ACTIVIDADES DE OFICINA</t>
  </si>
  <si>
    <t xml:space="preserve">376 - CORTE Y PULIDO; FUERA DE LA MINA; DE OTRAS PIEDRAS DE CANTERA; COMO EL GRANITO; LA CANTERA Y EL ÓNIX; EXCEPTO MÁRMOL </t>
  </si>
  <si>
    <t>2316 - COMERCIO AL POR MENOR DE CONCENTRADOS; POLVOS Y JARABES PARA PREPARAR BEBIDAS ENERGETIZANTES.</t>
  </si>
  <si>
    <t>175 - TRABAJOS DE ENYESADO; EMPASTADO Y TIROLEADO</t>
  </si>
  <si>
    <t>0791 - ASESORÍA EN INVERSIONES</t>
  </si>
  <si>
    <t>0826 - ALQUILER DE EQUIPO DE CÓMPUTO Y DE OTRAS MÁQUINAS Y MOBILIARIO DE OFICINA</t>
  </si>
  <si>
    <t>0852 - SERVICIOS DE INVESTIGACIÓN Y DESARROLLO EN CIENCIAS FÍSICAS; DE LA VIDA E INGENIERÍA PRESTADOS POR EL SECTOR PRIVADO</t>
  </si>
  <si>
    <t>1099 - REPARACIÓN DE CALZADO Y OTROS ARTÍCULOS DE PIEL Y CUERO</t>
  </si>
  <si>
    <t>0931 - ESCUELAS COMERCIALES Y SECRETARIALES DEL SECTOR PÚBLICO</t>
  </si>
  <si>
    <t>0968 - OTROS CONSULTORIOS DEL SECTOR PÚBLICO PARA EL CUIDADO DE LA SALUD</t>
  </si>
  <si>
    <t>1009 - SERVICIOS DE EMERGENCIA COMUNITARIOS PRESTADOS POR EL SECTOR PÚBLICO</t>
  </si>
  <si>
    <t>1036 - GRUTAS; PARQUES NATURALES Y OTROS SITIOS DEL PATRIMONIO NACIONAL</t>
  </si>
  <si>
    <t>2356 - APORTACIÓN DE SERVICIOS PARA LA ATENCIÓN A GRUPOS SOCIALES CON DISCAPACIDAD.</t>
  </si>
  <si>
    <t>22 - QUINTANA ROO</t>
  </si>
  <si>
    <t>55 - DURANGO “1” / DURANGO</t>
  </si>
  <si>
    <t>22 - INTERESES DEVENGADOS</t>
  </si>
  <si>
    <t>OBRAS_INGENIERIA_CIVIL{0,ELEMENTS(DATAINCOLUMN$@$,CATALOGCOLUMN60,1,134,@s@,135,@s@,136,@s@,139,@s@,140,@s@,143,@s@,144,@s@,148,@s@,151,@s@,153,@s@,154,@s@,155,@s@,157,@s@)}</t>
  </si>
  <si>
    <t>DAN_250{0,ELEMENTS(3,250,M,,,,)}</t>
  </si>
  <si>
    <t>23 - QUINTANA ROO</t>
  </si>
  <si>
    <t>1304 - GANANCIA ACUMULABLE EN OPERACIONES FINANCIERAS DERIVADAS</t>
  </si>
  <si>
    <t>2500 - OTROS SERVICIOS PRESTADOS</t>
  </si>
  <si>
    <t>CHIPRE - EURO</t>
  </si>
  <si>
    <t>IVD - ACTIVOS BASADOS EN CONTRATOS O DERECHOS: CONTRATOS DE ARRENDAMIENTO</t>
  </si>
  <si>
    <t>3.7 - FABRICACIÓN; PRODUCCIÓN O ELABORACIÓN: TEXTILES E INSUMOS TEXTILES</t>
  </si>
  <si>
    <t>23 - SIEMBRA; CULTIVO Y COSECHA DE PAPA</t>
  </si>
  <si>
    <t>111 - MINERÍA DE BARITA</t>
  </si>
  <si>
    <t>2262 - FABRICANTES; PRODUCTORES; ENVASADORES O IMPORTADORES QUE ENAJENAN O IMPORTAN CERVEZA DE 20º G.L EN ENVASES REUTILIZABLES</t>
  </si>
  <si>
    <t>309 - INDUSTRIAS CONEXAS A LA IMPRESIÓN; COMO LA ENCUADERNACIÓN Y LA ELABORACIÓN DE PLACAS; CLICHÉS; GRABADOS Y OTROS PRODUCTOS SIMILARES</t>
  </si>
  <si>
    <t>401 - FABRICACIÓN DE TORNILLOS; TUERCAS; ARMELLAS; PIJAS; RONDANAS; REMACHES Y OTROS SUJETADORES METÁLICOS</t>
  </si>
  <si>
    <t>0428 - FABRICACIÓN DE MAQUINARIA Y EQUIPO PARA ENVASAR Y EMPACAR</t>
  </si>
  <si>
    <t>377 - FABRICACIÓN DE OTROS PRODUCTOS A BASE DE MINERALES NO METÁLICOS</t>
  </si>
  <si>
    <t>2317 - COMERCIO AL POR MENOR DE BEBIDAS ENERGETIZANTES</t>
  </si>
  <si>
    <t>176 - TRABAJOS DE PINTURA Y OTROS CUBRIMIENTOS DE PAREDES</t>
  </si>
  <si>
    <t>0792 - INSTITUCIONES PARA EL DEPÓSITO DE VALORES</t>
  </si>
  <si>
    <t>0827 - ALQUILER DE MAQUINARIA Y EQUIPO AGROPECUARIO; PESQUERO Y PARA LA INDUSTRIA DE LA TRANSFORMACIÓN</t>
  </si>
  <si>
    <t>0853 - SERVICIOS DE INVESTIGACIÓN Y DESARROLLO EN CIENCIAS FÍSICAS; DE LA VIDA E INGENIERÍA PRESTADOS POR EL SECTOR PÚBLICO</t>
  </si>
  <si>
    <t>1100 - CERRAJERÍAS</t>
  </si>
  <si>
    <t>0932 - ESCUELAS DE COMPUTACIÓN PERTENECIENTES AL SECTOR PRIVADO; QUE TENGAN AUTORIZACIÓN O RECONOCIMIENTO DE VALIDEZ OFICIAL DE ESTUDIOS; EN LOS TÉRMINOS DE LA LEY GENERAL DE EDUCACIÓN</t>
  </si>
  <si>
    <t>0969 - SERVICIOS DE PLANIFICACIÓN FAMILIAR</t>
  </si>
  <si>
    <t>2302 - ACTIVIDADES CULTURALES</t>
  </si>
  <si>
    <t>1037 - PARQUES DEL SECTOR PRIVADO CON INSTALACIONES RECREATIVAS</t>
  </si>
  <si>
    <t>23 - SAN LUIS POTOSI</t>
  </si>
  <si>
    <t>7 - GUANAJUATO “1” / IRAPUATO</t>
  </si>
  <si>
    <t>23 - GASTOS POR CUENTA DE PARTES RELACIONADAS</t>
  </si>
  <si>
    <t>ALIMENTOS_EMBUT_AGUA_HIELO{0,ELEMENTS(DATAINCOLUMN$@$,CATALOGCOLUMN61,1,0183,,0190,,0202,,0203,,0204,,0209,,0210,,0225,,0228,,0229,,0232,,0233,,2257,@s@)}</t>
  </si>
  <si>
    <t>ID2_IPN_20{0,ELEMENTS(2,20,M,12,4,1,1)}</t>
  </si>
  <si>
    <t>24 - SAN LUIS POTOSI</t>
  </si>
  <si>
    <t>1305 - INTERES A FAVOR O ACUMULABLE QUE SE DETERMINE POR REALIZAR OPERACIONES FINANCIERAS DERIVADAS</t>
  </si>
  <si>
    <t>2600 - SERVICIOS FINANCIEROS</t>
  </si>
  <si>
    <t>COLOMBIA - PESO</t>
  </si>
  <si>
    <t>IVE - ACTIVOS BASADOS EN CONTRATOS O DERECHOS: PERMISOS DE CONSTRUCCION</t>
  </si>
  <si>
    <t>3.8 - FABRICACIÓN; PRODUCCIÓN O ELABORACIÓN: PRENDAS Y ACCESORIOS DE VESTIR Y CALZADO</t>
  </si>
  <si>
    <t>24 - SIEMBRA; CULTIVO Y COSECHA DE CALABACITA</t>
  </si>
  <si>
    <t>112 - MINERÍA DE ROCA FOSFÓRICA</t>
  </si>
  <si>
    <t>333 - FABRICACIÓN DE TINTAS PARA IMPRESIÓN</t>
  </si>
  <si>
    <t>402 - RECUBRIMIENTOS Y TERMINADOS METÁLICOS</t>
  </si>
  <si>
    <t>0429 - FABRICACIÓN DE BÁSCULAS Y BALANZAS PARA USO COMERCIAL; INDUSTRIAL Y DOMÉSTICO</t>
  </si>
  <si>
    <t>378 - COMPLEJOS SIDERÚRGICOS</t>
  </si>
  <si>
    <t>2348 - COMERCIO DE ALIMENTOS NO BÁSICOS CON ALTA DENSIDAD CALÓRICA.</t>
  </si>
  <si>
    <t>177 - COLOCACIÓN DE PISOS FLEXIBLES [COMO ALFOMBRAS; LINÓLEOS Y VINILOS] Y PISOS DE MADERA [COMO PARQUET; DUELA Y TABLÓN COLONIAL]</t>
  </si>
  <si>
    <t>0793 - COMPAÑÍAS ESPECIALIZADAS EN SEGUROS DE VIDA</t>
  </si>
  <si>
    <t>0828 - ALQUILER DE EQUIPO PARA LEVANTAR; MOVER Y ACOMODAR MATERIALES</t>
  </si>
  <si>
    <t>0854 - SERVICIOS DE INVESTIGACIÓN Y DESARROLLO EN CIENCIAS SOCIALES Y HUMANIDADES PRESTADOS POR EL SECTOR PRIVADO</t>
  </si>
  <si>
    <t>1101 - REPARACIÓN Y MANTENIMIENTO DE MOTOCICLETAS</t>
  </si>
  <si>
    <t>0933 - ESCUELAS DE COMPUTACIÓN PERTENECIENTES AL SECTOR PÚBLICO</t>
  </si>
  <si>
    <t>0970 - CENTROS DE PLANIFICACIÓN FAMILIAR PERTENECIENTES AL SECTOR PÚBLICO</t>
  </si>
  <si>
    <t>2303 - ACTIVIDADES ECOLÓGICAS</t>
  </si>
  <si>
    <t>1038 - PARQUES DEL SECTOR PÚBLICO CON INSTALACIONES RECREATIVAS</t>
  </si>
  <si>
    <t>24 - SINALOA</t>
  </si>
  <si>
    <t>2 - GUANAJUATO “2” / LEON</t>
  </si>
  <si>
    <t>24 - ENAJENACION DE INTANGIBLES</t>
  </si>
  <si>
    <t>DULCES_CHOC_BOTANAS_SIMIL{0,ELEMENTS(DATAINCOLUMN$@$,CATALOGCOLUMN62,1,192,@s@,193,@s@,194,@s@,195,@s@,196,@s@,205,@s@,217,@s@,2349,@s@)}</t>
  </si>
  <si>
    <t>RFC_FISICA{0,ELEMENTS(11,,,,,,)}</t>
  </si>
  <si>
    <t>25 - SINALOA</t>
  </si>
  <si>
    <t>1306 - ACUMULACION DE INGRESOS PERCIBIDOS POR OPERACIONES FINANCIERAS REFERIDAS A UN SUBYACENTE QUE NO COTICE EN UN MERCADO RECONOCIDO</t>
  </si>
  <si>
    <t>2700 - COMISIONES</t>
  </si>
  <si>
    <t>COREA DEL NORTE - WON</t>
  </si>
  <si>
    <t>IVF - ACTIVOS BASADOS EN CONTRATOS O DERECHOS: FRANQUICIAS</t>
  </si>
  <si>
    <t>3.9 - FABRICACIÓN; PRODUCCIÓN O ELABORACIÓN: IMPRESIÓN; MADERA; PAPEL; CARTÓN Y PAÑALES</t>
  </si>
  <si>
    <t>25 - SIEMBRA; CULTIVO Y COSECHA DE OTRAS HORTALIZAS Y SEMILLAS DE HORTALIZAS</t>
  </si>
  <si>
    <t>113 - MINERÍA DE FLUORITA</t>
  </si>
  <si>
    <t>403 - FABRICACIÓN DE VÁLVULAS METÁLICAS</t>
  </si>
  <si>
    <t>0430 - FABRICACIÓN DE OTRA MAQUINARIA Y EQUIPO PARA LA INDUSTRIA EN GENERAL</t>
  </si>
  <si>
    <t>178 - COLOCACIÓN DE PISOS CERÁMICOS Y AZULEJOS</t>
  </si>
  <si>
    <t>0794 - COMPAÑÍAS DE SEGUROS NO ESPECIALIZADAS EN SEGUROS DE VIDA</t>
  </si>
  <si>
    <t>0829 - ALQUILER DE EQUIPO PARA EL COMERCIO Y LOS SERVICIOS</t>
  </si>
  <si>
    <t>0855 - SERVICIOS DE INVESTIGACIÓN Y DESARROLLO EN CIENCIAS SOCIALES Y HUMANIDADES PRESTADOS POR EL SECTOR PÚBLICO</t>
  </si>
  <si>
    <t>1102 - REPARACIÓN Y MANTENIMIENTO DE BICICLETAS</t>
  </si>
  <si>
    <t>0934 - ESCUELAS DEL SECTOR PRIVADO PARA LA CAPACITACIÓN DE EJECUTIVOS; QUE TENGAN AUTORIZACIÓN O RECONOCIMIENTO DE VALIDEZ OFICIAL DE ESTUDIOS; EN LOS TÉRMINOS DE LA LEY GENERAL DE EDUCACIÓN</t>
  </si>
  <si>
    <t>0971 - CENTROS DEL SECTOR PRIVADO DEDICADOS A LA ATENCIÓN MÉDICA EXTERNA DE ENFERMOS MENTALES Y ADICTOS</t>
  </si>
  <si>
    <t>2304 - ACTIVIDADES PARA LA REPRODUCCIÓN DE ESPECIES EN PROTECCIÓN Y PELIGRO DE EXTINCIÓN</t>
  </si>
  <si>
    <t>1043 - CAMPOS DE GOLF</t>
  </si>
  <si>
    <t>25 - SONORA</t>
  </si>
  <si>
    <t>1 - GUANAJUATO “3” / CELAYA</t>
  </si>
  <si>
    <t>25 - ENAJENACION DE OTROS CARGOS Y GASTOS DIFERIDOS</t>
  </si>
  <si>
    <t>CONSERVAS_CORTE_EMPACADO{0,ELEMENTS(DATAINCOLUMN$@$,CATALOGCOLUMN63,1,197,@s@,198,@s@,199,@s@,200,@s@,201,@s@,207,@s@,211,@s@,2256,@s@)}</t>
  </si>
  <si>
    <t>26 - SONORA</t>
  </si>
  <si>
    <t>1307 - INGRESOS POR VENTA DE INTANGIBLES</t>
  </si>
  <si>
    <t>2800 - INTERESES DEVENGADOS A CARGO</t>
  </si>
  <si>
    <t>COREA DEL SUR - WON</t>
  </si>
  <si>
    <t>IVG - ACTIVOS BASADOS EN CONTRATOS O DERECHOS: PERMISOS; CONCESIONES O DERECHOS DE TRANSMISION DE CABLE; RADIO; TELEVISION Y TELEDIFUSION</t>
  </si>
  <si>
    <t>3.10 - FABRICACIÓN; PRODUCCIÓN O ELABORACIÓN: QUÍMICA Y DEL PETRÓLEO</t>
  </si>
  <si>
    <t>26 - SIEMBRA; CULTIVO Y COSECHA DE NARANJA</t>
  </si>
  <si>
    <t>114 - MINERÍA DE GRAFITO</t>
  </si>
  <si>
    <t>404 - FABRICACIÓN DE BALEROS Y RODAMIENTOS</t>
  </si>
  <si>
    <t>0469 - FABRICACIÓN DE COCINAS</t>
  </si>
  <si>
    <t>179 - INSTALACIÓN DE PRODUCTOS DE CARPINTERÍA</t>
  </si>
  <si>
    <t>0795 - COMPAÑÍAS ESPECIALIZADAS EN SEGUROS CONTRA RIESGOS AGROPECUARIOS</t>
  </si>
  <si>
    <t>2224 - ALQUILER DE INMUEBLES PARA ESCUELAS; COLEGIOS DE PROFESIONALES E INSTITUCIONES DE ASISTENCIA Y BENEFICENCIA O EMPRESAS ASOCIACIONES U ORGANISMOS NO COMERCIALES</t>
  </si>
  <si>
    <t>0871 - OTROS SERVICIOS PROFESIONALES; CIENTÍFICOS Y TÉCNICOS</t>
  </si>
  <si>
    <t>1103 - REPARACIÓN Y MANTENIMIENTO DE OTROS ARTÍCULOS PARA EL HOGAR Y PERSONALES</t>
  </si>
  <si>
    <t>0935 - ESCUELAS DEL SECTOR PÚBLICO PARA LA CAPACITACIÓN DE EJECUTIVOS</t>
  </si>
  <si>
    <t>0972 - CENTROS DEL SECTOR PÚBLICO DEDICADOS A LA ATENCIÓN MÉDICA EXTERNA DE ENFERMOS MENTALES Y ADICTOS</t>
  </si>
  <si>
    <t>2333 - SERVICIOS DE ASISTENCIA Y REHABILITACIÓN MÉDICA O ATENCIÓN EN ESTABLECIMIENTOS ESPECIALIZADOS.</t>
  </si>
  <si>
    <t>1044 - PISTAS PARA ESQUIAR</t>
  </si>
  <si>
    <t>26 - TABASCO</t>
  </si>
  <si>
    <t>27 - GUERRERO “1” / ACAPULCO</t>
  </si>
  <si>
    <t>26 - ENAJENACION DE ACCIONES</t>
  </si>
  <si>
    <t>PAN_TORT_HARINAS_CEREALES{0,ELEMENTS(DATAINCOLUMN$@$,CATALOGCOLUMN64,1,185,@s@,186,@s@,187,@s@,188,@s@,189,@s@,191,@s@,213,@s@,214,@s@,215,@s@,216,@s@,226,@s@,227,@s@)}</t>
  </si>
  <si>
    <t>27 - TABASCO</t>
  </si>
  <si>
    <t>1308 - INGRESOS POR VENTA DE OTROS CARGOS Y GASTOS DIFERIDOS</t>
  </si>
  <si>
    <t>2801 - INTERESES POR OPERACIONES DE VENTA DE CARTERA</t>
  </si>
  <si>
    <t>COSTA RICA - COLON</t>
  </si>
  <si>
    <t>IVH - ACTIVOS BASADOS EN CONTRATOS O DERECHOS: PERMISOS O DERECHOS DE SUMINISTRO DE AGUA; ENERGIA; DISTRIBUCION DE GAS; ATERRIZAJE; RENTA; MINEROS; ETC.</t>
  </si>
  <si>
    <t>3.11 - FABRICACIÓN; PRODUCCIÓN O ELABORACIÓN: PLÁSTICO; HULE; PEGAMENTOS; PINTURAS Y LLANTAS</t>
  </si>
  <si>
    <t>27 - SIEMBRA; CULTIVO Y COSECHA DE LIMÓN</t>
  </si>
  <si>
    <t>115 - MINERÍA DE AZUFRE</t>
  </si>
  <si>
    <t>405 - FABRICACIÓN DE OTROS PRODUCTOS METÁLICOS</t>
  </si>
  <si>
    <t>0470 - FABRICACIÓN DE MUEBLES; EXCEPTO COCINAS Y MUEBLES DE OFICINA Y ESTANTERÍA</t>
  </si>
  <si>
    <t>180 - OTROS TRABAJOS DE ACABADOS EN EDIFICACIONES</t>
  </si>
  <si>
    <t>0796 - COMPAÑÍAS AFIANZADORAS</t>
  </si>
  <si>
    <t xml:space="preserve">2292 - ACTIVIDADES DE INVESTIGACIÓN CIENTÍFICA O TECNOLÓGICA INSCRITAS EN EL R. N. I. C. Y T. PRESTADOS ÚNICAMENTE A LOS SOCIOS O ASOCIADOS. </t>
  </si>
  <si>
    <t>0936 - ESCUELAS DEL SECTOR PRIVADO DEDICADAS A LA ENSEÑANZA DE OFICIOS; QUE TENGAN AUTORIZACIÓN O RECONOCIMIENTO DE VALIDEZ OFICIAL DE ESTUDIOS; EN LOS TÉRMINOS DE LA LEY GENERAL DE EDUCACIÓN</t>
  </si>
  <si>
    <t>0973 - OTROS CENTROS DEL SECTOR PRIVADO PARA LA ATENCIÓN DE PACIENTES QUE NO REQUIEREN HOSPITALIZACIÓN</t>
  </si>
  <si>
    <t>2334 - SERVICIOS DE ASISTENCIA JURÍDICA; APOYO Y PROMOCIÓN.</t>
  </si>
  <si>
    <t>1045 - MARINAS TURÍSTICAS</t>
  </si>
  <si>
    <t>27 - TAMAULIPAS</t>
  </si>
  <si>
    <t>30 - GUERRERO “2” / IGUALA</t>
  </si>
  <si>
    <t>27 - ENAJENACION DE  ACTIVO FIJO</t>
  </si>
  <si>
    <t>BEBIDAS_NO_ALCOH_CONC_PREP{0,ELEMENTS(DATAINCOLUMN$@$,CATALOGCOLUMN65,1,0220,,0221,,0222,,0223,,0224,,0230,,0231,,2258,@s@,2259,@s@,2260,@s@,2261,@s@,2263,@s@,2310,@s@,2311,@s@,2342,@s@,2343,@s@)}</t>
  </si>
  <si>
    <t>28 - TAMAULIPAS</t>
  </si>
  <si>
    <t>1309 - ANTICIPOS DE CLIENTES</t>
  </si>
  <si>
    <t>2900 - POR PRIMAS PAGADAS POR SEGURO Y REASEGURO</t>
  </si>
  <si>
    <t>CUBA - PESO</t>
  </si>
  <si>
    <t>IVI - ACTIVOS BASADOS EN CONTRATOS O DERECHOS: OTROS</t>
  </si>
  <si>
    <t>3.12 - FABRICACIÓN; PRODUCCIÓN O ELABORACIÓN: INDUSTRIA METÁLICA Y PRODUCTOS METÁLICOS</t>
  </si>
  <si>
    <t>28 - SIEMBRA; CULTIVO Y COSECHA DE CÍTRICOS</t>
  </si>
  <si>
    <t>116 - MINERÍA DE MINERALES NO METÁLICOS PARA PRODUCTOS QUÍMICOS</t>
  </si>
  <si>
    <t>478 - ORFEBRERÍA; JOYERÍA; PIEZAS ARTÍSTICAS U ORNAMENTALES DE ORO</t>
  </si>
  <si>
    <t>2264 - FABRICACIÓN DE EQUIPO CON MOTOR PARA JARDINERÍA</t>
  </si>
  <si>
    <t>181 - PREPARACIÓN DE TERRENOS PARA LA CONSTRUCCIÓN</t>
  </si>
  <si>
    <t>0797 - AGENTES; AJUSTADORES Y GESTORES DE SEGUROS DE VIDA</t>
  </si>
  <si>
    <t>2293 - ACTIVIDADES DE INVESTIGACIÓN CIENTÍFICA O TECNOLÓGICA INSCRITAS EN EL R. N. I. C. Y T. PRESTADOS A TERCERAS PERSONAS</t>
  </si>
  <si>
    <t>0937 - ESCUELAS DEL SECTOR PÚBLICO DEDICADAS A LA ENSEÑANZA DE OFICIOS</t>
  </si>
  <si>
    <t>0974 - OTROS CENTROS DEL SECTOR PÚBLICO PARA LA ATENCIÓN DE PACIENTES QUE NO REQUIEREN HOSPITALIZACIÓN</t>
  </si>
  <si>
    <t>2335 - AYUDA PARA SERVICIOS FUNERARIOS.</t>
  </si>
  <si>
    <t>1046 - CLUBES DEPORTIVOS DEL SECTOR PRIVADO</t>
  </si>
  <si>
    <t>28 - TLAXCALA</t>
  </si>
  <si>
    <t>5 - HIDALGO “1” / PACHUCA</t>
  </si>
  <si>
    <t>28 - ENAJENACION DE TERRENOS</t>
  </si>
  <si>
    <t>BEBIDAS_CON_ALCOH_TABACOS{0,ELEMENTS(DATAINCOLUMN$@$,CATALOGCOLUMN66,1,0234,@s@,0235,@s@,0236,@s@,0237,@s@,0238,@s@,0239,@s@,0240,@s@,0241,@s@,0242,@s@,0243,@s@,0244,@s@,0245,@s@,0246,@s@,0247,@s@,0573,@s@,0574,@s@,0575,@s@,0576,@s@,0578,@s@,0579,@s@,0580,@s@,2236,@s@,2262,@s@)}</t>
  </si>
  <si>
    <t>29 - TLAXCALA</t>
  </si>
  <si>
    <t>1310 - INGRESOS ATRIBUIBLES A ESTABLECIMIENTOS PERMANENTES</t>
  </si>
  <si>
    <t>2901 - REASEGURO CAUTIVO</t>
  </si>
  <si>
    <t>DINAMARCA - CORONA</t>
  </si>
  <si>
    <t>VA - ACTIVOS INTANGIBLES TECNOLOGICOS: PATENTES TECNOLOGICAS</t>
  </si>
  <si>
    <t>3.13 - FABRICACIÓN; PRODUCCIÓN O ELABORACIÓN: MAQUINARIA Y EQUIPO INDUSTRIAL; COMERCIAL Y DOMÉSTICO</t>
  </si>
  <si>
    <t>29 - SIEMBRA; CULTIVO Y COSECHA DE CAFÉ</t>
  </si>
  <si>
    <t>117 - MINERÍA DE OTROS MINERALES NO METÁLICOS</t>
  </si>
  <si>
    <t>479 - ORFEBRERÍA Y JOYERÍA DE METALES Y PIEDRAS PRECIOSOS DISTINTOS AL ORO</t>
  </si>
  <si>
    <t>182 - OTROS TRABAJOS ESPECIALIZADOS PARA LA CONSTRUCCIÓN</t>
  </si>
  <si>
    <t>0798 - AGENTES; AJUSTADORES Y GESTORES DE SEGUROS CONTRA RIESGOS AGROPECUARIOS</t>
  </si>
  <si>
    <t>0938 - ESCUELAS DE ARTE PERTENECIENTES AL SECTOR PRIVADO; QUE TENGAN AUTORIZACIÓN O RECONOCIMIENTO DE VALIDEZ OFICIAL DE ESTUDIOS; EN LOS TÉRMINOS DE LA LEY GENERAL DE EDUCACIÓN</t>
  </si>
  <si>
    <t>0975 - LABORATORIOS MÉDICOS Y DE DIAGNÓSTICO PERTENECIENTES AL SECTOR PRIVADO</t>
  </si>
  <si>
    <t>2336 - APOYO PARA EL DESARROLLO DE LOS PUEBLOS Y COMUNIDADES INDÍGENAS.</t>
  </si>
  <si>
    <t>1047 - CLUBES DEPORTIVOS DEL SECTOR PÚBLICO</t>
  </si>
  <si>
    <t>29 - VERACRUZ</t>
  </si>
  <si>
    <t>63 - JALISCO “1” / GUADALAJARA</t>
  </si>
  <si>
    <t>29 - OTROS DEUDOR</t>
  </si>
  <si>
    <t>TEXTILES_INSUMOSTEX{0,ELEMENTS(DATAINCOLUMN$@$,CATALOGCOLUMN67,1,0248,,0249,,0250,,0251,,0252,,0253,,0254,,0255,,0256,,0257,,0258,,0259,,0260,,0261,,0262,,0263,,0264,,2284,@s@)}</t>
  </si>
  <si>
    <t>30 - VERACRUZ</t>
  </si>
  <si>
    <t>1311 - INGRESOS POR OTORGAR BIENES EN COMODATO</t>
  </si>
  <si>
    <t>3000 - COSTO FISCAL EN VENTA DE ACCIONES ADQUIRIDAS A PARTES RELACIONADAS [COSTO COMPROBADO DE ADQUISICION ACTUALIZADO]</t>
  </si>
  <si>
    <t>E.U.A. - DOLAR</t>
  </si>
  <si>
    <t>VB - ACTIVOS INTANGIBLES TECNOLOGICOS: INVESTIGACION Y DESARROLLO EN PROCESO</t>
  </si>
  <si>
    <t>3.14 - FABRICACIÓN; PRODUCCIÓN O ELABORACIÓN: EQUIPO DE OFICINA; COMUNICACIÓN Y ELÉCTRICO Y PRODUCTOS RELACIONADOS</t>
  </si>
  <si>
    <t>30 - SIEMBRA; CULTIVO Y COSECHA DE PLÁTANO</t>
  </si>
  <si>
    <t>118 - PERFORACIÓN DE POZOS PETROLEROS Y DE GAS</t>
  </si>
  <si>
    <t xml:space="preserve">0799 - AGENTES; AJUSTADORES Y GESTORES DE OTROS SEGUROS </t>
  </si>
  <si>
    <t>0939 - ESCUELAS DE ARTE PERTENECIENTES AL SECTOR PÚBLICO</t>
  </si>
  <si>
    <t>0976 - LABORATORIOS MÉDICOS Y DE DIAGNÓSTICO PERTENECIENTES AL SECTOR PÚBLICO</t>
  </si>
  <si>
    <t>2355 - SERVICIOS DE ASISTENCIA Y REHABILITACIÓN MÉDICA O ATENCIÓN EN ESTABLECIMIENTOS ESPECIALIZADOS.</t>
  </si>
  <si>
    <t>1048 - BALNEARIOS DEL SECTOR PRIVADO</t>
  </si>
  <si>
    <t>30 - YUCATAN</t>
  </si>
  <si>
    <t>66 - JALISCO “2” / GUADALAJARA SUR</t>
  </si>
  <si>
    <t>PRENDAS_ACCES_VESTIR_CALZADO{0,ELEMENTS(DATAINCOLUMN$@$,CATALOGCOLUMN68,1,265,@s@,266,@s@,267,@s@,268,@s@,269,@s@,270,@s@,271,@s@,272,@s@,273,@s@,274,@s@,275,@s@,276,@s@,277,@s@,278,@s@,279,@s@,280,@s@,281,@s@,282,@s@,283,@s@,284,@s@)}</t>
  </si>
  <si>
    <t>31 - YUCATAN</t>
  </si>
  <si>
    <t>1312 - INGRESOS POR ENAJENACION DE DERECHOS</t>
  </si>
  <si>
    <t>3001 - GASTOS A PRORRATA</t>
  </si>
  <si>
    <t>ECUADOR - DOLAR</t>
  </si>
  <si>
    <t>VC - ACTIVOS INTANGIBLES TECNOLOGICOS: SISTEMAS DE COMPUTO [SOFTWARE]; Y LICENCIAS; PROGRAMAS DE COMPUTO; SISTEMAS DE INFORMACION; FORMATOS; ETC.</t>
  </si>
  <si>
    <t>3.15 - FABRICACIÓN; PRODUCCIÓN O ELABORACIÓN: EQUIPO DE TRANSPORTE Y PRODUCTOS RELACIONADOS</t>
  </si>
  <si>
    <t>31 - SIEMBRA; CULTIVO Y COSECHA DE MANGO</t>
  </si>
  <si>
    <t>119 - SERVICIOS DE EXPLOTACIÓN O PROSPECCIÓN MINERA Y DESMANTELAMIENTO DE TORRES DE PERFORACIÓN</t>
  </si>
  <si>
    <t>0801 - ADMINISTRACIÓN DE CAJAS DE PENSIÓN Y DE SEGUROS INDEPENDIENTES</t>
  </si>
  <si>
    <t>0940 - ESCUELAS DE DEPORTE PERTENECIENTES AL SECTOR PRIVADO; QUE TENGAN AUTORIZACIÓN O RECONOCIMIENTO DE VALIDEZ OFICIAL DE ESTUDIOS; EN LOS TÉRMINOS DE LA LEY GENERAL DE EDUCACIÓN</t>
  </si>
  <si>
    <t>0977 - SERVICIOS DE ENFERMERÍA A DOMICILIO</t>
  </si>
  <si>
    <t>2357 - SERVICIOS DE ASISTENCIA JURÍDICA; APOYO Y PROMOCIÓN.</t>
  </si>
  <si>
    <t>1049 - BALNEARIOS DEL SECTOR PÚBLICO</t>
  </si>
  <si>
    <t>31 - ZACATECAS</t>
  </si>
  <si>
    <t>67 - JALISCO “3” / ZAPOPAN</t>
  </si>
  <si>
    <t>QUIMICA_PETROLEO{0,ELEMENTS(DATAINCOLUMN$@$,CATALOGCOLUMN70,1,0310,,0311,,0312,,0313,,0314,,0315,,0316,,0317,,0318,,0319,,0320,,0322,,0323,,0324,,0325,,0326,,0329,,0336,,0338,,2269,@s@,2345,@s@,2347,@s@)}</t>
  </si>
  <si>
    <t>32 - ZACATECAS</t>
  </si>
  <si>
    <t>1313 - INGRESOS POR REEMBOLSOS</t>
  </si>
  <si>
    <t>3002 - DEVOLUCIONES; REBAJAS Y DESCUENTOS SOBRE VENTA DE INVENTARIOS PRODUCIDOS TERMINADOS</t>
  </si>
  <si>
    <t>EGIPTO - LIBRA</t>
  </si>
  <si>
    <t>VD - ACTIVOS INTANGIBLES TECNOLOGICOS: TECNOLOGIA NO PATENTADA; CONOCIMIENTO TECNICO.</t>
  </si>
  <si>
    <t>3.16 - FABRICACIÓN; PRODUCCIÓN O ELABORACIÓN: EQUIPO MÉDICO; DEPORTIVO; JUGUETES; FARMACÉUTICOS Y PERFUMERÍA Y OTROS PRODUCTOS</t>
  </si>
  <si>
    <t>32 - SIEMBRA; CULTIVO Y COSECHA DE AGUACATE</t>
  </si>
  <si>
    <t>1147 - OFICINAS DE REPRESENTACIÓN Y AGENCIAS DE BANCOS EXTRANJEROS</t>
  </si>
  <si>
    <t>0941 - ESCUELAS DE DEPORTE PERTENECIENTES AL SECTOR PÚBLICO</t>
  </si>
  <si>
    <t>0978 - SERVICIOS DE AMBULANCIAS</t>
  </si>
  <si>
    <t>2358 - AYUDA PARA SERVICIOS FUNERARIOS.</t>
  </si>
  <si>
    <t>1050 - CENTROS DE ACONDICIONAMIENTO FÍSICO PERTENECIENTES AL SECTOR PRIVADO</t>
  </si>
  <si>
    <t>32 - DISTRITO FEDERAL</t>
  </si>
  <si>
    <t>65 - JALISCO “4” / CIUDAD GUZMAN</t>
  </si>
  <si>
    <t>PLASTICO_HULE_PEG_PINT_LLANTAS{0,ELEMENTS(DATAINCOLUMN$@$,CATALOGCOLUMN71,1,321,,330,@s@,337,@s@,339,@s@,340,@s@,341,@s@,342,@s@,343,@s@,344,@s@,345,@s@,346,@s@,347,@s@,348,@s@,349,@s@,350,@s@,351,@s@,352,@s@,353,@s@,354,@s@,480,@s@)}</t>
  </si>
  <si>
    <t>82 - NO APLICA</t>
  </si>
  <si>
    <t>1314 - INGRESOS POR VENTA DE CARTERA</t>
  </si>
  <si>
    <t>3003 - DEVOLUCIONES; REBAJAS Y DESCUENTOS SOBRE VENTA DE INVENTARIOS PRODUCIDOS SEMITERMINADOS</t>
  </si>
  <si>
    <t>EL SALVADOR - COLON</t>
  </si>
  <si>
    <t>VE - ACTIVOS INTANGIBLES TECNOLOGICOS: BASES DE DATOS; TITULOS DE PLANTAS</t>
  </si>
  <si>
    <t>3.17 - FABRICACIÓN; PRODUCCIÓN O ELABORACIÓN: VIDRIO; ARCILLA; LOZA; CEMENTO Y MINERALES NO METÁLICOS</t>
  </si>
  <si>
    <t>33 - SIEMBRA; CULTIVO Y COSECHA DE UVA</t>
  </si>
  <si>
    <t>1148 - FINANCIERA RURAL</t>
  </si>
  <si>
    <t>0942 - ESCUELAS DEL SECTOR PRIVADO DEDICADAS A LA ENSEÑANZA DE IDIOMAS; QUE TENGAN AUTORIZACIÓN O RECONOCIMIENTO DE VALIDEZ OFICIAL DE ESTUDIOS; EN LOS TÉRMINOS DE LA LEY GENERAL DE EDUCACIÓN</t>
  </si>
  <si>
    <t>0979 - SERVICIOS DE BANCOS DE ÓRGANOS; DE BANCOS DE SANGRE Y OTROS SERVICIOS AUXILIARES AL TRATAMIENTO MÉDICO PRESTADOS POR EL SECTOR PRIVADO</t>
  </si>
  <si>
    <t>2359 - APOYO EN EL APROVECHAMIENTO DE LOS RECURSOS NATURALES.</t>
  </si>
  <si>
    <t>1051 - CENTROS DE ACONDICIONAMIENTO FÍSICO PERTENECIENTES AL SECTOR PÚBLICO</t>
  </si>
  <si>
    <t>82 -  NO APLICA</t>
  </si>
  <si>
    <t>68 - JALISCO “5” / PUERTO VALLARTA</t>
  </si>
  <si>
    <t>INDUS_METAL_PRODUC_METALICOS{0,ELEMENTS(DATAINCOLUMN$@$,CATALOGCOLUMN72,1,379,@s@,380,@s@,381,@s@,382,@s@,383,@s@,384,@s@,385,@s@,386,@s@,387,@s@,388,@s@,389,@s@,390,@s@,391,@s@,392,@s@,393,@s@,394,@s@,395,@s@,396,@s@,397,@s@,398,@s@,399,@s@,400,@s@,401,@s@,402,@s@,403,@s@,404,@s@,405,@s@,478,@s@,479,@s@)}</t>
  </si>
  <si>
    <t>83 - NO APLICA</t>
  </si>
  <si>
    <t>1400 - OTROS INGRESOS [ESPECIFICAR]</t>
  </si>
  <si>
    <t>3004 - DEVOLUCIONES; REBAJAS Y DESCUENTOS SOBRE VENTA DE INVENTARIOS ADQUIRIDOS PARA DISTRIBUCION</t>
  </si>
  <si>
    <t>EM. ARABES UNIDOS - DIRHAM</t>
  </si>
  <si>
    <t>VF - ACTIVOS INTANGIBLES TECNOLOGICOS: PROCESOS Y FORMULAS CONFIDENCIALES</t>
  </si>
  <si>
    <t>4.1 - COMERCIO AL POR MAYOR: ABARROTES; CARNES; PESCADOS; LECHE; FRUTAS O VERDURAS; PAN Y PASTELES AL POR MAYOR</t>
  </si>
  <si>
    <t>34 - SIEMBRA; CULTIVO Y COSECHA DE MANZANA</t>
  </si>
  <si>
    <t>1149 - OTRAS INSTITUCIONES DE INTERMEDIACIÓN CREDITICIA Y FINANCIERA NO BURSÁTIL</t>
  </si>
  <si>
    <t>0943 - ESCUELAS DEL SECTOR PRIVADO; QUE NO CUENTEN CON AUTORIZACIÓN O RECONOCIMIENTO DE VALIDEZ OFICIAL DE ESTUDIOS; EN LOS TÉRMINOS DE LA LEY GENERAL DE EDUCACIÓN</t>
  </si>
  <si>
    <t>0980 - SERVICIOS DE BANCOS DE ÓRGANOS; DE BANCOS DE SANGRE Y OTROS SERVICIOS AUXILIARES AL TRATAMIENTO MÉDICO PRESTADOS POR EL SECTOR PÚBLICO</t>
  </si>
  <si>
    <t>2360 - ASOCIACIONES O SOCIEDADES CIVILES QUE OTORGUEN BECAS</t>
  </si>
  <si>
    <t>1052 - BOLICHES</t>
  </si>
  <si>
    <t>83 -  NO APLICA</t>
  </si>
  <si>
    <t>16 - MEXICO “1” / TOLUCA</t>
  </si>
  <si>
    <t>MAQ_EQUI_INDUS_COMER_DOMES{0,ELEMENTS(DATAINCOLUMN$@$,CATALOGCOLUMN73,1,0406,,0407,,0408,,0409,,0410,,0411,,0412,,0413,,0414,,0415,,0416,,0417,,0418,,0419,,0420,,0421,,0422,,0423,,0424,,0425,,0426,,0427,,0428,,0429,,0430,,0469,,0470,,2264,@s@)}</t>
  </si>
  <si>
    <t>3005 - DEVOLUCIONES; REBAJAS Y DESCUENTOS SOBRE VENTA DE INVENTARIOS ADQUIRIDOS [MATERIAS PRIMAS]</t>
  </si>
  <si>
    <t>ESLOVENIA - EURO</t>
  </si>
  <si>
    <t>VG - ACTIVOS INTANGIBLES TECNOLOGICOS: DIBUJOS TECNICOS; MANUALES DE PROCEDIMIENTOS TECNICOS; PLANOS</t>
  </si>
  <si>
    <t>4.2 - COMERCIO AL POR MAYOR: DULCES; BOTANAS; HELADOS; HIELO Y BEBIDAS NO ALCOHÓLICAS AL POR MAYOR</t>
  </si>
  <si>
    <t>35 - SIEMBRA; CULTIVO Y COSECHA DE CACAO</t>
  </si>
  <si>
    <t>1150 - SOCIEDADES DE INVERSIÓN DE OBJETO LIMITADO</t>
  </si>
  <si>
    <t>0944 - ESCUELAS DEL SECTOR PÚBLICO DEDICADAS A LA ENSEÑANZA DE IDIOMAS</t>
  </si>
  <si>
    <t>0981 - HOSPITALES GENERALES DEL SECTOR PRIVADO QUE REQUIERAN DE TÍTULO DE MÉDICO CONFORME A LAS LEYES</t>
  </si>
  <si>
    <t>1053 - BILLARES</t>
  </si>
  <si>
    <t>15 - MEXICO “2” / NAUCALPAN</t>
  </si>
  <si>
    <t>EQUI_OFI_COM_ELEC_PROD_REL{0,ELEMENTS(DATAINCOLUMN$@$,CATALOGCOLUMN74,1,431,@s@,432,@s@,433,@s@,434,@s@,435,@s@,436,@s@,437,@s@,438,@s@,439,@s@,440,@s@,441,@s@,442,@s@,443,@s@,444,@s@,445,@s@,446,@s@,447,@s@,448,@s@,449,@s@,450,@s@,471,@s@,484,@s@)}</t>
  </si>
  <si>
    <t>3006 - DEVOLUCIONES; REBAJAS Y DESCUENTOS SOBRE VENTA DE INVENTARIOS ADQUIRIDOS [ARTICULOS SEMITERMINADOS]</t>
  </si>
  <si>
    <t>ESPAÑA - EURO</t>
  </si>
  <si>
    <t>VH - ACTIVOS INTANGIBLES TECNOLOGICOS: CREACION DE PROCESOS DE MANUFACTURA; PROCEDIMIENTOS; LINEAS DE PRODUCCION</t>
  </si>
  <si>
    <t>4.3 - COMERCIO AL POR MAYOR: BEBIDAS CON CONTENIDO ALCOHÓLICO; ALCOHOL Y TABACOS AL POR MAYOR</t>
  </si>
  <si>
    <t>36 - SIEMBRA; CULTIVO Y COSECHA DE OTROS FRUTALES NO CÍTRICOS</t>
  </si>
  <si>
    <t>1151 - SOCIEDADES DE INVERSIÓN EN INSTRUMENTOS DE DEUDA</t>
  </si>
  <si>
    <t>0945 - SERVICIOS DE PROFESORES PARTICULARES</t>
  </si>
  <si>
    <t>0982 - HOSPITALES GENERALES DEL SECTOR PÚBLICO</t>
  </si>
  <si>
    <t>1054 - OTROS SERVICIOS RECREATIVOS PRESTADOS POR EL SECTOR PRIVADO</t>
  </si>
  <si>
    <t>3 - MICHOACAN “1” / MORELIA</t>
  </si>
  <si>
    <t>EQUI_TRANS_PROD_REL{0,ELEMENTS(DATAINCOLUMN$@$,CATALOGCOLUMN75,1,451,@s@,452,@s@,453,@s@,454,@s@,455,@s@,456,@s@,457,@s@,458,@s@,459,@s@,460,@s@,461,@s@,462,@s@,463,@s@,464,@s@,465,@s@,466,@s@,467,@s@,468,@s@)}</t>
  </si>
  <si>
    <t xml:space="preserve">3007 - POR CANTIDADES INICIALES PARA ADQUIRIR EL DERECHO DE CELEBRAR UNA OPERACION FINANCIERA DERIVADA </t>
  </si>
  <si>
    <t>ESTONIA - EURO</t>
  </si>
  <si>
    <t>VI - ACTIVOS INTANGIBLES TECNOLOGICOS: OTROS</t>
  </si>
  <si>
    <t>4.4 - COMERCIO AL POR MAYOR: TEXTILES; PRENDAS DE VESTIR; JOYAS Y CALZADO AL POR MAYOR</t>
  </si>
  <si>
    <t>37 - SIEMBRA; CULTIVO Y COSECHA DE PRODUCTOS ALIMENTICIOS EN INVERNADEROS</t>
  </si>
  <si>
    <t>1152 - SOCIEDADES DE INVERSIÓN ESPECIALIZADAS DE FONDOS PARA EL RETIRO</t>
  </si>
  <si>
    <t>0946 - OTROS SERVICIOS EDUCATIVOS PROPORCIONADOS POR EL SECTOR PRIVADO</t>
  </si>
  <si>
    <t>0983 - HOSPITALES DEL SECTOR PRIVADO PSIQUIÁTRICOS Y PARA EL TRATAMIENTO POR ABUSO DE SUBSTANCIAS</t>
  </si>
  <si>
    <t>1055 - OTROS SERVICIOS RECREATIVOS PRESTADOS POR EL SECTOR PÚBLICO</t>
  </si>
  <si>
    <t>8 - MICHOACAN “2” / URUAPAN</t>
  </si>
  <si>
    <t>EQUI_MED_DEP_JUG_FAR_PERF_OTROS_PROD{0,ELEMENTS(DATAINCOLUMN$@$,CATALOGCOLUMN76,1,328,@s@,331,@s@,332,@s@,334,@s@,335,@s@,472,@s@,473,@s@,474,@s@,475,@s@,476,@s@,481,@s@,482,@s@,483,@s@,485,@s@,486,@s@,487,@s@,488,@s@,489,@s@,490,@s@,491,@s@)}</t>
  </si>
  <si>
    <t>3008 - POR CANTIDADES INICIALES PARA ADQUIRIR EL DERECHO DE CELEBRAR UNA OPERACION FINANCIERA</t>
  </si>
  <si>
    <t>ETIOPIA - BIRR</t>
  </si>
  <si>
    <t>VIA - ACTIVOS INTANGIBLES DISTINTOS A LOS ANTERIORES: OTROS</t>
  </si>
  <si>
    <t>4.5 - COMERCIO AL POR MAYOR: PERFUMERÍA; FARMACIA; JUGUETES; ARTÍCULOS DEPORTIVOS AL POR MAYOR</t>
  </si>
  <si>
    <t>38 - SIEMBRA; CULTIVO Y COSECHA DE FLORES A CIELO ABIERTO</t>
  </si>
  <si>
    <t>1153 - SOCIEDADES DE INVERSIÓN DE RENTA VARIABLE</t>
  </si>
  <si>
    <t>0947 - OTROS SERVICIOS EDUCATIVOS PROPORCIONADOS POR EL SECTOR PÚBLICO</t>
  </si>
  <si>
    <t>0984 - HOSPITALES DEL SECTOR PÚBLICO PSIQUIÁTRICOS Y PARA EL TRATAMIENTO POR ABUSO DE SUBSTANCIAS</t>
  </si>
  <si>
    <t>2268 - PRODUCCIÓN Y PRESENTACIÓN DE ESPECTÁCULOS PÚBLICOS COMBINADA CON LA PROMOCIÓN DE LOS MISMOS</t>
  </si>
  <si>
    <t>28 - MORELOS “1” / CUERNAVACA</t>
  </si>
  <si>
    <t>VIDRIO_ARC_LOZA_CEME_MINE_NO_METL{0,ELEMENTS(DATAINCOLUMN$@$,CATALOGCOLUMN77,1,355,@s@,356,@s@,357,@s@,358,@s@,359,@s@,360,@s@,361,@s@,362,@s@,363,@s@,364,@s@,365,@s@,366,@s@,367,@s@,368,@s@,369,@s@,370,@s@,371,@s@,372,@s@,373,@s@,374,@s@,375,@s@,376,@s@,377,@s@,378,@s@)}</t>
  </si>
  <si>
    <t>3009 - POR RECIBIR BIENES EN COMODATO</t>
  </si>
  <si>
    <t>FED. RUSA - RUBLO</t>
  </si>
  <si>
    <t>4.6 - COMERCIO AL POR MAYOR: MAQUINARIA Y EQUIPO INDUSTRIAL; ELÉCTRICO; COMERCIAL; DOMÉSTICO Y DE TRANSPORTE AL POR MAYOR</t>
  </si>
  <si>
    <t>39 - SIEMBRA; CULTIVO Y COSECHA DE FLORES EN INVERNADERO</t>
  </si>
  <si>
    <t>1154 - OPERADORA DE SOCIEDADES DE INVERSIÓN</t>
  </si>
  <si>
    <t>0948 - SERVICIOS DE APOYO A LA EDUCACIÓN</t>
  </si>
  <si>
    <t>0985 - HOSPITALES DEL SECTOR PRIVADO DEDICADOS A OTRAS ESPECIALIDADES MÉDICAS QUE REQUIERAN DE TÍTULO DE MÉDICO CONFORME A LAS LEYES</t>
  </si>
  <si>
    <t>2280 - PRODUCCIÓN Y PRESENTACIÓN DE ESPECTÁCULOS EN RESTAURANTES; BARES; SALONES DE FIESTA O DE BAILE Y CENTROS NOCTURNOS.</t>
  </si>
  <si>
    <t>64 - NAYARIT “1” / TEPIC</t>
  </si>
  <si>
    <t>ABARROTES_CARNES_PESCADOS_LECHE{0,ELEMENTS(DATAINCOLUMN$@$,CATALOGCOLUMN78,1,492,@s@,493,@s@,494,@s@,495,@s@,496,@s@,497,@s@,498,@s@,499,@s@,500,@s@,501,@s@,503,@s@)}</t>
  </si>
  <si>
    <t>3010 - COSTOS Y/O POR ADQUIRIR DERECHOS</t>
  </si>
  <si>
    <t>FIDJI - DOLAR</t>
  </si>
  <si>
    <t>4.7 - COMERCIO AL POR MAYOR: PAPELERÍA; PAPEL; MADERA; CONSTRUCCIÓN Y DESECHOS AL POR MAYOR</t>
  </si>
  <si>
    <t>40 - SIEMBRA; CULTIVO Y COSECHA DE ÁRBOLES DE NAVIDAD Y DE ESPECIES MADERABLES DE CICLOS PRODUCTIVOS DE 10 AÑOS O MENOS</t>
  </si>
  <si>
    <t>1155 - SOCIEDADES DE INVERSIÓN VALUADORAS</t>
  </si>
  <si>
    <t>2361 - ASOCIACIONES DEPORTIVAS RECONOCIDAS POR LA COMISIÓN NACIONAL DEL DEPORTE</t>
  </si>
  <si>
    <t>0986 - HOSPITALES DEL SECTOR PÚBLICO DEDICADOS A OTRAS ESPECIALIDADES MÉDICAS</t>
  </si>
  <si>
    <t>2281 - MUSEOS DEL SECTOR PRIVADO.</t>
  </si>
  <si>
    <t>36 - NUEVO LEON “1” / MONTERREY</t>
  </si>
  <si>
    <t>DULCES_BOTANA_HELADOS_HIELO{0,ELEMENTS(DATAINCOLUMN$@$,CATALOGCOLUMN79,1,0502,,0504,,0505,,0506,,0507,,0508,,0509,,0510,,0583,,2265,@s@,2266,@s@,2267,@s@,2312,@s@,2313,@s@,2340,@s@,2341,@s@)}</t>
  </si>
  <si>
    <t>3011 - COSTOS Y/O POR ADQUIRIR CONCESIONES</t>
  </si>
  <si>
    <t>FILIPINAS - PESO</t>
  </si>
  <si>
    <t>4.8 - COMERCIO AL POR MAYOR: OTROS PRODUCTOS Y SERVICIOS AL POR MAYOR</t>
  </si>
  <si>
    <t>41 - SIEMBRA; CULTIVO Y COSECHA DE OTROS CULTIVOS EN INVERNADEROS Y VIVEROS</t>
  </si>
  <si>
    <t>1156 - SOCIEDADES DISTRIBUIDORAS DE ACCIONES DE SOCIEDADES DE INVERSIÓN</t>
  </si>
  <si>
    <t>2250 - CONSULTORIOS DE MEDICINA GENERAL PERTENECIENTES AL SECTOR PRIVADO QUE NO CUENTEN CON TÍTULO DE MÉDICO CONFORME A LAS LEYES</t>
  </si>
  <si>
    <t>31 - NUEVO LEON “2” / GUADALUPE</t>
  </si>
  <si>
    <t>BEBIDAS_CONT_ALCOHOL_TABACO{0,ELEMENTS(DATAINCOLUMN$@$,CATALOGCOLUMN80,1,0511,,0512,,0513,,0514,,0515,,0516,,0517,,0518,,0519,,0581,,0584,,0585,,2225,@s@)}</t>
  </si>
  <si>
    <t>3012 - INVERSIONES EN INTANGIBLES</t>
  </si>
  <si>
    <t>FINLANDIA - EURO</t>
  </si>
  <si>
    <t>5.1 - COMERCIO AL POR MAYOR: ABARROTES; CARNES; PESCADOS; LECHE; FRUTAS O VERDURAS; PAN; PASTELES Y OTROS ALIMENTOS AL POR MENOR</t>
  </si>
  <si>
    <t>42 - SIEMBRA; CULTIVO Y COSECHA DE TABACO</t>
  </si>
  <si>
    <t>1157 - CALIFICADORA DE VALORES</t>
  </si>
  <si>
    <t>2278 - CONSULTORIOS DE MEDICINA ESPECIALIZADA PERTENECIENTES AL SECTOR PRIVADO QUE NO CUENTEN CON TÍTULO DE MÉDICO CONFORME A LAS LEYES.</t>
  </si>
  <si>
    <t>35 - NUEVO LEON “3” / SAN PEDRO GARZA GARCIA</t>
  </si>
  <si>
    <t>TEXTILES_PRENDAS_VESTIR_JOYAS_CALZADO{0,ELEMENTS(DATAINCOLUMN$@$,CATALOGCOLUMN81,1,520,@s@,521,@s@,522,@s@,523,@s@,524,@s@,527,@s@,528,@s@)}</t>
  </si>
  <si>
    <t>3013 - COSTOS Y/O POR REEMBOLSOS</t>
  </si>
  <si>
    <t>FRANCIA - EURO</t>
  </si>
  <si>
    <t>5.2 - COMERCIO AL POR MENOR: BEBIDAS CON CONTENIDO ALCOHÓLICO; ALCOHOL Y TABACOS AL POR MENOR</t>
  </si>
  <si>
    <t>43 - SIEMBRA; CULTIVO Y COSECHA DE ALGODÓN</t>
  </si>
  <si>
    <t>1159 - SOCIEDADES OPERADORAS DE SOCIEDADES DE INVERSIÓN</t>
  </si>
  <si>
    <t>2279 - CONSULTORIOS DENTALES DEL SECTOR PRIVADO QUE NO CUENTEN CON TÍTULO DE MÉDICO CONFORME A LAS LEYES.</t>
  </si>
  <si>
    <t>71 - OAXACA “1” / OAXACA</t>
  </si>
  <si>
    <t>PERFUMERIA_FARMACIA_JUGUE_ART_DEPO{0,ELEMENTS(DATAINCOLUMN$@$,CATALOGCOLUMN82,1,525,@s@,526,@s@,530,@s@,531,@s@)}</t>
  </si>
  <si>
    <t>3014 - INVERSIONES EN OTROS GASTOS Y CARGOS DIFERIDOS</t>
  </si>
  <si>
    <t>GHANA - CEDI</t>
  </si>
  <si>
    <t>5.3 - COMERCIO AL POR MAYOR: TEXTILES; PRENDAS DE VESTIR; JOYAS Y CALZADO AL POR MENOR</t>
  </si>
  <si>
    <t>44 - SIEMBRA; CULTIVO Y COSECHA DE CAÑA DE AZÚCAR</t>
  </si>
  <si>
    <t>1160 - OTRAS INSTITUCIONES FINANCIERAS CUYA ACTIVIDAD SEA LA INTERMEDIACIÓN BURSÁTIL</t>
  </si>
  <si>
    <t>23 - PUEBLA “1” / PUEBLA NORTE</t>
  </si>
  <si>
    <t>MAQ_EQUI_INDUS_ELEC_COMER_DOMES_TRANS{0,ELEMENTS(DATAINCOLUMN$@$,CATALOGCOLUMN83,1,537,@s@,542,@s@,546,@s@,548,@s@,550,@s@,556,@s@,557,@s@,558,@s@,559,@s@,561,@s@,562,@s@,563,@s@,564,@s@,565,@s@,566,@s@,567,@s@)}</t>
  </si>
  <si>
    <t>3015 - INVERSIONES POR ADQUIRIR ACCIONES</t>
  </si>
  <si>
    <t>GRAN BRETAÑA - LIBRA ESTERLINA</t>
  </si>
  <si>
    <t>5.4 - COMERCIO AL POR MAYOR: PERFUMERÍA; FARMACIA; JUGUETES; REGALOS; ARTÍCULOS NATURISTAS Y DEPORTIVOS AL POR MENOR</t>
  </si>
  <si>
    <t>45 - SIEMBRA; CULTIVO Y COSECHA DE ALFALFA</t>
  </si>
  <si>
    <t>1162 - TRANSMISORES; DISPERSORES DE DINERO. DISPERSORES</t>
  </si>
  <si>
    <t>21 - PUEBLA “2” / PUEBLA SUR</t>
  </si>
  <si>
    <t>PAPELERIA_PAPEL_MADERA_CONSTRU_DES{0,ELEMENTS(DATAINCOLUMN$@$,CATALOGCOLUMN84,1,172,@s@,173,@s@,532,@s@,533,@s@,534,@s@,540,@s@,541,@s@,543,@s@,544,@s@,545,@s@,547,@s@,551,@s@,552,@s@,553,@s@,554,@s@,555,@s@)}</t>
  </si>
  <si>
    <t>3016 - ANTICIPOS DE GASTOS</t>
  </si>
  <si>
    <t>GRECIA - EURO</t>
  </si>
  <si>
    <t>5.5 - COMERCIO AL POR MAYOR: MAQUINARIA Y EQUIPO INDUSTRIAL; ELÉCTRICO; COMERCIAL; DOMÉSTICO Y DE TRANSPORTE AL POR MENOR</t>
  </si>
  <si>
    <t>46 - SIEMBRA; CULTIVO Y COSECHA DE TRÉBOL; PASTOS Y ZACATES</t>
  </si>
  <si>
    <t>1163 - TRANSMISORES; DISPERSORES DE DINERO. PAGADORES</t>
  </si>
  <si>
    <t>4 - QUERETARO “1” / QUERETARO</t>
  </si>
  <si>
    <t>OTROS_PRODUC_SERV_MAYOR{0,ELEMENTS(DATAINCOLUMN$@$,CATALOGCOLUMN85,1,529,@s@,538,@s@,539,@s@,549,@s@,560,@s@,568,@s@,569,@s@,570,@s@)}</t>
  </si>
  <si>
    <t>3100- OTROS PAGOS [ESPECIFICAR]</t>
  </si>
  <si>
    <t>GUATEMALA - QUETZAL</t>
  </si>
  <si>
    <t>5.6 - COMERCIO AL POR MAYOR: AUTOTRANSPORTE Y REFACCIONES; GAS; GASOLINA Y DIESEL AL POR MENOR</t>
  </si>
  <si>
    <t>47 - SIEMBRA; CULTIVO Y COSECHA DE COCO Y COQUITO DE ACEITE</t>
  </si>
  <si>
    <t>2237 - INVERSIÓN EN SOCIEDADES MEXICANAS RESIDENTES EN MÉXICO NO LISTADAS EN LA BOLSA AL MOMENTO DE LA INVERSIÓN</t>
  </si>
  <si>
    <t>77 - QUINTANA ROO “1” / CHETUMAL</t>
  </si>
  <si>
    <t>ABARROTES_CARNES_PESCADO_LECHE_FRUT_VER{0,ELEMENTS(DATAINCOLUMN$@$,CATALOGCOLUMN86,1,0571,,0587,,0588,,0589,,0590,,0591,,0592,,0593,,0594,,0595,,0599,,2230,@s@,2232,@s@,2234,@s@,2247,@s@,2248,@s@,2274,@s@,2275,@s@,2276,@s@,2295,@s@,2315,@s@,2316,@s@,2317,@s@,2348,@s@)}</t>
  </si>
  <si>
    <t>GUYANA - DOLAR</t>
  </si>
  <si>
    <t>5.7 - COMERCIO AL POR MAYOR: LENTES; LIBROS; PAPELERÍA; SÚPER Y MINISÚPER AL POR MENOR</t>
  </si>
  <si>
    <t>48 - SIEMBRA; CULTIVO Y COSECHA DE CACAHUATE</t>
  </si>
  <si>
    <t>2282 - SOCIEDADES FINANCIERAS POPULARES</t>
  </si>
  <si>
    <t>73 - QUINTANA ROO “2” / CANCUN</t>
  </si>
  <si>
    <t>BEB_ALCOHOL_TABACO_MENOR{0,ELEMENTS(DATAINCOLUMN$@$,CATALOGCOLUMN87,1,0582,,0596,,0597,,0598,,0600,,2227,@s@,2228,@s@,2229,@s@,2231,@s@,2233,@s@,2270,@s@,2271,@s@,2272,@s@,2273,@s@,2314,@s@)}</t>
  </si>
  <si>
    <t>HAITI - GOURDE</t>
  </si>
  <si>
    <t>5.8 - COMERCIO AL POR MAYOR: OTROS PRODUCTOS AL POR MENOR</t>
  </si>
  <si>
    <t>49 - SIEMBRA; CULTIVO Y COSECHA DE AGAVE O MAGUEY TEQUILERO</t>
  </si>
  <si>
    <t>2283 - ADMINISTRADORAS DE FONDOS PARA EL RETIRO</t>
  </si>
  <si>
    <t>6 - SAN LUIS POTOSI “1” / SAN LUIS POTOSI</t>
  </si>
  <si>
    <t>TEX_PRED_JOYAS_CALZADO_MENOR{0,ELEMENTS(DATAINCOLUMN$@$,CATALOGCOLUMN88,1,604,@s@,605,@s@,606,@s@,607,@s@,608,@s@,609,@s@,610,@s@,611,@s@,612,@s@,619,@s@,623,@s@,641,@s@)}</t>
  </si>
  <si>
    <t>HOLANDA - EURO</t>
  </si>
  <si>
    <t>6.1 - TRANSPORTE: AÉREO; MARÍTIMO Y FERROCARRIL</t>
  </si>
  <si>
    <t>50 - SIEMBRA; CULTIVO Y COSECHA DE OTROS CULTIVOS</t>
  </si>
  <si>
    <t>2286 - SOCIEDADES FINANCIERAS DE OBJETO MÚLTIPLE</t>
  </si>
  <si>
    <t>44 - SINALOA “1” / CULIACAN</t>
  </si>
  <si>
    <t>PERF_FAR_JUG_REG_ART_MENOR{0,ELEMENTS(DATAINCOLUMN$@$,CATALOGCOLUMN89,1,613,@s@,614,@s@,615,@s@,618,@s@,630,@s@)}</t>
  </si>
  <si>
    <t>HONDURAS - LEMPIRA</t>
  </si>
  <si>
    <t>6.2 - TRANSPORTE: TERRESTRE DE CARGA</t>
  </si>
  <si>
    <t>2294 - CASAS DE PRÉSTAMO Y EMPEÑO</t>
  </si>
  <si>
    <t>49 - SINALOA “2” / MAZATLAN</t>
  </si>
  <si>
    <t>MAQ_EQUI_IND_ELEC_COM_DOM_MENOR{0,ELEMENTS(DATAINCOLUMN$@$,CATALOGCOLUMN90,1,621,@s@,622,@s@,624,@s@,637,@s@,638,@s@,644,@s@,645,@s@,646,@s@,647,@s@,648,@s@,649,@s@,650,@s@)}</t>
  </si>
  <si>
    <t>HONG KONG - DOLAR</t>
  </si>
  <si>
    <t>6.3 - TRANSPORTE: TERRESTRE DE PASAJE Y TURISMO</t>
  </si>
  <si>
    <t>2301 - SOCIEDADES MUTUALISTAS</t>
  </si>
  <si>
    <t>48 - SINALOA “3” / LOS MOCHIS</t>
  </si>
  <si>
    <t>AUTOTRANS_REFAC_GAS_DISEL_MENOR{0,ELEMENTS(DATAINCOLUMN$@$,CATALOGCOLUMN91,1,0652,,0653,,0654,,0655,,0656,,0657,,0658,,0659,,0660,,0661,,0662,,1145,@s@,1146,@s@,2305,@s@)}</t>
  </si>
  <si>
    <t>HUNGRIA - FORIN</t>
  </si>
  <si>
    <t>6.4 - TRANSPORTE: POR DUCTOS</t>
  </si>
  <si>
    <t>2307 - SOCIEDADES COOPERATIVAS DE AHORRO Y PRÉSTAMO</t>
  </si>
  <si>
    <t>46 - SONORA “1” / HERMOSILLO</t>
  </si>
  <si>
    <t>LENTES_LIB_PAPE_MINISUPER_MENOR{0,ELEMENTS(DATAINCOLUMN$@$,CATALOGCOLUMN92,1,601,@s@,602,@s@,603,@s@,616,@s@,625,@s@,626,@s@,627,@s@,633,@s@,651,@s@)}</t>
  </si>
  <si>
    <t>INDIA - RUPIA</t>
  </si>
  <si>
    <t>6.5 - TRANSPORTE: SERVICIOS RELACIONADOS CON EL AUTOTRANSPORTE</t>
  </si>
  <si>
    <t>2308 - SOCIEDADES FINANCIERAS COMUNITARIAS</t>
  </si>
  <si>
    <t>45 - SONORA “2” / CIUDAD OBREGON</t>
  </si>
  <si>
    <t>OTROS_PRODUC_MENOR{0,ELEMENTS(DATAINCOLUMN$@$,CATALOGCOLUMN93,1,0617,,0620,,0629,,0631,,0632,,0634,,0635,,0636,,0639,,0640,,0642,,0643,,0663,,0664,,0665,,2246,@s@,2344,@s@,2346,@s@,2401,@s@)}</t>
  </si>
  <si>
    <t>INDONESIA - RUPIA</t>
  </si>
  <si>
    <t>6.6 - TRANSPORTE: MENSAJERÍA Y ALMACENAMIENTO</t>
  </si>
  <si>
    <t>2309 - ORGANISMOS DE INTEGRACIÓN FINANCIERA RURAL</t>
  </si>
  <si>
    <t>50 - SONORA “3” / NOGALES</t>
  </si>
  <si>
    <t>AEREO_MARITIMO_FERROCARRIL{0,ELEMENTS(DATAINCOLUMN$@$,CATALOGCOLUMN94,1,666,@s@,667,@s@,668,@s@,669,@s@,670,@s@,671,@s@,672,@s@,673,@s@,706,@s@)}</t>
  </si>
  <si>
    <t>IRAK - DINAR</t>
  </si>
  <si>
    <t>7.1 - COMUNICACIÓN: MEDIOS IMPRESOS; BIBLIOTECAS Y DE INFORMACIÓN</t>
  </si>
  <si>
    <t>74 - TABASCO “1” / VILLAHERMOSA</t>
  </si>
  <si>
    <t>TERRESTRE_CARGA{0,ELEMENTS(DATAINCOLUMN$@$,CATALOGCOLUMN95,1,674,@s@,675,@s@,676,@s@,677,@s@,678,@s@,679,@s@,680,@s@,681,@s@,682,@s@,683,@s@,684,@s@,685,@s@,686,@s@,687,@s@,688,@s@)}</t>
  </si>
  <si>
    <t>IRAN - RIYAL</t>
  </si>
  <si>
    <t>7.2 - COMUNICACIÓN: RADIO; TELEVISIÓN; CINE Y MÚSICA</t>
  </si>
  <si>
    <t>39 - TAMAULIPAS “1” / CIUDAD VICTORIA</t>
  </si>
  <si>
    <t>TERRESTRE_PASAJE_TURISMO{0,ELEMENTS(DATAINCOLUMN$@$,CATALOGCOLUMN96,1,0689,,0690,,0691,,0692,,0693,,0694,,0695,,0696,,0697,,0700,,0705,,0707,,2362,@s@)}</t>
  </si>
  <si>
    <t>IRLANDA - EURO</t>
  </si>
  <si>
    <t>7.3 - COMUNICACIÓN: TELECOMUNICACIONES</t>
  </si>
  <si>
    <t>38 - TAMAULIPAS “2” / MATAMOROS</t>
  </si>
  <si>
    <t>POR_DUCTOS{0,ELEMENTS(DATAINCOLUMN$@$,CATALOGCOLUMN97,1,701,@s@,702,@s@,703,@s@,704,@s@)}</t>
  </si>
  <si>
    <t>ISLANDIA - CORONA</t>
  </si>
  <si>
    <t>7.4 - COMUNICACIÓN: OTROS SERVICIOS RELACIONADOS CON LA COMUNICACIÓN</t>
  </si>
  <si>
    <t>37 - TAMAULIPAS “3” / NUEVO LAREDO</t>
  </si>
  <si>
    <t>SERVICIOS_RELAC_AUTOTRANSP{0,ELEMENTS(DATAINCOLUMN$@$,CATALOGCOLUMN98,1,0698,,0699,,0708,,0709,,0710,,0711,,0712,,0713,,0714,,0715,,0716,,0717,,0718,,0719,,0721,,0722,,2298,@s@)}</t>
  </si>
  <si>
    <t>ISRAEL - SHEKEL</t>
  </si>
  <si>
    <t>8.1 - SERVICIOS: APOYO A ACTIVIDADES AGROPECUARIAS Y FORESTALES</t>
  </si>
  <si>
    <t>32 - TAMAULIPAS “4” / REYNOSA</t>
  </si>
  <si>
    <t>MENSAJERIA_ALMACENAMIENTO{0,ELEMENTS(DATAINCOLUMN$@$,CATALOGCOLUMN99,1,723,@s@,724,@s@,725,@s@,727,@s@,728,@s@,729,@s@,730,@s@)}</t>
  </si>
  <si>
    <t>ITALIA - EURO</t>
  </si>
  <si>
    <t>8.2 - SERVICIOS: APOYO A LA CONSTRUCCIÓN</t>
  </si>
  <si>
    <t>33 - TAMAULIPAS “5” / TAMPICO</t>
  </si>
  <si>
    <t>MEDIOS_IMPR_BIBLIO_INFORMACION{0,ELEMENTS(DATAINCOLUMN$@$,CATALOGCOLUMN100,1,731,@s@,732,@s@,733,@s@,734,@s@,735,@s@,736,@s@,737,@s@,738,@s@,739,@s@,740,@s@,768,@s@,769,@s@,770,@s@)}</t>
  </si>
  <si>
    <t>JAMAICA - DOLAR</t>
  </si>
  <si>
    <t>8.3 - SERVICIOS: FINANCIEROS</t>
  </si>
  <si>
    <t>22 - TLAXCALA “1” / TLAXCALA</t>
  </si>
  <si>
    <t>RADIO_TV_CINE_MUSICA{0,ELEMENTS(DATAINCOLUMN$@$,CATALOGCOLUMN101,1,742,@s@,743,@s@,744,@s@,745,@s@,746,@s@,747,@s@,748,@s@,749,@s@,750,@s@,751,@s@,752,@s@,753,@s@,754,@s@,755,@s@,763,@s@)}</t>
  </si>
  <si>
    <t>JAPON - YEN</t>
  </si>
  <si>
    <t>8.4 - SERVICIOS: ALQUILER</t>
  </si>
  <si>
    <t>24 - VERACRUZ “1” / XALAPA</t>
  </si>
  <si>
    <t>TELECOMUNICACIONES{0,ELEMENTS(DATAINCOLUMN$@$,CATALOGCOLUMN102,1,0757,,0758,,0759,,0760,,0761,,0762,,0764,,2277,@s@)}</t>
  </si>
  <si>
    <t>JORDANIA - DINAR</t>
  </si>
  <si>
    <t>8.5 - SERVICIOS: PROFESIONALES</t>
  </si>
  <si>
    <t>25 - VERACRUZ “2” / VERACRUZ</t>
  </si>
  <si>
    <t>OTROS_SERVICIOS_RELAC_COMUNICACION{0,ELEMENTS(DATAINCOLUMN$@$,CATALOGCOLUMN103,1,741,@s@,756,@s@,765,@s@,766,@s@,767,@s@)}</t>
  </si>
  <si>
    <t>KENYA - CHELIN</t>
  </si>
  <si>
    <t>8.6 - SERVICIOS: TÉCNICOS</t>
  </si>
  <si>
    <t>29 - VERACRUZ “3” / CORDOBA</t>
  </si>
  <si>
    <t>OTROS_INGRESOS{0,ELEMENTS(DATAINCOLUMN$@$,CATALOGCOLUMN104,1,0167,,0168,,0169,,0170,,0171,,0800,,0830,,0875,,0876,,0877,,0878,,0879,,0880,,0881,,0882,,0883,,1141,@s@,1142,@s@,1144,@s@,2326,@s@,2327,@s@)}</t>
  </si>
  <si>
    <t>KUWAIT - DINAR</t>
  </si>
  <si>
    <t>8.7 - SERVICIOS: EDUCATIVOS</t>
  </si>
  <si>
    <t>26 - VERACRUZ “4” / COATZACOALCOS</t>
  </si>
  <si>
    <t>EXCLUSIVAS_SECTOR_GOBIERNO{0,ELEMENTS(DATAINCOLUMN$@$,CATALOGCOLUMN105,1,1121,@s@,1122,@s@,1123,@s@,1124,@s@,1125,@s@,1126,@s@,1127,@s@,1128,@s@,1129,@s@,1130,@s@,1131,@s@,1132,@s@,1133,@s@,1134,@s@,1135,@s@,1136,@s@,1137,@s@,1138,@s@,1139,@s@,1140,@s@)}</t>
  </si>
  <si>
    <t>LETONIA - EURO</t>
  </si>
  <si>
    <t>8.8 - SERVICIOS: SALUD</t>
  </si>
  <si>
    <t>34 - VERACRUZ “5” / TUXPAN</t>
  </si>
  <si>
    <t>APOYO_ACT_AGROP_FORESTALES{0,ELEMENTS(DATAINCOLUMN$@$,CATALOGCOLUMN106,1,080,,081,,082,,083,,084,,085,,086,,087,,088,,184,@s@,206,@s@,218,@s@,219,@s@,2300,@s@)}</t>
  </si>
  <si>
    <t>LIBANO - LIBRA</t>
  </si>
  <si>
    <t>8.9 - SERVICIOS: ASISTENCIA O REHABILITACIÓN; CULTURALES Y ECOLÓGICAS</t>
  </si>
  <si>
    <t>75 - YUCATAN “1” / MERIDA</t>
  </si>
  <si>
    <t>APOYO_CONTRUCCION{0,ELEMENTS(DATAINCOLUMN$@$,CATALOGCOLUMN107,1,126,@s@,130,@s@,133,@s@,137,@s@,142,@s@,146,@s@,147,@s@,149,@s@,150,@s@,152,@s@,156,@s@,158,@s@,159,@s@,160,@s@,161,@s@,162,@s@,163,@s@,164,@s@,165,@s@,166,@s@,174,@s@,175,@s@,176,@s@,177,@s@,178,@s@,179,@s@,180,@s@,181,@s@,182,@s@)}</t>
  </si>
  <si>
    <t>LIBIA - DINAR</t>
  </si>
  <si>
    <t>8.10 - SERVICIOS: ORIENTACIÓN; CAPACITACIÓN Y GUARDERÍAS</t>
  </si>
  <si>
    <t>56 - ZACATECAS “1” / ZACATECAS</t>
  </si>
  <si>
    <t>FINANCIEROS{0,ELEMENTS(DATAINCOLUMN$@$,CATALOGCOLUMN109,1,0477,,0726,,0772,,0773,,0774,,0775,,0776,,0777,,0778,,0779,,0780,,0781,,0782,,0783,,0784,,0785,,0786,,0787,,0788,,0789,,0790,,0791,,0792,,0793,,0794,,0795,,0796,,0797,,0798,,0799,,0801,,1147,@s@,1148,@s@,1149,@s@,1150,@s@,1151,@s@,1152,@s@,1153,@s@,1154,@s@,1155,@s@,1156,@s@,1157,@s@,1159,@s@,1160,@s@,1162,@s@,1163,@s@,2237,@s@,2282,@s@,2283,@s@,2286,@s@,2294,@s@,2301,@s@,2307,@s@,2308,@s@,2309,@s@)}</t>
  </si>
  <si>
    <t>LITUANIA - LITAS</t>
  </si>
  <si>
    <t>8.11 - SERVICIOS: AGENCIAS; INVESTIGACIÓN DE MERCADO; PUBLICIDAD Y TURISMO</t>
  </si>
  <si>
    <t>ALQUILER{0,ELEMENTS(DATAINCOLUMN$@$,CATALOGCOLUMN110,1,0802,,0803,,0804,,0805,,0806,,0807,,0808,,0809,,0813,,0814,,0815,,0816,,0817,,0818,,0819,,0820,,0821,,0822,,0823,,0824,,0825,,0826,,0827,,0828,,0829,,2224,@s@)}</t>
  </si>
  <si>
    <t>LOS DEMAS PAISES - OTRAS MONEDAS</t>
  </si>
  <si>
    <t>8.12 - SERVICIOS: APOYO A LOS NEGOCIOS Y MANEJO DE DESECHOS</t>
  </si>
  <si>
    <t>PROFESIONALES{0,ELEMENTS(DATAINCOLUMN$@$,CATALOGCOLUMN111,1,0720,,0831,,0832,,0833,,0834,,0835,,0836,,0837,,0838,,0839,,0840,,0841,,0842,,0844,,0845,,0846,,0847,,0848,,0849,,0850,,0851,,0852,,0853,,0854,,0855,,0871,,2292,@s@,2293,@s@)}</t>
  </si>
  <si>
    <t>LUXEMBURGO - EURO</t>
  </si>
  <si>
    <t>8.13 - SERVICIOS: RECREATIVOS</t>
  </si>
  <si>
    <t>TECNICOS{0,ELEMENTS(DATAINCOLUMN$@$,CATALOGCOLUMN112,1,1078,@s@,1079,@s@,1080,@s@,1081,@s@,1082,@s@,1083,@s@,1084,@s@,1085,@s@,1086,@s@,1087,@s@,1088,@s@,1089,@s@,1090,@s@,1091,@s@,1092,@s@,1093,@s@,1094,@s@,1095,@s@,1096,@s@,1097,@s@,1098,@s@,1099,@s@,1100,@s@,1101,@s@,1102,@s@,1103,@s@)}</t>
  </si>
  <si>
    <t>MALASIA - RINGGIT</t>
  </si>
  <si>
    <t>8.14 - SERVICIOS: JUEGOS Y APUESTAS</t>
  </si>
  <si>
    <t>EDUCATIVOS{0,ELEMENTS(DATAINCOLUMN$@$,CATALOGCOLUMN113,1,0910,,0911,,0912,,0913,,0914,,0915,,0916,,0917,,0918,,0919,,0920,,0921,,0922,,0923,,0924,,0925,,0926,,0927,,0928,,0929,,0930,,0931,,0932,,0933,,0934,,0935,,0936,,0937,,0938,,0939,,0940,,0941,,0942,,0943,,0944,,0945,,0946,,0947,,0948,,2361,@s@)}</t>
  </si>
  <si>
    <t>MALTA - EURO</t>
  </si>
  <si>
    <t>8.15 - SERVICIOS: HOSPEDAJE</t>
  </si>
  <si>
    <t>SALUD{0,ELEMENTS(DATAINCOLUMN$@$,CATALOGCOLUMN114,1,0843,,0867,,0868,,0869,,0870,,0949,,0950,,0951,,0952,,0953,,0954,,0955,,0956,,0957,,0958,,0959,,0960,,0962,,0964,,0965,,0966,,0968,,0969,,0970,,0971,,0972,,0973,,0974,,0975,,0976,,0977,,0978,,0979,,0980,,0981,,0982,,0983,,0984,,0985,,0986,,2250,@s@,2278,@s@,2279,@s@)}</t>
  </si>
  <si>
    <t>MARRUECOS - DIRHAM</t>
  </si>
  <si>
    <t>8.16 - SERVICIOS: ALIMENTOS Y BEBIDAS</t>
  </si>
  <si>
    <t>ASIST_REHAB_CULTURAL_ECOLOG{0,ELEMENTS(DATAINCOLUMN$@$,CATALOGCOLUMN115,1,0987,,0988,,0989,,0990,,0991,,0992,,0993,,0994,,0995,,0996,,0997,,0998,,0999,,1000,@s@,1001,@s@,1003,@s@,1004,@s@,1005,@s@,1006,@s@,1007,@s@,1008,@s@,1009,@s@,2302,@s@,2303,@s@,2304,@s@,2333,@s@,2334,@s@,2335,@s@,2336,@s@,2355,@s@,2357,@s@,2358,@s@,2359,@s@,2360,@s@)}</t>
  </si>
  <si>
    <t>MEXICO - PESO</t>
  </si>
  <si>
    <t>8.17 - SERVICIOS: OTROS SERVICIOS</t>
  </si>
  <si>
    <t>ORIENTACION_CAPACIT_GUARDERIAS{0,ELEMENTS(DATAINCOLUMN$@$,CATALOGCOLUMN116,1,1002,@s@,1010,@s@,1011,@s@,1012,@s@,1013,@s@,2245,@s@)}</t>
  </si>
  <si>
    <t>MONTENEGRO - EURO</t>
  </si>
  <si>
    <t>8.18 - SERVICIOS: CÁMARAS; GREMIOS Y AGRUPACIONES</t>
  </si>
  <si>
    <t>AGEN_INVEST_MERC_PUBL_TURISMO{0,ELEMENTS(DATAINCOLUMN$@$,CATALOGCOLUMN117,1,856,@s@,857,@s@,858,@s@,859,@s@,860,@s@,861,@s@,862,@s@,863,@s@,864,@s@,884,@s@,885,@s@,886,@s@,887,@s@,892,@s@,895,@s@,896,@s@,897,@s@,906,@s@)}</t>
  </si>
  <si>
    <t>NICARAGUA - CORDOBA</t>
  </si>
  <si>
    <t>8.19 - SERVICIOS: SERVICIOS INMOBILIARIOS Y DE ADMINISTRACIÓN DE INMUEBLES</t>
  </si>
  <si>
    <t>APOYO_NEG_MANEJO_DESECHOS{0,ELEMENTS(DATAINCOLUMN$@$,CATALOGCOLUMN118,1,0890,,0891,,0898,,0899,,0900,,0901,,0902,,0903,,0904,,0905,,0907,,0908,,0909,,1161,@s@)}</t>
  </si>
  <si>
    <t>NIGERIA [FED] - NAIRA</t>
  </si>
  <si>
    <t>8.20 - SERVICIOS: GUÍA DE TURISMO</t>
  </si>
  <si>
    <t>RECREATIVOS{0,ELEMENTS(DATAINCOLUMN$@$,CATALOGCOLUMN119,1,079,,1014,@s@,1015,@s@,1016,@s@,1017,@s@,1018,@s@,1019,@s@,1020,@s@,1021,@s@,1022,@s@,1023,@s@,1024,@s@,1025,@s@,1026,@s@,1027,@s@,1028,@s@,1031,@s@,1032,@s@,1033,@s@,1034,@s@,1035,@s@,1036,@s@,1037,@s@,1038,@s@,1043,@s@,1044,@s@,1045,@s@,1046,@s@,1047,@s@,1048,@s@,1049,@s@,1050,@s@,1051,@s@,1052,@s@,1053,@s@,1054,@s@,1055,@s@,2268,@s@,2280,@s@,2281,@s@)}</t>
  </si>
  <si>
    <t>NORUEGA - CORONA</t>
  </si>
  <si>
    <t>8.21 - SERVICIOS: OTROS SERVICIOS DE APOYO</t>
  </si>
  <si>
    <t>JUEGOS_APUESTAS{0,ELEMENTS(DATAINCOLUMN$@$,CATALOGCOLUMN120,1,1039,@s@,1040,@s@,1041,@s@,1042,@s@,2299,@s@,2306,@s@)}</t>
  </si>
  <si>
    <t>NUEVA ZELANDA - DOLAR</t>
  </si>
  <si>
    <t>9.1 - OTROS INGRESOS: OTROS INGRESOS</t>
  </si>
  <si>
    <t>HOSPEDAJE{0,ELEMENTS(DATAINCOLUMN$@$,CATALOGCOLUMN121,1,1056,@s@,1057,@s@,1058,@s@,1059,@s@,1060,@s@,1061,@s@,1062,@s@,1063,@s@,1064,@s@,1065,@s@,1066,@s@,2325,@s@)}</t>
  </si>
  <si>
    <t>PAKISTAN - RUPIA</t>
  </si>
  <si>
    <t>10.1 - GOBIERNO: EXCLUSIVAS SECTOR GOBIERNO</t>
  </si>
  <si>
    <t>ALIMENTOS_BEBIDAS{0,ELEMENTS(DATAINCOLUMN$@$,CATALOGCOLUMN122,1,1067,@s@,1068,@s@,1069,@s@,1070,@s@,1071,@s@,1072,@s@,1073,@s@,1074,@s@,1075,@s@,1076,@s@,1077,@s@,2297,@s@)}</t>
  </si>
  <si>
    <t>PALESTINA - SHEKEL</t>
  </si>
  <si>
    <t>OTROS_SERVICIOS14{0,ELEMENTS(DATAINCOLUMN$@$,CATALOGCOLUMN123,1,0865,,0889,,1029,@s@,1030,@s@,1104,@s@,1105,@s@,1106,@s@,1107,@s@,1108,@s@,1109,@s@,1110,@s@,1111,@s@,1112,@s@,2319,@s@,2320,@s@,2321,@s@,2322,@s@,2323,@s@,2324,@s@)}</t>
  </si>
  <si>
    <t>PANAMA - BALBOA</t>
  </si>
  <si>
    <t>CAMARAS_GREMIOS_AGRUPACIONES{0,ELEMENTS(DATAINCOLUMN$@$,CATALOGCOLUMN124,1,1113,@s@,1114,@s@,1115,@s@,1116,@s@,1117,@s@,1118,@s@,1119,@s@,2285,@s@,2287,@s@,2288,@s@,2289,@s@,2290,@s@,2291,@s@,2337,@s@,2338,@s@,2339,@s@,2350,@s@,2351,@s@,2352,@s@,2353,@s@,2354,@s@,2356,@s@)}</t>
  </si>
  <si>
    <t>PARAGUAY - GUARANI</t>
  </si>
  <si>
    <t>SERV_INMOB_ADMON_INMUEBLES{0,ELEMENTS(DATAINCOLUMN$@$,CATALOGCOLUMN125,1,811,@s@,812,@s@)}</t>
  </si>
  <si>
    <t>PERU - N. SOL</t>
  </si>
  <si>
    <t>GUIA_TURISMO{0,ELEMENTS(DATAINCOLUMN$@$,CATALOGCOLUMN126,1,2296,@s@)}</t>
  </si>
  <si>
    <t>POLONIA - ZLOTY</t>
  </si>
  <si>
    <t>OTROS_SERVICIOS_APOYO{0,ELEMENTS(DATAINCOLUMN$@$,CATALOGCOLUMN127,1,0866,,0872,,0873,,0874,,0888,,0893,,0894,,2249,@s@)}</t>
  </si>
  <si>
    <t>PORTUGAL - EURO</t>
  </si>
  <si>
    <t>GEN_SUM_ENER_ELEC_AGUA_GAS{0,ELEMENTS(DATAINCOLUMN$@$,CATALOGCOLUMN128,1,0120,,0121,,0122,,0123,,0124,,0810,,2255,@s@)}</t>
  </si>
  <si>
    <t>PUERTO RICO - DOLAR</t>
  </si>
  <si>
    <t>VIVIENDA_COMERCIAL_INDUSTRIAL{0,ELEMENTS(DATAINCOLUMN$@$,CATALOGCOLUMN129,1,0125,,0128,,0131,,0572,,2239,@s@,2240,@s@,2241,@s@,2242,@s@,2243,@s@,2244,@s@)}</t>
  </si>
  <si>
    <t>REPUBLICA CHECA - CORONA</t>
  </si>
  <si>
    <t>REC_EXP_SUPERFICIAL{0,ELEMENTS(DATAINCOLUMN$@$,CATALOGCOLUMN133,1,2368,@s@)}</t>
  </si>
  <si>
    <t>REPUBLICA DE SERBIA - DINAR</t>
  </si>
  <si>
    <t>EXP_EXTR_HIDROCARBUROS{0,ELEMENTS(DATAINCOLUMN$@$,CATALOGCOLUMN134,1,2369,@s@,2370,@s@)}</t>
  </si>
  <si>
    <t>REPUBLICA DEMOCRATICA DEL CONGO - FRANCO</t>
  </si>
  <si>
    <t>TRAT_REF_ENA_TRANS_ALAMAC_PETR{0,ELEMENTS(DATAINCOLUMN$@$,CATALOGCOLUMN135,1,2371,@s@,2372,@s@,2373,@s@,2374,@s@,2399,@s@)}</t>
  </si>
  <si>
    <t>REPUBLICA DOMINICANA - PESO</t>
  </si>
  <si>
    <t>PROC_COMP_LIC_DESC_REG_{0,ELEMENTS(DATAINCOLUMN$@$,CATALOGCOLUMN136,1,2375,@s@,2376,@s@,2377,@s@,2378,@s@,2379,@s@,2380,@s@,2381,@s@,2382,@s@,2383,@s@,2400,@s@)}</t>
  </si>
  <si>
    <t>REPUBLICA ESLOVACA - EURO</t>
  </si>
  <si>
    <t>TRANS_ALMAC_DISTR_EXPED_PUB_PETROL{0,ELEMENTS(DATAINCOLUMN$@$,CATALOGCOLUMN137,1,2384,@s@,2385,@s@,2386,@s@,2387,@s@)}</t>
  </si>
  <si>
    <t>RUMANIA - LEU</t>
  </si>
  <si>
    <t>TRANS_DUC_ALMAC_VIN_DUC_PETROQ{0,ELEMENTS(DATAINCOLUMN$@$,CATALOGCOLUMN138,1,2388,@s@,2389,@s@)}</t>
  </si>
  <si>
    <t>SINGAPUR - DOLAR</t>
  </si>
  <si>
    <t>IMP_EXP_HIDROC_PETROLIF_PETROQ{0,ELEMENTS(DATAINCOLUMN$@$,CATALOGCOLUMN139,1,2390,@s@,2391,@s@,2392,@s@,2393,@s@,2394,@s@,2395,@s@)}</t>
  </si>
  <si>
    <t>SIRIA - LIBRA</t>
  </si>
  <si>
    <t>COMER_HIDROC_PETROLIF_PETROQ{0,ELEMENTS(DATAINCOLUMN$@$,CATALOGCOLUMN140,1,2396,@s@,2397,@s@,2398,@s@)}</t>
  </si>
  <si>
    <t>SRI-LANKA - RUPIA</t>
  </si>
  <si>
    <t>IMPRESION_MADERA_PAPEL_CARTON_PAÑALES{0,ELEMENTS(DATAINCOLUMN$@$,CATALOGCOLUMN69,1,285,@s@,286,@s@,288,@s@,289,@s@,290,@s@,291,@s@,292,@s@,293,@s@,294,@s@,295,@s@,296,@s@,297,@s@,298,@s@,299,@s@,300,@s@,301,@s@,302,@s@,303,@s@,304,@s@,305,@s@,306,@s@,308,@s@,309,@s@,333,@s@)}</t>
  </si>
  <si>
    <t>SUECIA - CORONA</t>
  </si>
  <si>
    <t>SEDES_ADAF{0,ELEMENTS(DATAINCOLUMN$@$,CATALOGCOLUMN141,1,01,@s@,02,@s@,03,@s@,04,@s@,05,@s@,06,@s@,07,@s@,08,@s@,09,@s@,10,@s@,11,@s@,12,@s@,13,@s@,14,@s@,15,@s@,16,@s@,17,@s@,18,@s@,19,@s@,20,@s@,21,@s@,22,@s@,23,@s@,24,@s@,25,@s@,26,@s@,27,@s@,28,@s@,29,@s@,30,@s@,31,@s@,32,@s@,82,@s@,83,@s@)}</t>
  </si>
  <si>
    <t>SUIZA - FRANCO</t>
  </si>
  <si>
    <t>ADAF_ALAF{0,ELEMENTS(DATAINCOLUMN$@$,CATALOGCOLUMN142,1,82,@s@,83,@s@,61,@s@,42,@s@,41,@s@,47,@s@,43,@s@,40,@s@,72,@s@,76,@s@,78,@s@,54,@s@,53,@s@,52,@s@,51,@s@,57,@s@,62,@s@,11,@s@,12,@s@,14,@s@,13,@s@,55,@s@,7,@s@,2,@s@,1,@s@,27,@s@,30,@s@,5,@s@,63,@s@,66,@s@,67,@s@,65,@s@,68,@s@,16,@s@,15,@s@,3,@s@,8,@s@,28,@s@,64,@s@,36,@s@,31,@s@,35,@s@,71,@s@,23,@s@,21,@s@,4,@s@,77,@s@,73,@s@,6,@s@,44,@s@,49,@s@,48,@s@,46,@s@,45,@s@,50,@s@,74,@s@,39,@s@,38,@s@,37,@s@,32,@s@,33,@s@,22,@s@,24,@s@,25,@s@,29,@s@,26,@s@,34,@s@,75,@s@,56,@s@)}</t>
  </si>
  <si>
    <t>SURINAM - DOLAR</t>
  </si>
  <si>
    <t>SALDO_DEUDOR{0,ELEMENTS(DATAINCOLUMN$@$,CATALOGCOLUMN143,1,01,@s@,02,@s@,03,@s@,04,@s@,05,@s@,06,@s@,07,@s@,08,@s@,09,@s@,10,@s@,11,@s@,12,@s@,13,@s@,14,@s@,15,@s@,16,@s@,17,@s@,18,@s@,19,@s@,20,@s@,21,@s@,22,@s@,23,@s@,24,@s@,25,@s@,26,@s@,27,@s@,28,@s@,29,@s@)}</t>
  </si>
  <si>
    <t>TAILANDIA - BAHT</t>
  </si>
  <si>
    <t>SALDO_ACREEDOR{0,ELEMENTS(DATAINCOLUMN$@$,CATALOGCOLUMN144,1,01,@s@,02,@s@,03,@s@,04,@s@,05,@s@,06,@s@,07,@s@,08,@s@,09,@s@,10,@s@,11,@s@,12,@s@,13,@s@,14,@s@,15,@s@,16,@s@,17,@s@,18,@s@,19,@s@)}</t>
  </si>
  <si>
    <t>TAIWAN - NUEVO DOLAR</t>
  </si>
  <si>
    <t>FRECUENCIA_PAGO{0,ELEMENTS(DATAINCOLUMN$@$,CATALOGCOLUMN145,1,01,@s@,02,@s@,03,@s@,04,@s@,05,@s@)}</t>
  </si>
  <si>
    <t>TANZANIA - CHELIN</t>
  </si>
  <si>
    <t>TIPO_FINANCIAMIENTO{0,ELEMENTS(DATAINCOLUMN$@$,CATALOGCOLUMN146,1,01,@s@,02,@s@,03,@s@,04,@s@,05,@s@,06,@s@,07,@s@,08,@s@,09,@s@,10,@s@,11,@s@,12,@s@,13,@s@,14,@s@)}</t>
  </si>
  <si>
    <t>TRINIDAD Y TOBAGO - DOLAR</t>
  </si>
  <si>
    <t>TURQUIA - LIRA</t>
  </si>
  <si>
    <t>U. MON. EUROPEA - EURO</t>
  </si>
  <si>
    <t>UCRANIA - HRYVNA</t>
  </si>
  <si>
    <t>UNION SUDAFRICANA - RAND</t>
  </si>
  <si>
    <t>URUGUAY - PESO</t>
  </si>
  <si>
    <t>VENEZUELA - BOLIVAR FUERTE</t>
  </si>
  <si>
    <t>VIETNAM - DONG</t>
  </si>
  <si>
    <t>YEMEN [DEM. POP.] - RIAL</t>
  </si>
  <si>
    <t>YUGOSLAVIA - DINAR</t>
  </si>
  <si>
    <t>Contribuyente/A|Contador/B|Representante/C|Generales/D|ANEXO 1/1|ANEXO 2/2|ANEXO 3/3|ANEXO 4/4|ANEXO 5/5|ANEXO 6/6|ANEXO 7/7|ANEXO 8/8|ANEXO 9/9|ANEXO 10/10|ANEXO 11/11|ANEXO 12/12|ANEXO 13/13|ANEXO 14/14|ANEXO 15/15|ANEXO 16/16|ANEXO 17/17|ANEXO 18/18|ANEXO 19/19|ANEXO 20/20|ANEXO 21/21|ANEXO 22/22|ANEXO 23/23|CDF/24|MPT/25</t>
  </si>
  <si>
    <t>Soporte</t>
  </si>
  <si>
    <t>Información y Ventas</t>
  </si>
  <si>
    <t>Consultas</t>
  </si>
  <si>
    <t>Teléfono</t>
  </si>
  <si>
    <t>Manual en línea</t>
  </si>
  <si>
    <t>01 (55) 5677 3812</t>
  </si>
  <si>
    <t>Síguenos</t>
  </si>
  <si>
    <t>Email</t>
  </si>
  <si>
    <t>ventas@dsoft.mx</t>
  </si>
  <si>
    <t>contacto@dsoft.mx</t>
  </si>
  <si>
    <t>CATALOGCOLUMN55</t>
  </si>
  <si>
    <t>CATALOGCOLUMN56</t>
  </si>
  <si>
    <t>CATALOGCOLUMN57</t>
  </si>
  <si>
    <t>CATALOGCOLUMN58</t>
  </si>
  <si>
    <t>CATALOGCOLUMN59</t>
  </si>
  <si>
    <t>CATALOGCOLUMN128</t>
  </si>
  <si>
    <t>CATALOGCOLUMN133</t>
  </si>
  <si>
    <t>CATALOGCOLUMN134</t>
  </si>
  <si>
    <t>CATALOGCOLUMN135</t>
  </si>
  <si>
    <t>CATALOGCOLUMN136</t>
  </si>
  <si>
    <t>CATALOGCOLUMN137</t>
  </si>
  <si>
    <t>CATALOGCOLUMN138</t>
  </si>
  <si>
    <t>CATALOGCOLUMN139</t>
  </si>
  <si>
    <t>CATALOGCOLUMN140</t>
  </si>
  <si>
    <t>CATALOGCOLUMN129</t>
  </si>
  <si>
    <t>CATALOGCOLUMN60</t>
  </si>
  <si>
    <t>CATALOGCOLUMN61</t>
  </si>
  <si>
    <t>CATALOGCOLUMN62</t>
  </si>
  <si>
    <t>CATALOGCOLUMN63</t>
  </si>
  <si>
    <t>CATALOGCOLUMN64</t>
  </si>
  <si>
    <t>CATALOGCOLUMN65</t>
  </si>
  <si>
    <t>CATALOGCOLUMN66</t>
  </si>
  <si>
    <t>CATALOGCOLUMN67</t>
  </si>
  <si>
    <t>CATALOGCOLUMN68</t>
  </si>
  <si>
    <t>CATALOGCOLUMN69</t>
  </si>
  <si>
    <t>CATALOGCOLUMN70</t>
  </si>
  <si>
    <t>CATALOGCOLUMN71</t>
  </si>
  <si>
    <t>CATALOGCOLUMN72</t>
  </si>
  <si>
    <t>CATALOGCOLUMN73</t>
  </si>
  <si>
    <t>CATALOGCOLUMN74</t>
  </si>
  <si>
    <t>CATALOGCOLUMN75</t>
  </si>
  <si>
    <t>CATALOGCOLUMN76</t>
  </si>
  <si>
    <t>CATALOGCOLUMN77</t>
  </si>
  <si>
    <t>CATALOGCOLUMN78</t>
  </si>
  <si>
    <t>CATALOGCOLUMN79</t>
  </si>
  <si>
    <t>CATALOGCOLUMN80</t>
  </si>
  <si>
    <t>CATALOGCOLUMN81</t>
  </si>
  <si>
    <t>CATALOGCOLUMN82</t>
  </si>
  <si>
    <t>CATALOGCOLUMN83</t>
  </si>
  <si>
    <t>CATALOGCOLUMN84</t>
  </si>
  <si>
    <t>CATALOGCOLUMN85</t>
  </si>
  <si>
    <t>CATALOGCOLUMN86</t>
  </si>
  <si>
    <t>CATALOGCOLUMN87</t>
  </si>
  <si>
    <t>CATALOGCOLUMN88</t>
  </si>
  <si>
    <t>CATALOGCOLUMN89</t>
  </si>
  <si>
    <t>CATALOGCOLUMN90</t>
  </si>
  <si>
    <t>CATALOGCOLUMN91</t>
  </si>
  <si>
    <t>CATALOGCOLUMN92</t>
  </si>
  <si>
    <t>CATALOGCOLUMN93</t>
  </si>
  <si>
    <t>CATALOGCOLUMN94</t>
  </si>
  <si>
    <t>CATALOGCOLUMN95</t>
  </si>
  <si>
    <t>CATALOGCOLUMN96</t>
  </si>
  <si>
    <t>CATALOGCOLUMN97</t>
  </si>
  <si>
    <t>CATALOGCOLUMN98</t>
  </si>
  <si>
    <t>CATALOGCOLUMN99</t>
  </si>
  <si>
    <t>CATALOGCOLUMN100</t>
  </si>
  <si>
    <t>CATALOGCOLUMN101</t>
  </si>
  <si>
    <t>CATALOGCOLUMN102</t>
  </si>
  <si>
    <t>CATALOGCOLUMN103</t>
  </si>
  <si>
    <t>CATALOGCOLUMN106</t>
  </si>
  <si>
    <t>CATALOGCOLUMN107</t>
  </si>
  <si>
    <t>CATALOGCOLUMN109</t>
  </si>
  <si>
    <t>CATALOGCOLUMN110</t>
  </si>
  <si>
    <t>CATALOGCOLUMN111</t>
  </si>
  <si>
    <t>CATALOGCOLUMN112</t>
  </si>
  <si>
    <t>CATALOGCOLUMN113</t>
  </si>
  <si>
    <t>CATALOGCOLUMN114</t>
  </si>
  <si>
    <t>CATALOGCOLUMN115</t>
  </si>
  <si>
    <t>CATALOGCOLUMN116</t>
  </si>
  <si>
    <t>CATALOGCOLUMN117</t>
  </si>
  <si>
    <t>CATALOGCOLUMN118</t>
  </si>
  <si>
    <t>CATALOGCOLUMN119</t>
  </si>
  <si>
    <t>CATALOGCOLUMN120</t>
  </si>
  <si>
    <t>CATALOGCOLUMN121</t>
  </si>
  <si>
    <t>CATALOGCOLUMN122</t>
  </si>
  <si>
    <t>CATALOGCOLUMN123</t>
  </si>
  <si>
    <t>CATALOGCOLUMN124</t>
  </si>
  <si>
    <t>CATALOGCOLUMN125</t>
  </si>
  <si>
    <t>CATALOGCOLUMN126</t>
  </si>
  <si>
    <t>CATALOGCOLUMN127</t>
  </si>
  <si>
    <t>CATALOGCOLUMN104</t>
  </si>
  <si>
    <t>CATALOGCOLUMN105</t>
  </si>
  <si>
    <t>ADMIN_GRANDES</t>
  </si>
  <si>
    <t>ADMIN_HIDROCARBUROS</t>
  </si>
  <si>
    <t>ADMIN_AGUASCA</t>
  </si>
  <si>
    <t>ADMIN_BAJACAL</t>
  </si>
  <si>
    <t>ADMIN_BAJACALSUR</t>
  </si>
  <si>
    <t>ADMIN_CAMPECHE</t>
  </si>
  <si>
    <t>ADMIN_COAHUILA</t>
  </si>
  <si>
    <t>ADMIN_COLIMA</t>
  </si>
  <si>
    <t>ADMIN_CHIAPAS</t>
  </si>
  <si>
    <t>ADMIN_CHIHUAHUA</t>
  </si>
  <si>
    <t>ADMIN_DURANGO</t>
  </si>
  <si>
    <t>ADMIN_GUANAJUATO</t>
  </si>
  <si>
    <t>ADMIN_GUERRERO</t>
  </si>
  <si>
    <t>ADMIN_HIDALGO</t>
  </si>
  <si>
    <t>ADMIN_JALISCO</t>
  </si>
  <si>
    <t>ADMIN_MEXICO</t>
  </si>
  <si>
    <t>ADMIN_MICHOACAN</t>
  </si>
  <si>
    <t>ADMIN_MORELOS</t>
  </si>
  <si>
    <t>ADMIN_NAYARIT</t>
  </si>
  <si>
    <t>ADMIN_NUEVOLEON</t>
  </si>
  <si>
    <t>ADMIN_OAXACA</t>
  </si>
  <si>
    <t>ADMIN_QUERETARO</t>
  </si>
  <si>
    <t>ADMIN_PUEBLA</t>
  </si>
  <si>
    <t>ADMIN_SANLUISPOTOSI</t>
  </si>
  <si>
    <t>ADMIN_SINALOA</t>
  </si>
  <si>
    <t>ADMIN_SONORA</t>
  </si>
  <si>
    <t>ADMIN_TABASCO</t>
  </si>
  <si>
    <t>ADMIN_TAMAULIPAS</t>
  </si>
  <si>
    <t>ADMIN_TLAXCALA</t>
  </si>
  <si>
    <t>ADMIN_VERACRUZ</t>
  </si>
  <si>
    <t>ADMIN_YUCATAN</t>
  </si>
  <si>
    <t>ADMIN_ZACATECAS</t>
  </si>
  <si>
    <t>ADMIN_DISTRITOFEDERAL</t>
  </si>
  <si>
    <t>ADMIN_QUINTANAROO</t>
  </si>
  <si>
    <t>OPTO POR DICTAMINAR SUS ESTADOS FINANCIEROS POR INGRESOS ACUMULABLES (ARTICULO 32-A CFF)</t>
  </si>
  <si>
    <t>OPTO POR DICTAMINAR SUS ESTADOS FINANCIEROS POR EL VALOR DE SU ACTIVO (ARTICULO 32-A CFF)</t>
  </si>
  <si>
    <t>OPTO POR DICTAMINAR SUS ESTADOS FINANCIEROS POR EL NUMERO DE TRABAJADORES (ARTICULO 32-A CFF)</t>
  </si>
  <si>
    <t>EN EL EJERCICIO DISMINUYO PERDIDAS FISCALES PENDIENTES DE APLICAR DE EJERCICIOS ANTERIORES A QUE SE REFIERE LA FRACCION II DEL ARTICULO 9 DE LA LISR (EN CASO AFIRMATIVO DEBE LLENAR EL ANEXO 23)</t>
  </si>
  <si>
    <t>APLICO LA OPCION A QUE SE REFIERE EL ARTICULO SEGUNDO, FRACCION VIII, DE LAS DISPOSICIONES TRANSITORIAS DE LA LISR, PUBLICADAS EL 18 DE NOVIEMBRE DE 2015, EN VIGOR A PARTIR DEL 1 DE ENERO DE 2016 (EN CASO AFIRMATIVO DEBE LLENAR EL ANEXO 23)</t>
  </si>
  <si>
    <t>NÚMERO DE OFICIO 3</t>
  </si>
  <si>
    <t>CELEBRO OPERACIONES FINANCIERAS DERIVADAS QUE TUVIERAN EFECTOS FISCALES DURANTE EL EJERCICIO EN EL IMPUESTO SOBRE LA RENTA (EN CASO AFIRMATIVO DEBE LLENAR EL  ANEXO 12)</t>
  </si>
  <si>
    <t>AL 31 DE DICIEMBRE DE 2013, CONTABA CON AUTORIZACION PARA DETERMINAR SU RESULTADO FISCAL CONSOLIDADO, DETERMINO LOS IMPUESTOS SOBRE LA RENTA Y AL ACTIVO POR DESCONSOLIDACION Y OPTO POR ENTERAR LOS PAGOS EN CINCO EJERCICIOS FISCALES, DE CONFORMIDAD CON LA LISR PARA 2013 Y DISPOSICIONES TRANSITORIAS PARA 2014 (EN CASO AFIRMATIVO DEBE LLENAR EL ANEXO 19).</t>
  </si>
  <si>
    <t>NOTA: LOS CONTRIBUYENTES QUE AL 31 DE DICIEMBRE DE 2013 CUENTAN CON AUTORIZACION PARA DETERMINAR SU RESULTADO FISCAL CONSOLIDADO EN LOS TERMINOS DEL CAPITULO VI DEL TITULO II DE LA LEY DEL IMPUESTO SOBRE LA RENTA VIGENTE EN ESE AÑO, QUE SE ENCUENTREN DENTRO DEL PERIODO DE CINCO AÑOS A QUE SE REFIERE EL ARTICULO 64 DE LA CITADA LEY, Y QUE NO HUBIEREN OPTADO POR DESCONSOLIDAR DE CONFORMIDAD CON LAS DISPOSICIONES DE LA REGLA I.3.6.4 RESOLUCIÓN MISCELANEA FISCAL PARA 2013 PUBLICADA EL 28 DE DICIEMBRE DE 2012, DEBEN UTILIZAR EL FORMATO DE DICTAMEN FISCAL ESPECIFICO PARA CONSOLIDACION A QUE SE REFIERE EL ANEXO 16-A DE LA RESOLUCION MISCELANEA FISCAL PARA 2018.</t>
  </si>
  <si>
    <t>MANTUVO SALDOS POR COBRAR Y POR PAGAR EN MONEDA EXTRANJERA DURANTE EL EJERCICIO  (EN CASO AFIRMATIVO DEBE LLENAR EL ANEXO 21)</t>
  </si>
  <si>
    <t>CELEBRO PRESTAMOS DEL EXTRANJERO DURANTE EL EJERCICIO (EN CASO AFIRMATIVO DEBE LLENAR EL ANEXO 22)</t>
  </si>
  <si>
    <t>(ESPECIFICAR NOMBRE ANTERIOR)</t>
  </si>
  <si>
    <t>HA TENIDO CAMBIOS DE DOMICILIO FISCAL DURANTE EL EJERCICIO FISCAL AUDITADO</t>
  </si>
  <si>
    <t>POR EL EJERCICIO FISCAL AUDITADO TIENE LOS AVISOS DE APERTURA O CIERRE REALIZADOS DURANTE EL MISMO DE ESTABLECIMIENTOS, SUCURSALES, LOCALES, PUESTOS FIJOS O SEMIFIJOS, LUGARES EN DONDE SE ALMACENEN MERCANCIAS Y EN GENERAL CUALQUIER LOCAL O ESTABLECIMIENTO QUE SE UTILICE PARA EL DESEMPEÑO DE SUS ACTIVIDADES (ARTICULO 29 FRACCION VIII DEL RCFF)</t>
  </si>
  <si>
    <t>DURANTE EL EJERCICIO SE PRESENTARON AVISOS DE COMPENSACION DE SALDOS A FAVOR (ARTICULO 23 CFF)</t>
  </si>
  <si>
    <t>SE ENCUENTRA OBLIGADO A SOLICITAR LA INSCRIPCION EN EL RFC DE SUS SOCIOS O ACCIONISTAS RESIDENTES EN EL EXTRANJERO (ARTICULO 27 CFF)</t>
  </si>
  <si>
    <t>(ESPECIFICAR NOMBRE DE SOCIEDAD OUTSOURCING)</t>
  </si>
  <si>
    <t>(ESPECIFICAR)</t>
  </si>
  <si>
    <t>LLEVO CONTABILIDAD DE CONFORMIDAD CON EL ARTÍCULO 28 DEL CODIGO FISCAL DE LA FEDERACION, SU REGLAMENTO Y CON EL ARTICULO 32 FRACCION I DE LA LEY DEL IMPUESTO AL VALOR AGREGADO</t>
  </si>
  <si>
    <t>LA DOCUMENTACION COMPROBATORIA DE LOS REGISTROS O ASIENTOS ESTA DISPONIBLE EN SU DOMICILIO FISCAL (ARTICULO 28 FRACCION III DEL CFF)</t>
  </si>
  <si>
    <t>TRATANDOSE DE COMISIONISTAS, REALIZO LA SEPARACION EN SU CONTABILIDAD Y REGISTROS DE LAS OPERACIONES QUE LLEVEN A CABO POR CUENTA PROPIA DE LAS QUE EFECTUEN POR CUENTA DEL COMITENTE (ARTICULOS 32 FRACCION II DE LA LEY Y 35 DEL REGLAMENTO DE LA LEY)</t>
  </si>
  <si>
    <t>EXPIDIO Y ENTREGO COMPROBANTES FISCALES (ARTICULOS 32 FRACCION III DE LA LEY, 20 Y 74 DEL REGLAMENTO DE LA LEY)</t>
  </si>
  <si>
    <t>EXPIDIO COMPROBANTES FISCALES POR LAS RETENCIONES DEL IMPUESTO QUE SE EFECTUEN EN LOS CASOS PREVISTOS EN EL ARTICULO 1-A, (ARTICULO 32 FRACCION V DE LA LEY ASI COMO CON LAS REGLAS APLICABLES DE LA RESOLUCION MISCELANEA FISCAL PARA 2017)</t>
  </si>
  <si>
    <t>PROPORCIONO MENSUALMENTE Y EN TIEMPO A LAS AUTORIDADES FISCALES, LA INFORMACION SOBRE LAS PERSONAS A LAS QUE LES RETUVO IMPUESTOS (ARTICULO 32 FRACCION V DE LA LEY ASI COMO CON LAS REGLAS APLICABLES DE LA RESOLUCION MISCELANEA FISCAL PARA 2017)</t>
  </si>
  <si>
    <t>PROPORCIONO MENSUALMENTE Y EN TIEMPO A LAS AUTORIDADES FISCALES, LA INFORMACION SOBRE EL PAGO, RETENCION, ACREDITAMIENTO Y TRASLADO DEL IMPUESTO AL VALOR AGREGADO EN LAS OPERACIONES CON SUS PROVEEDORES, DESGLOSANDO EL VALOR DE LOS ACTOS O ACTIVIDADES POR TASA A LA CUAL TRASLADO O LE FUE TRASLADADO EL IMPUESTO AL VALOR AGREGADO, INCLUYENDO ACTIVIDADES POR LAS QUE NO ESTUVO OBLIGADO AL PAGO (ARTICULO 32 FRACCION VIII DE LA LEY, ASI COMO CON LAS REGLAS APLICABLES DE LA RESOLUCION MISCELANEA FISCAL PARA 2017)</t>
  </si>
  <si>
    <t>LEVANTAR INVENTARIO DE EXISTENCIAS A LA FECHA DE TERMINO DEL EJERCICIO (ARTICULOS 76 FRACCION IV Y 110 FRACCION V O EN FECHA DISTINTA DE ACUERDO CON LOS ARTICULOS 91 Y 166 DEL REGLAMENTO DE LA LEY)</t>
  </si>
  <si>
    <t>INFORMAR A LAS AUTORIDADES FISCALES DE LOS PRESTAMOS, APORTACIONES PARA FUTUROS AUMENTOS DE CAPITAL O AUMENTOS DE CAPITAL QUE RECIBAN EN EFECTIVO, EN MONEDA NACIONAL O EXTRANJERA, MAYORES A $600,000 (ARTICULOS 18, FRACCION XI Y 76 FRACCION XVI DE LA LEY, ASI COMO CON LAS REGLAS APLICABLES DE LA RESOLUCION MISCELANEA FISCAL PARA 2017)</t>
  </si>
  <si>
    <t>ENAJENACION DE BIENES (ARTICULOS 17 FRACCION I DE LA LEY Y 13 DEL REGLAMENTO DE LA LEY, ASI COMO CON LAS REGLAS APLICABLES DE LA RESOLUCION MISCELANEA FISCAL PARA 2017)</t>
  </si>
  <si>
    <t>PRESTACION DE SERVICIOS (ARTICULOS 17 FRACCION I DE LA LEY Y 13 DEL REGLAMENTO DE LA LEY, ASI COMO CON LAS REGLAS APLICABLES DE LA RESOLUCION MISCELANEA FISCAL PARA 2017)</t>
  </si>
  <si>
    <t>ESTAR AMPARADOS CON COMPROBANTES FISCALES (ARTICULOS 27 FRACCION III Y 105 ULTIMO PARRAFO DE LA LEY Y 35 DEL REGLAMENTO DE LA LEY, ASI COMO CON LAS REGLAS APLICABLES DE LA RESOLUCION MISCELANEA FISCAL PARA 2017)</t>
  </si>
  <si>
    <t>EFECTUAR PAGOS A TRAVES DE CHEQUE NOMINATIVO, TARJETAS DE CREDITO, DE DEBITO O DE SERVICIOS, O MONEDEROS ELECTRONICOS AUTORIZADOS, TRASPASOS DE CUENTAS EN INSTITUCIONES DE CREDITO O CASAS DE BOLSA, COMPENSACIONES O A TRAVES DE DISTINTAS FORMAS DE EXTINCION DE LAS OBLIGACIONES CUANDO LO SEÑALEN LAS DISPOSICIONES FISCALES (ARTICULOS 27 FRACCION III Y 105 ULTIMO PARRAFO DE LA LEY Y 35 DEL REGLAMENTO DE LA LEY, ASI COMO CON LAS REGLAS APLICABLES DE LA RESOLUCION MISCELANEA FISCAL PARA 2017)</t>
  </si>
  <si>
    <t>SER DEDUCIDAS UNA SOLA VEZ (ARTICULOS 27 FRACCION IV Y 105 FRACCION IV DE LA LEY)</t>
  </si>
  <si>
    <t>LOS PAGOS A PERSONAS FISICAS, A PERSONAS MORALES COORDINADOS, A SOCIEDADES O ASOCIACIONES CIVILES, A LOS QUE PRESTEN SERVICIOS DOMESTICOS DE SUMINISTRO DE AGUA POTABLE Y DE RECOLECCION DE BASURA Y A LOS QUE OBTENGAN DONATIVOS, FUERON DEDUCIDOS CUANDO FUERON EFECTIVAMENTE EROGADOS (ARTICULO 27 FRACCION VIII DE LA LEY)</t>
  </si>
  <si>
    <t>POR LOS GASTOS DE PREVISION SOCIAL, SE COMPROBO QUE LAS PRESTACIONES CORRESPONDIENTES SE OTORGARON EN FORMA GENERAL EN BENEFICIO DE TODOS LOS TRABAJADORES Y QUE TRATANDOSE DE VALES DE DESPENSA OTORGADOS A TRABAJADORES LA ENTREGA SE REALICE A TRAVES DE MONEDEROS ELECTRONICOS AUTORIZADOS. (ARTICULOS 7 Y 27 FRACCION XI DE LA LEY Y 40, 41, 43 Y 43-A DEL REGLAMENTO DE LA LEY)</t>
  </si>
  <si>
    <t>CUANDO EXISTAN APORTACIONES PARA FONDOS DE AHORRO, ADEMAS DEL REQUISITO ESTABLECIDO EN EL INDICE ANTERIOR SE COMPROBO QUE EL MONTO DE LAS APORTACIONES EFECTUADAS HAYA SIDO IGUAL AL MONTO APORTADO POR LOS TRABAJADORES Y NO HAYA EXCEDIDO LOS LIMITES ESTABLECIDOS EN LAS DISPOSICIONES FISCALES (ARTICULOS 27 FRACCION XI Y 105 ULTIMO PARRAFO DE LA LEY Y 42 DEL REGLAMENTO DE LA LEY)</t>
  </si>
  <si>
    <t>SE COMPROBO QUE EL COSTO DE ADQUISICION O LOS INTERESES QUE SE DERIVEN DE CREDITOS RECIBIDOS CORRESPONDAN A LOS DEL MERCADO Y CUANDO HAYAN EXCEDIDO SE CONSIDERO COMO NO DEDUCIBLE EL EXCEDENTE (ARTICULOS 27 FRACCION XIII Y 105 ULTIMO PARRAFO DE LA LEY)</t>
  </si>
  <si>
    <t>QUE AL REALIZAR LAS OPERACIONES CORRESPONDIENTES O A MAS TARDAR EL ULTIMO DIA DEL EJERCICIO SE REUNIERON LOS REQUISITOS QUE PARA CADA DEDUCCION EN PARTICULAR ESTABLECE LA LEY (ARTICULOS 27 FRACCION XVIII Y 105 ULTIMO PARRAFO DE LA LEY Y 46 Y 47 DEL REGLAMENTO DE LA LEY, ASI COMO CON LAS REGLAS APLICABLES DE LA RESOLUCION MISCELANEA FISCAL PARA 2017)</t>
  </si>
  <si>
    <t>EN EL CASO DE INVENTARIOS DEDUCIDOS QUE PERDIERON SU VALOR POR DETERIORO U OTRAS CAUSAS NO IMPUTABLES AL PROPIO CONTRIBUYENTE, SE CUMPLIERON CON LOS REQUISITOS ESTABLECIDOS (ARTICULOS 27 FRACCION XX DE LA LEY Y 87, 88, 88-A, 88-B, 89 Y 111 DEL REGLAMENTO DE LA LEY, ASI COMO CON LAS REGLAS APLICABLES DE LA RESOLUCION MISCELANEA FISCAL PARA 2017)</t>
  </si>
  <si>
    <t>EN EL CASO DE PERDIDA PROVENIENTE DE ENAJENACION DE ACCIONES Y OTROS TITULOS VALOR, ASI COMO DE PERDIDAS FINANCIERAS QUE PROVENGAN DE OPERACIONES FINANCIERAS DERIVADAS DE CAPITAL REFERIDAS A ACCIONES O INDICES ACCIONARIOS, SE CUMPLIERON LOS REQUISITOS ESTABLECIDOS PARA SU DEDUCCION (ARTICULOS 28 FRACCION XVII Y 103 ULTIMO PARRAFO, 121 ÚLTIMO PÁRRAFO Y 122 DE LA LEY Y 206 DEL REGLAMENTO DE LA LEY, ASI COMO CON LAS REGLAS APLICABLES DE LA RESOLUCION MISCELANEA FISCAL PARA 2017)</t>
  </si>
  <si>
    <t>PARTICIPO EN ALGUNA FUSION EN EL EJERCICIO</t>
  </si>
  <si>
    <t>EN CASO DE SER FUSIONADA, DEBERA ANOTAR:</t>
  </si>
  <si>
    <t>FUSIONANTE: RFC</t>
  </si>
  <si>
    <t>FUSIONANTE: DENOMINACION O RAZON SOCIAL</t>
  </si>
  <si>
    <t>EN CASO DE SER FUSIONANTE, DEBERA ANOTAR:</t>
  </si>
  <si>
    <t>FUSIONADA 1: RFC</t>
  </si>
  <si>
    <t>FUSIONADA 1: DENOMINACION O RAZON SOCIAL</t>
  </si>
  <si>
    <t>FUSIONADA 2: RFC</t>
  </si>
  <si>
    <t>FUSIONADA 2: DENOMINACION O RAZON SOCIAL</t>
  </si>
  <si>
    <t>FUSIONADA 3: RFC</t>
  </si>
  <si>
    <t>FUSIONADA 3: DENOMINACION O RAZON SOCIAL</t>
  </si>
  <si>
    <t>FUSIONADA 4: RFC</t>
  </si>
  <si>
    <t>FUSIONADA 4: DENOMINACION O RAZON SOCIAL</t>
  </si>
  <si>
    <t>FUSIONADA 5: RFC</t>
  </si>
  <si>
    <t>FUSIONADA 5: DENOMINACION O RAZON SOCIAL</t>
  </si>
  <si>
    <t>FUSIONADA 6: RFC</t>
  </si>
  <si>
    <t>FUSIONADA 6: DENOMINACION O RAZON SOCIAL</t>
  </si>
  <si>
    <t>FUSIONADA 7: RFC</t>
  </si>
  <si>
    <t>FUSIONADA 7: DENOMINACION O RAZON SOCIAL</t>
  </si>
  <si>
    <t>FUSIONADA 8: RFC</t>
  </si>
  <si>
    <t>FUSIONADA 8: DENOMINACION O RAZON SOCIAL</t>
  </si>
  <si>
    <t>FUSIONADA 9: RFC</t>
  </si>
  <si>
    <t>FUSIONADA 9: DENOMINACION O RAZON SOCIAL</t>
  </si>
  <si>
    <t>FUSIONADA 10: RFC</t>
  </si>
  <si>
    <t>FUSIONADA 10: DENOMINACION O RAZON SOCIAL</t>
  </si>
  <si>
    <t>NOTA: EN CASO DE HABER SIDO FUSIONANTE, Y EL ESPACIO ANTERIOR ES INSUFICIENTE, SEÑALE EN EL ANEXO DENOMINADO INFORMACION ADICIONAL DEL DICTAMEN: EL RFC, NOMBRE DE LA ENTIDAD(ES) FUSIONADA(S), FECHA EN QUE SURTIO EFECTOS LA FUSION Y EL PORCENTAJE DE PARTICIPACION ACCIONARIA.</t>
  </si>
  <si>
    <t>(LIQUIDADOR 1 ESPECIFICAR NOMBRE DENOMINACION O RAZON SOCIAL)</t>
  </si>
  <si>
    <t>(LIQUIDADOR 2 ESPECIFICAR NOMBRE DENOMINACION O RAZON SOCIAL)</t>
  </si>
  <si>
    <t>(LIQUIDADOR 3 ESPECIFICAR NOMBRE DENOMINACION O RAZON SOCIA)</t>
  </si>
  <si>
    <t>CONSIDERO COMO EFECTIVAMENTE COBRADAS LAS CONTRAPRESTACIONES CUANDO LAS RECIBIO EN EFECTIVO, EN BIENES O EN SERVICIOS, AUN CUANDO AQUELLAS HUBIEREN CORRESPONDIDO A ANTICIPOS, DEPOSITOS O A CUALQUIER OTRO CONCEPTO SIN IMPORTAR EL NOMBRE CON EL QUE SE LES DESIGNO, O BIEN, CUANDO EL INTERES DEL ACREEDOR QUEDO SATISFECHO MEDIANTE CUALQUIER FORMA DE EXTINCION DE LAS OBLIGACIONES QUE DEN LUGAR A LAS CONTRAPRESTACIONES (ARTICULO 1-B DE LA LEY)</t>
  </si>
  <si>
    <t>01D268000</t>
  </si>
  <si>
    <t>01D269000</t>
  </si>
  <si>
    <t>CONSIDERO COMO VALOR PARA CALCULAR EL IMPUESTO, EL IMPORTE EFECTIVAMENTE COBRADO, ASI COMO LAS CANTIDADES QUE ADEMAS SE CARGUEN O COBREN AL ADQUIRENTE POR OTROS IMPUESTOS, DERECHOS, INTERESES NORMALES O MORATORIOS, PENAS CONVENCIONALES O CUALQUIER OTRO CONCEPTO (ARTICULOS 12, 18 Y 23 DE LA LEY Y 42, 43, 44 Y 45 DEL REGLAMENTO DE LA LEY, ASI COMO CON LAS REGLAS APLICABLES DE LA RESOLUCION MISCELANEA FISCAL PARA 2017)</t>
  </si>
  <si>
    <t>01D270000</t>
  </si>
  <si>
    <t>01D271000</t>
  </si>
  <si>
    <t>EL APROVECHAMIENTO EN TERRITORIO NACIONAL DE SERVICIOS INDEPENDIENTES, EXCEPTO POR LOS DERIVADOS DE TRANSPORTE INTERNACIONAL (ARTICULOS 24, FRACCION V DE LA LEY, 48 Y 49 DEL REGLAMENTO DE LA LEY)</t>
  </si>
  <si>
    <t>01D272000</t>
  </si>
  <si>
    <t>01D273000</t>
  </si>
  <si>
    <t>APLICO LA OPCION DEL ARTICULO 5-B DE LA LEY PARA EL PRORRATEO DEL IMPUESTO NO IDENTIFICADO CON ACTIVIDADES GRAVADAS, POR LAS QUE SE APLIQUE LA TASA 0% Y EXENTAS</t>
  </si>
  <si>
    <t>01D274000</t>
  </si>
  <si>
    <t>01D275000</t>
  </si>
  <si>
    <t>01D276000</t>
  </si>
  <si>
    <t>01D277000</t>
  </si>
  <si>
    <t>01D278000</t>
  </si>
  <si>
    <t>TRATANDOSE DEL IMPUESTO AL VALOR AGREGADO TRASLADADO QUE SE HUBIESE RETENIDO CONFORME AL ARTICULO 1-A DE ESTA LEY, DICHA RETENCION SE ENTERO EN LOS TERMINOS Y PLAZOS ESTABLECIDOS (ARTICULO 5 FRACCION IV DE LA LEY)</t>
  </si>
  <si>
    <t>01D279000</t>
  </si>
  <si>
    <t>01D280000</t>
  </si>
  <si>
    <t>01D281000</t>
  </si>
  <si>
    <t>CUANDO SE ESTE OBLIGADO AL PAGO DEL IMPUESTO AL VALOR AGREGADO O CUANDO SEA APLICABLE LA TASA DE 0%, SOLO POR UNA PARTE DE LAS ACTIVIDADES QUE REALIZO, EL IMPUESTO QUE CORRESPONDIO A EROGACIONES DISTINTAS A LAS INVERSIONES SE ACREDITO EN LA PROPORCION EN LA QUE EL VALOR DE LAS ACTIVIDADES POR LAS QUE DEBA PAGAR EL IMPUESTO AL VALOR AGREGADO O A LAS QUE SE APLIQUE LA TASA DE 0%, REPRESENTO EN EL VALOR TOTAL DE LAS ACTIVIDADES MENCIONADAS QUE REALIZO EN EL MES DE QUE SE TRATE (ARTICULO 5 FRACCION V INCISO C) DE LA LEY ASI COMO CON LAS REGLAS APLICABLES DE LA RESOLUCION MISCELANEA FISCAL PARA 2017)</t>
  </si>
  <si>
    <t>01D282000</t>
  </si>
  <si>
    <t>ACREDITO EL IMPUESTO QUE CORRESPONDIO A INVERSIONES CONFORME A SU DESTINO HABITUAL, EN SU TOTALIDAD POR HABER REALIZADO ACTIVIDADES EXCLUSIVAMENTE POR LOS QUE DEBE PAGAR EL IMPUESTO O LE SEA APLICABLE LA TASA DEL 0% (ARTICULO 5 FRACCION V INCISO D) PUNTO 1 DE LA LEY ASI COMO CON LAS REGLAS APLICABLES DE LA RESOLUCION MISCELANEA FISCAL PARA 2017)</t>
  </si>
  <si>
    <t>01D283000</t>
  </si>
  <si>
    <t>NO ACREDITO EL IMPUESTO QUE CORRESPONDA A INVERSIONES, CONFORME A SU DESTINO HABITUAL, POR HABER REALIZADO ACTIVIDADES EXCLUSIVAMENTE POR LOS QUE NO DEBE PAGAR EL IMPUESTO (ARTICULO 5 FRACCION V INCISO D) PUNTO 2 DE LA LEY)</t>
  </si>
  <si>
    <t>01D284000</t>
  </si>
  <si>
    <t>CUANDO SE ESTE OBLIGADO AL PAGO DEL IMPUESTO AL VALOR AGREGADO O CUANDO SEA APLICABLE LA TASA DE 0%, SOLO POR UNA PARTE DE LAS ACTIVIDADES QUE REALIZO, EL IMPUESTO QUE CORRESPONDIO A INVERSIONES CONFORME A SU DESTINO HABITUAL, SE ACREDITO EN LA PROPORCION EN LA QUE EL VALOR DE LAS ACTIVIDADES POR LAS QUE DEBA PAGARSE EL IMPUESTO AL VALOR AGREGADO O A LAS QUE SE APLIQUE LA TASA DE 0%, REPRESENTO EN EL VALOR TOTAL DE LAS ACTIVIDADES MENCIONADAS REALIZADAS EN EL MES DE QUE SE TRATE (ARTICULO 5 FRACCION V INCISO D) PUNTO 3 DE LA LEY ASI COMO CON LAS REGLAS APLICABLES DE LA RESOLUCION MISCELANEA FISCAL PARA 2017)</t>
  </si>
  <si>
    <t>01D285000</t>
  </si>
  <si>
    <t>01D286000</t>
  </si>
  <si>
    <t>01D287000</t>
  </si>
  <si>
    <t>APLICO LO PREVISTO EN EL ARTICULO 2.1. DEL DECRETO PUBLICADO EN EL DIARIO OFICIAL DE LA FEDERACION EL 26 DE DICIEMBRE DE 2013</t>
  </si>
  <si>
    <t>01D288000</t>
  </si>
  <si>
    <t>01D289000</t>
  </si>
  <si>
    <t>(DEPRECIACIONES)</t>
  </si>
  <si>
    <t>(AMORTIZACIONES)</t>
  </si>
  <si>
    <t>OTROS GASTOS</t>
  </si>
  <si>
    <t>USO O GOCE TEMPORAL DE AUTOMOVILES CON PROPULSION DE BATERIAS ELECTRICAS RECARGABLES Y AUTOMOVILES ELECTRICOS CON MOTOR DE COMBUSTION INTERNA O ACCIONADO POR HIDROGENO</t>
  </si>
  <si>
    <t>01070084000000</t>
  </si>
  <si>
    <t>RESULTADO POR CONVERSION DE OPERACIONES EXTRANJERAS FAVORABLES</t>
  </si>
  <si>
    <t>RESULTADO POR CONVERSION DE OPERACIONES EXTRANJERAS DESFAVORABLES</t>
  </si>
  <si>
    <t>PARTICIPACION DE LOS OTROS RESULTADOS INTEGRALES DE ASOCIADAS DESFAVORABLES</t>
  </si>
  <si>
    <t>DIFERENCIA DETERMINADA POR EL CONTRIBUYENTE (DEL EJERCICIO DICTAMINADO)</t>
  </si>
  <si>
    <t>PAGOS PROVISIONALES Y/O DEFINITIVOS DETERMINADOS POR EL CONTRIBUYENTE POR CONCEPTO DE:</t>
  </si>
  <si>
    <t>DIFERENCIA DETERMINADA POR DICTAMEN NO CONSIDERADA POR EL CONTRIBUYENTE (DEL EJERCICIO DICTAMINADO)</t>
  </si>
  <si>
    <t>(SALDOS AL 31 DE DICIEMBRE DE 2015)</t>
  </si>
  <si>
    <t>SALDOS AL 1º. DE ENERO DE 2016 AJUSTADOS</t>
  </si>
  <si>
    <t>(APLICACION DE LA UTILIDAD DEL EJERCICIO 2015)</t>
  </si>
  <si>
    <t>(UTILIDAD NETA DE 2016)</t>
  </si>
  <si>
    <t>(PERDIDA NETA DE 2016)</t>
  </si>
  <si>
    <t>PARTICIPACION DE LOS OTROS RESULTADOS INTEGRALES DE ASOCIADAS FAVORABLES</t>
  </si>
  <si>
    <t>(SALDOS AL 31 DE DICIEMBRE DE 2016)</t>
  </si>
  <si>
    <t>(APLICACION DE LA UTILIDAD DEL EJERCICIO 2016)</t>
  </si>
  <si>
    <t>(UTILIDAD NETA DE 2017)</t>
  </si>
  <si>
    <t>(PERDIDA NETA DE 2017)</t>
  </si>
  <si>
    <t>(SALDOS AL 31 DE DICIEMBRE DE 2017)</t>
  </si>
  <si>
    <t>(INVERSIONES PERMANENTES)</t>
  </si>
  <si>
    <t>PERDIDA POR DETERIORO ACUMULADO DE EDIFICIOS</t>
  </si>
  <si>
    <t>PERDIDA POR DETERIORO ACUMULADO DE MAQUINARIA</t>
  </si>
  <si>
    <t>PERDIDA POR DETERIORO ACUMULADO DE EQUIPO DE TRANSPORTE</t>
  </si>
  <si>
    <t>PERDIDA POR DETERIORO ACUMULADO DE MOBILIARIO Y EQUIPO</t>
  </si>
  <si>
    <t>PERDIDA POR DETERIORO ACUMULADO DE EQUIPO DE COMPUTO</t>
  </si>
  <si>
    <t>PERDIDA POR DETERIORO ACUMULADO DE OTROS ACTIVOS FIJOS</t>
  </si>
  <si>
    <t>TOTAL DE PERDIDA POR DETERIORO ACUMULADO</t>
  </si>
  <si>
    <t>EQUIPO DE TRANSPORTE: AUTOMOVILES CON PROPULSION DE BATERIAS ELECTRICAS RECARGABLES Y AUTOMOVILES ELECTRICOS CON MOTOR DE COMBUSTION INTERNA O ACCIONADO POR HIDROGENO</t>
  </si>
  <si>
    <t>EQUIPO DE TRANSPORTE: BICICLETAS CONVENCIONALES, BICICLETAS Y MOTOCICLETAS CON PROPULSION DE BATERIAS ELECTRICAS RECARGABLES</t>
  </si>
  <si>
    <t>EQUIPOS FIJOS DE ALIMENTACION PARA VEHICULOS ELECTRICOS</t>
  </si>
  <si>
    <t>01200028000000</t>
  </si>
  <si>
    <t>01200029000000</t>
  </si>
  <si>
    <t>01200030000000</t>
  </si>
  <si>
    <t>EFECTOS POR CAMBIOS EN EL VALOR DEL EFECTIVO POR INFLACIÓN ASOCIADO CON LOS SALDOS Y FLUJOS DE EFECTIVO DE ENTIDADES QUE CONFORMAN LA ENTIDAD ECONOMICA CONSOLIDADA</t>
  </si>
  <si>
    <t>EFECTOS POR CAMBIOS EN EL VALOR DEL EFECTIVO POR INFLACION ASOCIADO CON LOS SALDOS Y FLUJOS DE EFECTIVO DE ENTIDADES QUE CONFORMAN LA ENTIDAD ECONOMICA CONSOLIDADA</t>
  </si>
  <si>
    <t>UTILIDAD FISCAL EN ENAJENACION DE ACCIONES</t>
  </si>
  <si>
    <t>OPERACIONES CON PARTES RELACIONADAS NO DEDUCIBLES</t>
  </si>
  <si>
    <t>EMPLEO DE PERSONAS CON DISCAPACIDAD Y/O ADULTOS MAYORES</t>
  </si>
  <si>
    <t>01110103000000</t>
  </si>
  <si>
    <t>CAMBIOS EN EL VALOR RAZONABLE DE ACTIVOS Y PASIVOS FINANCIEROS A FAVOR</t>
  </si>
  <si>
    <t>VENTAS O INGRESOS DE EJERCICIOS ANTERIORES COBRADOS EN EL EJERCICIO</t>
  </si>
  <si>
    <t>MONTO PENDIENTE APLICADO EN EL EJERCICIO, DEL ESTIMULO FISCAL POR PROYECTOS EN INVESTIGACION Y DESARROLLO TECNOLOGICO AUTORIZADO EN EJERCICIOS ANTERIORES</t>
  </si>
  <si>
    <t>MONTO PENDIENTE APLICADO EN EL EJERCICIO, DEL ESTIMULO FISCAL POR PROYECTOS DE INVERSION EN LA PRODUCCION CINEMATOGRAFICA NACIONAL DE EJERCICIOS ANTERIORES.</t>
  </si>
  <si>
    <t>MONTO PENDIENTE APLICADO EN EL EJERCICIO, DEL ESTIMULO FISCAL A PROYECTOS DE INVERSION EN LAS ARTES DE EJERCICIOS ANTERIORES</t>
  </si>
  <si>
    <t>ESTIMULO A PROYECTOS DE INVERSION EN LAS ARTES</t>
  </si>
  <si>
    <t>GASTOS E INVERSIONES POR "PROYECTOS EN INVESTIGACION Y DESARROLLO TECNOLOGICO", APLICADO EN EL EJERCICIO 2017</t>
  </si>
  <si>
    <t>GASTOS E INVERSIONES POR "PROYECTOS EN INVESTIGACION Y DESARROLLO TECNOLOGICO", APLICADO EN EL EJERCICIO 2016</t>
  </si>
  <si>
    <t>GASTOS E INVERSIONES POR "PROYECTOS EN INVESTIGACION Y DESARROLLO TECNOLOGICO", APLICADO EN EL EJERCICIO 2015</t>
  </si>
  <si>
    <t>GASTOS E INVERSIONES POR "PROYECTOS EN INVESTIGACION Y DESARROLLO TECNOLOGICO", APLICADO EN EL EJERCICIO 2014</t>
  </si>
  <si>
    <t>MONTO PENDIENTE DE APLICAR POR "PROYECTOS EN INVESTIGACION Y DESARROLLO TECNOLOGICO"</t>
  </si>
  <si>
    <t>ESTIMULO POR LA INVERSION EN PROYECTOS Y PROGRAMAS PARA EL DEPORTE DE ALTO RENDIMIENTO</t>
  </si>
  <si>
    <t>MONTO PENDIENTE DE APLICAR POR LA INVERSION EN PROYECTOS Y PROGRAMAS PARA EL DEPORTE DE ALTO RENDIMIENTO</t>
  </si>
  <si>
    <t>INGRESOS OBTENIDOS POR APOYOS GUBERNAMENTALES</t>
  </si>
  <si>
    <t>MONTO PENDIENTE DE APLICAR DEL ESTIMULO POR LA INVERSION EN EQUIPOS FIJOS DE ALIMENTACION PARA VEHICULOS ELECTRICOS</t>
  </si>
  <si>
    <t>MONTO DEL ESTIMULO FISCAL POR BIODIESEL Y SUS MEZCLAS</t>
  </si>
  <si>
    <t>IMPUESTO SOBRE LA RENTA POR INGRESOS SUJETOS A REGIMENES FISCALES PREFERENTES</t>
  </si>
  <si>
    <t>ACREDITAMIENTO DEL IVA POR LAS INVERSIONES O GASTOS EN PERIODOS PREOPERATIVOS (ARTÍCULOS 5, FRACCIÓN VI Y 5-B, SEGUNDO PÁRRAFO DE LA LIVA)</t>
  </si>
  <si>
    <t>INCREMENTO DEL IVA POR LAS INVERSIONES O GASTOS EN PERIODOS PREOPERATIVOS (ARTÍCULOS 5, FRACCIÓN VI Y 5-B, SEGUNDO PÁRRAFO DE LA LIVA)</t>
  </si>
  <si>
    <t>REINTEGRO DEL IVA POR LAS INVERSIONES O GASTOS EN PERIODOS PREOPERATIVOS (ARTÍCULOS 5, FRACCIÓN VI Y 5-B, SEGUNDO PÁRRAFO DE LA LIVA)</t>
  </si>
  <si>
    <t>IVA CORRESPONDIENTE A LA SUBCONTRATACIÓN LABORAL (ARTÍCULO 5, FRACCIÓN II DE LA LIVA)</t>
  </si>
  <si>
    <t>MONTO DE LOS SERVICIOS DE TECNOLOGÍAS DE LA INFORMACIÓN PRESTADOS EN EL EXTRANJERO CONSIDERADOS COMO EXPORTADOS Y SUJETOS A LA TASA DEL 0% DEL IVA (ARTÍCULO 29, FRACCIÓN IV, INCISO I) DE LA LIVA)</t>
  </si>
  <si>
    <t>MONTO TOTAL DE ENAJENACIONES DE PLAGUICIDAS CATEGORIAS 1 Y 2 A LA TASA  DEL 9%</t>
  </si>
  <si>
    <t>MONTO TOTAL DE IMPORTACIONES DE PLAGUICIDAS CATEGORIAS 1 Y 2 A LA TASA  DEL 9%</t>
  </si>
  <si>
    <t>VALOR DEL PESO TOTAL EN GRAMOS DE PUROS Y OTROS TABACOS LABRADOS ENAJENADOS DISTINTOS A LOS CIGARROS ENTRE 0.75 (CUOTA $0.35)</t>
  </si>
  <si>
    <t>VALOR DEL PESO TOTAL EN GRAMOS DE PUROS Y OTROS TABACOS LABRADOS IMPORTADOS DISTINTOS A LOS CIGARROS ENTRE 0.75 (CUOTA $0.35)</t>
  </si>
  <si>
    <t>BIODIESEL Y SUS MEZCLAS A QUE SE REFIERE LA FRACCIÓN I DEL APARTADO A, DEL ARTÍCULO 16 DE LA LIF 2017</t>
  </si>
  <si>
    <t>BIODIESEL Y SUS MEZCLAS A QUE SE REFIERE LA FRACCIÓN IV DEL APARTADO A, DEL ARTÍCULO 16 DE LA LIF 2017</t>
  </si>
  <si>
    <t>01090226000000</t>
  </si>
  <si>
    <t>01090227000000</t>
  </si>
  <si>
    <t>01090228000000</t>
  </si>
  <si>
    <t>01090229000000</t>
  </si>
  <si>
    <t>01090230000000</t>
  </si>
  <si>
    <t>01090231000000</t>
  </si>
  <si>
    <t>01090232000000</t>
  </si>
  <si>
    <t>01090233000000</t>
  </si>
  <si>
    <t>01090234000000</t>
  </si>
  <si>
    <t>01090235000000</t>
  </si>
  <si>
    <t>01090236000000</t>
  </si>
  <si>
    <t>01090237000000</t>
  </si>
  <si>
    <t>01090238000000</t>
  </si>
  <si>
    <t>01090239000000</t>
  </si>
  <si>
    <t>01090240000000</t>
  </si>
  <si>
    <t>01090241000000</t>
  </si>
  <si>
    <t>01090242000000</t>
  </si>
  <si>
    <t>CIFRAS AL CIERRE DEL EJERCICIO IMPUESTO  SOBRE LA RENTA</t>
  </si>
  <si>
    <t>INGRESOS ACUMULABLES POR LA GANANCIA REALIZADA QUE DERIVE DE REDUCCIONES DE CAPITAL DE SOCIEDADES RESIDENTES EN EL EXTRANJERO EN LAS QUE EL CONTRIBUYENTE ES SOCIO O ACCIONISTA</t>
  </si>
  <si>
    <t>CUENTA DE UTILIDAD FISCAL NETA EJERCICIOS DE 2014 A 2017</t>
  </si>
  <si>
    <t>SALDO DE CUFIN TOTAL AL CIERRE DEL EJERCICIO ACTUALIZADO DE LOS EJERCICIOS DE 2014 A 2017</t>
  </si>
  <si>
    <t>CUENTA DE UTILIDAD FISCAL NETA  EJERCICIOS DE 2001 A 2013</t>
  </si>
  <si>
    <t>CUENTA DE UTILIDAD FISCAL NETA  EJERCICIOS ANTERIORES A 2000</t>
  </si>
  <si>
    <t>SALDOS ACTUALIZADOS (IMPUESTO SOBRE LA RENTA) AL CIERRE DEL EJERCICIO DE:</t>
  </si>
  <si>
    <t>LAS CIFRAS REPORTADAS EN LA DECLARACION INFORMATIVA (FRACCION X DEL ARTICULO 76 DE LA LISR) SON COINCIDENTES CON LAS MANIFESTADAS EN EL ANEXO 16 DEL DICTAMEN, AMBAS REFERENTES A OPERACIONES CON PARTES RELACIONADAS RESIDENTES EN EL EXTRANJERO.</t>
  </si>
  <si>
    <t>MONTO DE AJUSTES DE PRECIOS DE TRANSFERENCIA QUE INCREMENTARON SUS DEDUCCIONES</t>
  </si>
  <si>
    <t>CUMPLIO CON LOS REQUISITOS ESTABLECIDOS EN LA REGLA 3.9.1.3. DE LA RMF PARA CONSIDERAR DEDUCIBLE UN AJUSTE DE PRECIOS DE TRANSFERENCIA QUE INCREMENTO SUS DEDUCCIONES</t>
  </si>
  <si>
    <t>EN CASO AFIRMATIVO INDIQUE EL COSTO DE VENTAS DETERMINADO CONFORME A LAS FRACCIONES I, II Y III DEL ARTICULO 180 DE LA LISR Y LA OPCION SELECCIONADA</t>
  </si>
  <si>
    <t>COSTO DE VENTAS CON PARTES RELACIONADAS DEDUCIDO SIN LA APLICACION DE LAS FRACCIONES I, II Y III DEL ARTICULO 180 DE LA LISR</t>
  </si>
  <si>
    <t>GASTOS POR REEMBOLSOS (AL COSTO)</t>
  </si>
  <si>
    <t>DEDUJO GASTOS CON PARTES RELACIONADAS POR REEMBOLSOS AL COSTO</t>
  </si>
  <si>
    <t xml:space="preserve">EN CASO AFIRMATIVO </t>
  </si>
  <si>
    <t>CUENTA CON TODA LA DOCUMENTACIÓN SOPORTE, POR UN LADO, DE SU PARTE RELACIONADA Y, POR OTRO LADO, CON LA DOCUMENTACIÓN EMITIDA POR TERCEROS INDEPENDIENTES A LA PARTE RELACIONADA CON LA QUE SE PUEDA DEMOSTRAR QUE SE TRATA DE UN REEMBOLSO AL COSTO</t>
  </si>
  <si>
    <t>INDIQUE EL MONTO DE LA DEDUCCION DE GASTOS EFECTUADOS EN EL EXTRANJERO A PRORRATA</t>
  </si>
  <si>
    <t>INDIQUE EL MONTO CORRESPONDIENTE</t>
  </si>
  <si>
    <t>ARTICULO 76-A DE LA LISR (2017)</t>
  </si>
  <si>
    <t>DECLARACIONES ANUALES INFORMATIVAS  DE PARTES RELACIONADAS DE 2016  PRESENTADAS EN 2017  (ARTICULO 76-A DE LA LISR)</t>
  </si>
  <si>
    <t>PRESENTO EN TIEMPO Y FORMA LA DECLARACION INFORMATIVA MAESTRA DE PARTES RELACIONADAS DEL GRUPO EMPRESARIAL MULTINACIONAL DEL EJERCICIO FISCAL DE 2016</t>
  </si>
  <si>
    <t>PRESENTO EN TIEMPO Y FORMA LA DECLARACION INFORMATIVA LOCAL DE PARTES RELACIONADAS DEL EJERCICIO FISCAL DE 2016</t>
  </si>
  <si>
    <t>PRESENTO EN TIEMPO Y FORMA LA DECLARACION INFORMATIVA PAIS POR PAIS DEL GRUPO EMPRESARIAL MULTINACIONAL DEL EJERCICIO FISCAL DE 2016</t>
  </si>
  <si>
    <t>INFORMACION FINANCIERA OPERATIVA SIN LAS MODIFICACIONES AL BOLETIN B-3 ESTADO DE RESULTADO INTEGRAL PARA 2013 DE LAS NORMAS DE INFORMACION FINANCIERA (APLICABLE EJERCICIO 2017)</t>
  </si>
  <si>
    <t>APLICO EL METODO DE MARGENES TRANSACCIONALES DE UTILIDAD DE OPERACION CON BASE EN SU INFORMACION FINANCIERA GLOBAL Y/O SEGMENTADA, SIN CONSIDERAR LAS MODIFICACIONES AL BOLETIN B-3 ESTADO DE RESULTADO INTEGRAL PARA 2013 DE LAS NORMAS DE INFORMACION FINANCIERA (APLICABLE EJERCICIO 2017)</t>
  </si>
  <si>
    <t>UTILIDAD OPERATIVA SIN LAS MODIFICACIONES AL BOLETIN B-3 ESTADO DE RESULTADO INTEGRAL PARA 2013 DE LAS NORMAS DE INFORMACION FINANCIERA (APLICABLE EJERCICIO 2017)</t>
  </si>
  <si>
    <t>01170160000000</t>
  </si>
  <si>
    <t>01170161000000</t>
  </si>
  <si>
    <t>VALOR DE LOS OTROS INGRESOS DERIVADOS DE SU ACTIVIDAD PRODUCTIVA RELACIONADOS CON SU OPERACIÓN DE MAQUILA (REGLA 3.20.2. DE LA RESOLUCION MISCELANEA PARA 2017 PUBLICADA EL 23 DE DICIEMBRE DE 2016).</t>
  </si>
  <si>
    <t>01170162000000</t>
  </si>
  <si>
    <t>01170163000000</t>
  </si>
  <si>
    <t>01170164000000</t>
  </si>
  <si>
    <t>01170165000000</t>
  </si>
  <si>
    <t>01170166000000</t>
  </si>
  <si>
    <t>MONTO ACUMULADO DE UTILIDAD CAMBIARIA DEVENGADA A FAVOR (ARTICULO 18 FRACCION IX DE LA LEY DEL ISR)</t>
  </si>
  <si>
    <t>01170167000000</t>
  </si>
  <si>
    <t>01170168000000</t>
  </si>
  <si>
    <t>MONTO DEDUCIDO DE INTERESES DEVENGADOS A CARGO (ARTICULO 25 FRACCION VII DE LA LEY DEL ISR)</t>
  </si>
  <si>
    <t>01170169000000</t>
  </si>
  <si>
    <t>MONTO DEDUCIDO DE PERDIDA EN CAMBIOS DEVENGADA A CARGO (ARTICULO 25 FRACCION VII DE LA LEY DEL ISR)</t>
  </si>
  <si>
    <t>01170170000000</t>
  </si>
  <si>
    <t>MONTO DEDUCIDO DE AJUSTE ANUAL POR INFLACION (ARTICULO 25 FRACCION VIII DE LA LEY DEL ISR)</t>
  </si>
  <si>
    <t>QUINTO PAGO DEL ISR DIFERIDO</t>
  </si>
  <si>
    <t>QUINTO PAGO DEL ISR DIFERIDO ACTUALIZADO</t>
  </si>
  <si>
    <t>01190029000000</t>
  </si>
  <si>
    <t>01190030000000</t>
  </si>
  <si>
    <t>QUINTO PAGO DEL IMPUESTO AL ACTIVO DIFERIDO</t>
  </si>
  <si>
    <t>01190031000000</t>
  </si>
  <si>
    <t>01190032000000</t>
  </si>
  <si>
    <t>QUINTO PAGO DEL IMPUESTO AL ACTIVO DIFERIDO ACTUALIZADO</t>
  </si>
  <si>
    <t>01190033000000</t>
  </si>
  <si>
    <t>SOCIEDADES QUE TENDRAN DERECHO A RECUPERAR EL IMPAC:</t>
  </si>
  <si>
    <t>01190034000000</t>
  </si>
  <si>
    <t>NOMBRE, DENOMINACION O RAZON SOCIAL  DEL ACREEDOR</t>
  </si>
  <si>
    <t>LA PERDIDA APLICADA PROVIENE TOTAL O PARCIALMENTE DE UNA ESCISION</t>
  </si>
  <si>
    <t>SEÑALE EL RFC DE LA ESCINDENTE</t>
  </si>
  <si>
    <t>SEÑALE EL MONTO APLICADO EN EL EJERCICIO, PROVENIENTE DE LA ESCISION</t>
  </si>
  <si>
    <t>NOTA: EN CASO DE ESCISIONES SUCESIVAS DEBERA MANIFESTAR A TRAVES DEL ANEXO DENOMINADO INFORMACION ADICIONAL DEL DICTAMEN, LA INFORMACION CORRESPONDIENTE A LOS INDICES ANTERIORES</t>
  </si>
  <si>
    <t>PERDIDA FISCAL ACTUALIZADA POR EL EJERCICIO EN QUE SE GENERO</t>
  </si>
  <si>
    <t>01230011000000</t>
  </si>
  <si>
    <t>NOTA: LOS CONCEPTOS DE LOS INDICES 01230008000000 AL 01230011000000 DEBEN REPETIRSE PARA ACTUALIZAR LAS PERDIDAS FISCALES OCURRIDAS DE 2007 A 2016, O APLICADAS EN LOS EJERCICIOS DE 2008 A 2017.</t>
  </si>
  <si>
    <t>01230012000000</t>
  </si>
  <si>
    <t>(MONTO DE LA DISMINUCION DE LA PERDIDA FISCAL EN EL EJERCICIO:)</t>
  </si>
  <si>
    <t>NOTA: EL CONCEPTO DEL INDICE 01230012000000 DEBE REPETIRSE LAS VECES QUE SEA NECESARIO PARA INDICAR EL EJERCICIO EN EL QUE SE AMORTIZAN LAS PERDIDAS FISCALES, ANOTANDO EL IMPORTE APLICADO EN LA COLUMNA A LA QUE CORRESPONDA LA PERDIDA FISCAL.</t>
  </si>
  <si>
    <t>01230013000000</t>
  </si>
  <si>
    <t>EN CASO DE QUE EL CONTRIBUYENTE NO HAYA DADO CUMPLIMIENTO A LO PREVISTO EN LOS INDICES 01D267000 AL 01D272000 DEL DIAGNOSTICO FISCAL, PROPUSO QUE SE HICIERAN LAS CORRECCIONES CORRESPONDIENTES</t>
  </si>
  <si>
    <t>EN CASO DE QUE EL CONTRIBUYENTE NO HAYA DADO CUMPLIMIENTO A LO PREVISTO EN LOS INDICES 01D273000 AL 01D286000 DEL DIAGNOSTICO FISCAL, PROPUSO QUE SE HICIERAN LAS CORRECCIONES CORRESPONDIENTES EN EL ACREDITAMIENTO</t>
  </si>
  <si>
    <t>EN CASO DE HABER OBSERVADO QUE LAS RESPUESTAS DEL CONTRIBUYENTE A LOS INDICES 01170096000000 Y/O 01170103000000 DEL ANEXO 17 NO ERAN CORRECTAS Y HABER DETECTADO ALGUN INCUPLIMIENTO FISCAL, SEÑALO ALGUNA SALVEDAD EN SU INFORME SOBRE LA REVISION DE LA SITUACION FISCAL DEL CONTRIBUYENTE</t>
  </si>
  <si>
    <t>DOCUMENTACION COMPROBATORIA DE PRECIOS DE TRANSFERENCIA (ESTUDIO DE PRECIOS DE TRANSFERENCIA) POR OPERACIONES CON PARTES RELACIONADAS RESIDENTES EN EL EXTRANJERO (ARTICULO 76 FRACCION IX DE LA LISR)</t>
  </si>
  <si>
    <t>VERIFICO QUE LA DOCUMENTACION COMPROBATORIA DE PRECIOS DE TRANSFERENCIA, POR LAS OPERACIONES CON PARTES RELACIONADAS RESIDENTES EN EL EXTRANJERO (ARTICULO 76, FRACCION IX DE LA LISR), INCLUYERA LO SIGUIENTE:</t>
  </si>
  <si>
    <t>2) QUE SE CONSIDERARAN TODAS LAS PARTES RELACIONADAS DE ACUERDO CON LA DEFINICION CONTENIDA EN LOS PARRAFOS QUINTO Y SEXTO DEL ARTICULO 179 DE LA LISR</t>
  </si>
  <si>
    <t>6) INFORMACION RELATIVA A LOS RIESGOS ASUMIDOS EN CADA TIPO DE OPERACION EVALUADA.</t>
  </si>
  <si>
    <t>EN CASO DE QUE NO SE HAYA CUMPLIDO CON ALGUNO DE LOS PUNTOS ANTES REFERIDOS SEÑALE SI MENCIONO TAL CIRCUNSTANCIA EN SU DICTAMEN.</t>
  </si>
  <si>
    <t>EN CASO DE QUE EN LA DOCUMENTACION COMPROBATORIA DE PRECIOS DE TRANSFERENCIA SUGIRIERA UN AJUSTE DE PRECIOS DE TRANSFERENCIA QUE EL CONTRIBUYENTE NO REALIZO, REVELO ALGUNA SALVEDAD EN EL INFORME SOBRE LA REVISION DE LA SITUACION FISCAL DEL CONTRIBUYENTE</t>
  </si>
  <si>
    <t>EN CASO DE QUE LA DOCUMENTACION COMPROBATORIA DE PRECIOS DE TRANSFERENCIA SUGIRIERA UN AJUSTE DE PRECIOS DE TRANSFERENCIA QUE EL CONTRIBUYENTE NO REALIZO, REVELO ALGUNA SALVEDAD EN DICTAMEN</t>
  </si>
  <si>
    <t>EN ESTOS ULTIMOS CASOS, CONSIDERO EL CONTRIBUYENTE COMO DEDUCIBLES LAS TRANSACCIONES CON PARTES RELACIONADAS QUE LE REPRESENTARON UN COSTO O GASTO.</t>
  </si>
  <si>
    <t>VERIFICO DESDE EL PUNTO DE VISTA FORMAL EL CORRECTO LLENADO DE LA INFORMACION DE LAS OPERACIONES CON PARTES RELACIONADAS RESIDENTES EN EL EXTRANJERO, EFECTUADAS DURANTE EL AÑO INMEDIATO ANTERIOR (ANEXO 9 DIM) CONFORME A LA INFORMACION CONTENIDA EN LA DOCUMENTACION DE PRECIOS DE TRANSFERENCIA PARA LAS OPERACIONES CON PARTES RELACIONADAS RESIDENTES EN EL EXTRANJERO (ARTICULO 76, FRACCION IX DE LA LISR)</t>
  </si>
  <si>
    <t>DECLARACIONES ANUALES INFORMATIVAS DE PARTES RELACIONADAS (ARTICULO 76-A FRACCION X DE LA LISR) DE 2016 PRESENTADAS EN 2017</t>
  </si>
  <si>
    <t>VERIFICO LA PRESENTACION EN TIEMPO Y FORMA DE LA DECLARACION INFORMATIVA MAESTRA DE PARTES RELACIONADAS DEL GRUPO EMPRESARIAL MULTINACIONAL CORRESPONDIENTE AL EJERCICIO FISCAL DE 2016</t>
  </si>
  <si>
    <t>VERIFICO LA PRESENTACION EN TIEMPO Y FORMA DE LA DECLARACION INFORMATIVA LOCAL DE PARTES RELACIONADAS CORRESPONDIENTE AL EJERCICIO FISCAL DE 2016</t>
  </si>
  <si>
    <t>VERIFICO LA PRESENTACION EN TIEMPO Y FORMA DE LA DECLARACION INFORMATIVA PAIS POR PAIS DEL GRUPO EMPRESARIAL MULTINACIONAL CORRESPONDIENTE AL EJERCICIO FISCAL DE 2016</t>
  </si>
  <si>
    <t>EN CASO DE HABER OBSERVADO ERRORES EN EL LLENADO DE LAS DECLARACIONES ANUALES INFORMATIVAS DE PARTES RELACIONADAS CORRESPONDIENTE AL EJERCICIO FISCAL DE 2016, MENCIONO TAL CIRCUNSTANCIA COMO UNA SALVEDAD EN SU INFORME SOBRE LA REVISION DE LA SITUACION FISCAL DEL CONTRIBUYENTE</t>
  </si>
  <si>
    <t>EN CASO DE UNA CONCLUSION NEGATIVA EN LA EVIDENCIA DOCUMENTAL, INDIQUE SI REVELO ALGUNA SALVEDAD EN SU DICTAMEN</t>
  </si>
  <si>
    <t>VERIFICO EN LA EVIDENCIA DOCUMENTAL REFERIDA EN EL INDICE 01250037000000 LA APLICACION DE LOS METODOS DE PRECIOS DE TRANSFERENCIA ESTABLECIDOS EN EL ARTICULO 180 DE LA LISR EN LOS TERMINOS DEL TERCER PARRAFO DEL CITADO ARTICULO</t>
  </si>
  <si>
    <t>EN CASO DE NO HABERLOS APLICADO, INDIQUE SI REVELO ALGUNA SALVEDAD EN EL INFORME SOBRE LA REVISION DE LA SITUACION FISCAL DEL CONTRIBUYENTE, O BIEN EN SU DICTAMEN.</t>
  </si>
  <si>
    <t>VERIFICO EN EL CASO DE AJUSTES DE PRECIOS DE TRANSFERENCIA QUE HAYAN INCREMENTADO LAS DEDUCCIONES DEL CONTRIBUYENTE , QUE SE CUMPLIERAN TODOS LOS REQUISITOS ESTABLECIDOS EN LA REGLA 3.9.1.3.</t>
  </si>
  <si>
    <t>EN CASO DE HABER OBSERVADO QUE LAS RESPUESTAS DEL CONTRIBUYENTE A LOS INDICES 01170064000000 Y/O 01170065000000 DEL ANEXO 17 NO ERAN CORRECTAS Y LO LLEVARON A UN INCUPLIMIENTO FISCAL, SEÑALO ALGUNA SALVEDAD EN SU INFORME SOBRE LA REVISION DE LA SITUACION FISCAL DEL CONTRIBUYENTE, O BIEN EN SU DICTAMEN</t>
  </si>
  <si>
    <t>EN EL CASO DE MAQUILADORAS (ARTICULO 182 DE LA LISR)</t>
  </si>
  <si>
    <t>01250055000000</t>
  </si>
  <si>
    <t>01250056000000</t>
  </si>
  <si>
    <t>EN CASO DE HABER OBSERVADO QUE LAS RESPUESTAS DEL CONTRIBUYENTE A LOS INDICES 01170165000000 AL 01170170000000 DEL ANEXO 17 NO ERAN CORRECTAS, MENCIONO ALGUNA SALVEDAD EN SU INFORME SOBRE LA REVISION DE LA SITUACION FISCAL DEL CONTRIBUYENTE</t>
  </si>
  <si>
    <t>01250057000000</t>
  </si>
  <si>
    <t>01250058000000</t>
  </si>
  <si>
    <t>01250059000000</t>
  </si>
  <si>
    <t>IMPUESTO AL ACTIVO COMO SUJETO DIRECTO</t>
  </si>
  <si>
    <t>IMPUESTO AL VALOR AGREGADO CAUSADO COMO SUJETO DIRECTO</t>
  </si>
  <si>
    <t>IMPUESTO ESPECIAL SOBRE PRODUCCION Y SERVICIOS CAUSADO COMO SUJETO DIRECTO</t>
  </si>
  <si>
    <t>IMPUESTO SOBRE LA RENTA SOBRE DIVIDENDOS</t>
  </si>
  <si>
    <t>IMPUESTO AL VALOR AGREGADO COMO SUJETO DIRECTO</t>
  </si>
  <si>
    <t>IMPUESTO AL VALOR AGREGADO EN SU CARÁCTER DE RETENEDOR</t>
  </si>
  <si>
    <t>IMPUESTO ESPECIAL SOBRE PRODUCCION Y SERVICIOS COMO SUJETO DIRECTO</t>
  </si>
  <si>
    <t>IMPUESTO ESPECIAL SOBRE PRODUCCION Y SERVICIOS EN SU CARÁCTER DE RETENEDOR</t>
  </si>
  <si>
    <t>HOJA DE TRABAJO PARA LA CAPTURA DEL DICTAMEN FISCAL 2017</t>
  </si>
  <si>
    <t>dSoft S.A. de C.V.</t>
  </si>
  <si>
    <t>DATOS DE IDENTIFICACIÓN DEL CONTRIBUYENTE</t>
  </si>
  <si>
    <t>INDICE</t>
  </si>
  <si>
    <t>CONCEPTO</t>
  </si>
  <si>
    <t>DATOS DE IDENTIFICACIÓN DEL CONTADOR PÚBLICO</t>
  </si>
  <si>
    <t>DATOS DE IDENTIFICACIÓN DEL REPRESENTANTE LEGAL</t>
  </si>
  <si>
    <t>DATOS GENERALES</t>
  </si>
  <si>
    <t xml:space="preserve">5.- INTEGRACION ANALITICA DE VENTAS
O INGRESOS NETOS </t>
  </si>
  <si>
    <t>7.- ANALISIS COMPARATIVO DE LAS SUBCUENTAS DE GASTOS</t>
  </si>
  <si>
    <t xml:space="preserve">6.- DETERMINACION DEL COSTO DE LO VENDIDO PARA EFECTOS CONTABLES Y DEL IMPUESTO SOBRE LA RENTA </t>
  </si>
  <si>
    <t>8.- ANALISIS COMPARATIVO DE LAS
SUBCUENTAS DEL RESULTADO INTEGRAL
DE FINANCIAMIENTO</t>
  </si>
  <si>
    <t>2.- ESTADO DE RESULTADO INTEGRAL</t>
  </si>
  <si>
    <t>10.- RELACION DE CONTRIBUCIONES POR PAGAR</t>
  </si>
  <si>
    <t>3.- ESTADO DE CAMBIOS EN EL CAPITAL CONTABLE</t>
  </si>
  <si>
    <t>1.- ESTADO DE SITUACION FINANCIERA</t>
  </si>
  <si>
    <t>14.- SOCIOS O ACCIONISTAS QUE TUVIERON ACCIONES O PARTES SOCIALES</t>
  </si>
  <si>
    <t>20.- INVERSIONES</t>
  </si>
  <si>
    <t xml:space="preserve">4.- ESTADO DE FLUJOS DE EFECTIVO </t>
  </si>
  <si>
    <t>11.- CONCILIACION ENTRE EL RESULTADO CONTABLE Y FISCAL PARA EFECTOS DEL IMPUESTO SOBRE LA RENTA</t>
  </si>
  <si>
    <t>15.- CONCILIACION ENTRE LOS INGRESOS
DICTAMINADOS SEGUN ESTADO DE RESULTADO INTEGRAL Y LOS ACUMULABLES
PARA EFECTOS DEL IMPUESTO SOBRE LA RENTA Y  EL TOTAL DE ACTOS O ACTIVIDADES PARA EFECTOS DEL IMPUESTO AL VALOR AGREGADO</t>
  </si>
  <si>
    <t>9.- RELACION DE CONTRIBUCIONES A CARGO DEL CONTRIBUYENTE COMO SUJETO DIRECTO O EN SU CARACTER DE RETENEDOR</t>
  </si>
  <si>
    <t xml:space="preserve">18.- DATOS INFORMATIVOS </t>
  </si>
  <si>
    <t xml:space="preserve">12.- OPERACIONES FINANCIERAS DERIVADAS CONTRATADAS CON RESIDENTES EN EL EXTRANJERO </t>
  </si>
  <si>
    <t>13.- INVERSIONES PERMANENTES EN SUBSIDIARIAS, ASOCIADAS Y AFILIADAS
RESIDENTES EN EL EXTRANJERO</t>
  </si>
  <si>
    <t>16.- OPERACIONES CON PARTES RELACIONADAS</t>
  </si>
  <si>
    <t>17.- INFORMACION DEL CONTRIBUYENTE SOBRE 
SUS OPERACIONES CON PARTES RELACIONADAS</t>
  </si>
  <si>
    <t>21.- CUENTAS Y DOCUMENTOS POR COBRAR Y POR PAGAR EN MONEDA EXTRANJERA</t>
  </si>
  <si>
    <t xml:space="preserve">22.- PRESTAMOS DEL EXTRANJERO </t>
  </si>
  <si>
    <t>23.- INTEGRACION DE PERDIDAS FISCALES DE EJERCICIOS ANTERIORES</t>
  </si>
  <si>
    <t>CUESTIONARIO DE DIAGNOSTICO FISCAL (REVISION DEL CONTADOR PUBLICO)</t>
  </si>
  <si>
    <t>CUESTIONARIO EN MATERIA DE PRECIOS DE TRANSFERENCIA
(REVISION DEL CONTADOR PÚBLICO)</t>
  </si>
  <si>
    <t>(CIFRAS EN PESOS)</t>
  </si>
  <si>
    <t>REMUNERACIONES</t>
  </si>
  <si>
    <t>NOTA: SOLAMENTE SE CAPTURA LA INFORMACION DE ESTE ANEXO CUANDO SE HAYA ELEGIDO ALGUN TIPO DE SISTEMA DE COSTEO EN EL INDICE "01D021000" DEL ANEXO DE DATOS GENERALES</t>
  </si>
  <si>
    <t>CONFORME AL SISTEMA DE COSTEO ABSORBENTE, SOBRE LA BASE DE COSTOS HISTORICOS O PREDETERMINADOS PARA EFECTOS  FISCALES Y CON LOS METODOS DE VALUACION DE COSTO DE ADQUISICION Y COSTO ESTANDAR PARA EFECTOS CONTABLES</t>
  </si>
  <si>
    <t>NOTA: PARA EL LLENADO DE ESTE ANEXO ES NECESARIO CAPTURAR PRIMERO LA INFORMACION DE LOS ANEXOS 5, 6 (CUANDO SE ESTE OBLIGADO AL LLENADO DE ESTE ANEXO), 7 Y 8.</t>
  </si>
  <si>
    <t>IMPUESTO SOBRE LA RENTA CAUSADO COMO SUJETO DIRECTO</t>
  </si>
  <si>
    <t>ACTIVO</t>
  </si>
  <si>
    <t>ACTIVO CIRCULANTE</t>
  </si>
  <si>
    <t>EFECTIVO E INSTRUMENTOS FINANCIEROS</t>
  </si>
  <si>
    <t>NOMBRE, DENOMINACION O RAZON SOCIAL DEL SOCIO O ACCIONISTA</t>
  </si>
  <si>
    <t>ACTIVOS FIJOS</t>
  </si>
  <si>
    <t>CONFORME AL METODO INDIRECTO</t>
  </si>
  <si>
    <t>CONTRIBUCIONES A CARGO DEL CONTRIBUYENTE COMO SUJETO DIRECTO</t>
  </si>
  <si>
    <t>NOTA: SOLAMENTE SE CAPTURA LA INFORMACION DE ESTE ANEXO CUANDO SE HAYA ANOTADO “SI” EN EL CONCEPTO “01D060000", DEL ANEXO DE DATOS GENERALES</t>
  </si>
  <si>
    <t xml:space="preserve"> NOMBRE, DENOMINACION O RAZON SOCIAL DEL RESIDENTE EN EL EXTRANJERO</t>
  </si>
  <si>
    <t>NOTA: SOLAMENTE SE CAPTURA LA INFORMACION DE ESTE ANEXO CUANDO SE HAYA ANOTADO “SI” EN EL CONCEPTO “01D061000”, DEL ANEXO DE DATOS GENERALES</t>
  </si>
  <si>
    <t>NOMBRE, DENOMINACION O RAZON SOCIAL DE LA SUBSIDIARIA, ASOCIADA O AFILIADA</t>
  </si>
  <si>
    <t>NOTA:SOLAMENTE SE CAPTURA LA INFORMACION DE ESTE ANEXO CUANDO SE HAYA ANOTADO “SI” EN EL CONCEPTO “01D034000”, DEL ANEXO DE DATOS GENERALES</t>
  </si>
  <si>
    <t>DENOMINACION O RAZON SOCIAL DE LA PARTE RELACIONADA</t>
  </si>
  <si>
    <t>INGRESOS ACUMULABLES</t>
  </si>
  <si>
    <t>CONOCIMIENTO DEL NEGOCIO. INFORMACION GENERAL</t>
  </si>
  <si>
    <t>CUAL(ES) ES (SON) LA (S) ACTIVIDAD(ES) PREPONDERANTE(S) DEL CONTRIBUYENTE:</t>
  </si>
  <si>
    <t>NOTA: SOLAMENTE SE CAPTURA LA INFORMACION DE ESTE ANEXO CUANDO SE HAYA ANOTADO “SI” EN EL CONCEPTO “01D062000”, DEL ANEXO DE DATOS GENERALES</t>
  </si>
  <si>
    <t>NOTA:SOLAMENTE SE CAPTURA LA INFORMACIÓN DE ESTE ANEXO CUANDO SE HAYA ANOTADO “SI” EN EL CONCEPTO "01D063000”, DEL ANEXO DE DATOS GENERALES</t>
  </si>
  <si>
    <t>NOMBRE, DENOMINACION O RAZON SOCIAL 
DEL DEUDOR</t>
  </si>
  <si>
    <t>NOTA:SOLAMENTE SE CAPTURA LA INFORMACIÓN DE ESTE ANEXO CUANDO SE HAYA ANOTADO “SI” EN EL CONCEPTO "01D064000”, DEL ANEXO DE DATOS GENERALES</t>
  </si>
  <si>
    <t>NOMBRE, DENOMINACION O RAZON SOCIAL DEL RESIDENTE EN EL EXTRANJERO</t>
  </si>
  <si>
    <t>PARTES RELACIONADAS</t>
  </si>
  <si>
    <t>NOTA: SOLAMENTE SE CAPTURA LA INFORMACIÓN DE ESTE ANEXO CUANDO SE HAYA ANOTADO “SI” EN CUALQUIERA DE LOS CONCEPTOS “01D037000 Y/O 01D038000”, DEL ANEXO DE DATOS GENERALES</t>
  </si>
  <si>
    <t>EL CUESTIONARIO QUE SE SEÑALA A CONTINUACION, CONTIENE INFORMACION RELATIVA A LA REVISION EFECTUADA POR EL CONTADOR PUBLICO INSCRITO A LOS ESTADOS FINANCIEROS DEL CONTRIBUYENTE, QUE FORMAN PARTE DEL INFORME SOBRE LA REVISION DE LA SITUACION FISCAL DEL CONTRIBUYENTE.</t>
  </si>
  <si>
    <t>TODA PREGUNTA DEBE SER ENTENDIDA CON RESPECTO AL EJERCICIO FISCAL SUJETO A REVISIÓN. EN AQUELLOS CUESTIONAMIENTOS QUE NO APLIQUEN AL CONTRIBUYENTE, ASÍ COMO CUANDO A CRITERIO DEL CONTADOR PÚBLICO QUE RESPONDA EL CUESTIONARIO NO HAY UNA RESPUESTA POSIBLE PARA UNA PREGUNTA EN UN RENGLÓN DETERMINADO, O BIEN, SIMPLEMENTE NO FUE REVISADO POR NO CAER EN EL ALCANCE DE REVISIÓN, SE PODRÁ DEJAR EN BLANCO EL RENGLÓN QUE CORRESPONDA, HACIENDO LAS ACLARACIONES CORRESPONDIENTES EN EL INFORME SOBRE LA REVISIÓN DE LA SITUACIÓN FISCAL DEL CONTRIBUYENTE, YA QUE DE NO HACERLO EL SERVICIO DE ADMINISTRACIÓN TRIBUTARIA ENTENDERÁ QUE EL CONTRIBUYENTE TENÍA LA OBLIGACIÓN CUESTIONADA Y NO LE DIO CUMPLIMIENTO.</t>
  </si>
  <si>
    <t>PROCEDIMIENTOS DE AUDITORIA APLICADOS PARA 
LA REVISION DE ESTADOS FINANCIEROS</t>
  </si>
  <si>
    <t>DE ACUERDO CON SUS PRUEBAS DE AUDITORIA, EL ALCANCE A LAS MISMAS Y CON LA EVIDENCIA QUE CONSERVA EN SUS PAPELES DE TRABAJO RESPONDA SI SE CERCIORO DE QUE EL CONTRIBUYENTE CUMPLIERA CON LO SIGUIENTE:</t>
  </si>
  <si>
    <t>CAPITALIZACION INSUFICIENTE (ARTICULO 28 FRACCION XXVII DE LA LISR)</t>
  </si>
  <si>
    <t>2017</t>
  </si>
  <si>
    <t>TOTAL  2017</t>
  </si>
  <si>
    <t>PARTES _x000D_
RELACIONADAS _x000D_
2017</t>
  </si>
  <si>
    <t>PARTES NO_x000D_
RELACIONADAS _x000D_
2017</t>
  </si>
  <si>
    <t>PARTES NO _x000D_
RELACIONADAS _x000D_
2016</t>
  </si>
  <si>
    <t>TOTAL       ACUMULABLES 
PARA ISR                    2017</t>
  </si>
  <si>
    <t xml:space="preserve">TOTAL  NO ACUMULABLES 
PARA ISR                     2017                                                 
</t>
  </si>
  <si>
    <t>TOTAL       ACUMULABLES         PARA ISR                     2016</t>
  </si>
  <si>
    <t>TOTAL NO ACUMULABLES 
PARA ISR                    2016</t>
  </si>
  <si>
    <t>GASTOS DE_x000D_
FABRICACION                2017</t>
  </si>
  <si>
    <t>GASTOS DE_x000D_
VENTA 2017</t>
  </si>
  <si>
    <t>GASTOS DE_x000D_
ADMINISTRACION      2017</t>
  </si>
  <si>
    <t>GASTOS_x000D_
GENERALES                  2017</t>
  </si>
  <si>
    <t>TOTAL                                2017</t>
  </si>
  <si>
    <t>TOTAL           DEDUCIBLES_x000D_
PARA ISR                         2017</t>
  </si>
  <si>
    <t>TOTAL NO_x000D_ DEDUCIBLES_x000D_
PARA ISR                         2017</t>
  </si>
  <si>
    <t>GASTOS DE 
FABRICACION                2016</t>
  </si>
  <si>
    <t>GASTOS DE 
VENTA 2016</t>
  </si>
  <si>
    <t>GASTOS DE 
ADMINISTRACION       2016</t>
  </si>
  <si>
    <t>GASTOS 
GENERALES                  2016</t>
  </si>
  <si>
    <t>TOTAL            DEDUCIBLES
PARA ISR                         2016</t>
  </si>
  <si>
    <t>TOTAL NO DEDUCIBLES 
PARA ISR                         2016</t>
  </si>
  <si>
    <t>ACUMULABLES O DEDUCIBLES               PARA ISR                    2017</t>
  </si>
  <si>
    <t>NO ACUMULABLES          O NO _x000D_AFECTOS A L ISR_x000D_ (INGRESOS) NO DEDUCIBLES_x000D_
(GASTOS)_x000D_
PARA ISR                     2017</t>
  </si>
  <si>
    <t>ACUMULABLES O DEDUCIBLES               PARA ISR                     2016</t>
  </si>
  <si>
    <t>NO ACUMULABLES          O NO AFECTOS              AL ISR (INGRESOS)       NO DEDUCIBLES (GASTOS) 
PARA ISR                     2016</t>
  </si>
  <si>
    <t>SALDO INSOLUTO 
DEL PRESTAMO AL 
31 DE DICIEMBRE 
DE 2016</t>
  </si>
  <si>
    <t>SALDO 
INSOLUTO AL 
31 DE DICIEMBRE 
DE 2017</t>
  </si>
  <si>
    <t>19.- INFORMACION DE LOS PAGOS REALIZADOS POR LA  DETERMINACION DEL IMPUESTO SOBRE LA RENTA E IMPUESTO AL ACTIVO DIFERIDO POR DESCONSOLIDACION AL 31 DE DICIEMBRE DE 2013 Y EL PAGADO HASTA EL 30 DE ABRIL DEL 2018</t>
  </si>
  <si>
    <t>CLIENTES</t>
  </si>
  <si>
    <t>CAPITAL SOCIAL PROVENIENTE DE CAPITALIZACION</t>
  </si>
  <si>
    <t>PRIMA EN SUSCRIPCION DE ACCIONES</t>
  </si>
  <si>
    <t>UTILIDAD BASICA POR ACCION ORDINARIA</t>
  </si>
  <si>
    <t>AJUSTE POR APLICACION RETROSPECTIVA POR CAMBIOS CONTABLES Y CORRECCIONES DE ERRORES</t>
  </si>
  <si>
    <t>SALDOS AL 1 DE ENERO DE 2017 AJUSTADOS</t>
  </si>
  <si>
    <t>PAGO DE PASIVOS</t>
  </si>
  <si>
    <t>VENTAS TOTALES AL EXTRANJERO DE INVENTARIOS PRODUCIDOS</t>
  </si>
  <si>
    <t>VENTAS TOTALES AL EXTRANJERO DE INVENTARIOS ADQUIRIDOS PARA SU DISTRIBUCION</t>
  </si>
  <si>
    <t>GANANCIA EN VENTA DE ACTIVO FIJO</t>
  </si>
  <si>
    <t>GANANCIA EN VENTA DE TERRENOS</t>
  </si>
  <si>
    <t>COSTO DE PRODUCCION</t>
  </si>
  <si>
    <t>DEPRECIACION FISCAL DE INVERSIONES RELACIONADAS CON LA PRODUCCION</t>
  </si>
  <si>
    <t>CONCEPTOS NO DEDUCIBLES SIN INCLUIR DEPRECIACION</t>
  </si>
  <si>
    <t>REGALIAS SIN RETENCION</t>
  </si>
  <si>
    <t>REGALIAS SUJETAS AL 5%</t>
  </si>
  <si>
    <t>REGALIAS SUJETAS AL 25%</t>
  </si>
  <si>
    <t>TOTAL DE LITROS ENAJENADOS DE BEBIDAS SABORIZADAS</t>
  </si>
  <si>
    <t>COMBUSTIBLES FOSILES, LITROS ENAJENADOS DE PROPANO (CUOTA DE $5.91 POR LITRO)</t>
  </si>
  <si>
    <t>COMBUSTIBLES FOSILES, LITROS ENAJENADOS DE BUTANO (CUOTA DE $7.66 POR LITRO)</t>
  </si>
  <si>
    <t>COMBUSTIBLES FOSILES, LITROS ENAJENADOS DE GASOLINAS Y GASAVION (CUOTA DE $10.38 POR LITRO)</t>
  </si>
  <si>
    <t>COMBUSTIBLES FOSILES, LITROS ENAJENADOS DE TURBOSINA Y OTROS KEROSENOS (CUOTA DE $12.40 POR LITRO)</t>
  </si>
  <si>
    <t>COMBUSTIBLES FOSILES, LITROS ENAJENADOS DE DIESEL (CUOTA DE $12.59 POR LITRO)</t>
  </si>
  <si>
    <t>COMBUSTIBLES FOSILES, LITROS ENAJENADOS DE COMBUSTOLEO (CUOTA DE $13.45 POR LITRO)</t>
  </si>
  <si>
    <t>COMBUSTIBLES FOSILES, TONELADAS ENAJENADAS DE COQUE DE PETROLEO (CUOTA DE $15.60 POR TONELADA)</t>
  </si>
  <si>
    <t>COMBUSTIBLES FOSILES, TONELADAS ENAJENADAS DE COQUE DE CARBON (CUOTA DE $36.57 POR TONELADA)</t>
  </si>
  <si>
    <t>COMBUSTIBLES FOSILES, TONELADAS ENAJENADAS DE CARBON MINERAL (CUOTA DE $27.54 POR TONELADA)</t>
  </si>
  <si>
    <t>COMBUSTIBLES FOSILES, TONELADAS ENAJENADAS DE OTROS COMBUSTIBLES FOSILES (CUOTA DE $39.80 POR TONELADA)</t>
  </si>
  <si>
    <t>TOTAL DE LITROS IMPORTADOS DE BEBIDAS SABORIZADAS</t>
  </si>
  <si>
    <t>COMBUSTIBLES FOSILES, LITROS IMPORTADOS DE PROPANO (CUOTA DE $5.91 POR LITRO)</t>
  </si>
  <si>
    <t>COMBUSTIBLES FOSILES, LITROS IMPORTADOS DE BUTANO (CUOTA DE $7.66 POR LITRO)</t>
  </si>
  <si>
    <t>COMBUSTIBLES FOSILES, LITROS IMPORTADOS DE GASOLINAS Y GASAVION (CUOTA DE $10.38 POR LITRO)</t>
  </si>
  <si>
    <t>COMBUSTIBLES FOSILES, LITROS IMPORTADOS DE TURBOSINA Y OTROS KEROSENOS (CUOTA DE $12.40 POR LITRO)</t>
  </si>
  <si>
    <t>COMBUSTIBLES FOSILES, LITROS IMPORTADOS DE DIESEL (CUOTA DE $12.59 POR LITRO)</t>
  </si>
  <si>
    <t>COMBUSTIBLES FOSILES, LITROS IMPORTADOS DE COMBUSTOLEO (CUOTA DE $13.45 POR LITRO)</t>
  </si>
  <si>
    <t>COMBUSTIBLES FOSILES, TONELADAS IMPORTADAS DE COQUE DE PETROLEO (CUOTA DE $15.60 POR TONELADA)</t>
  </si>
  <si>
    <t>COMBUSTIBLES FOSILES, TONELADAS IMPORTADAS DE COQUE DE CARBON (CUOTA DE $36.57 POR TONELADA)</t>
  </si>
  <si>
    <t>COMBUSTIBLES FOSILES, TONELADAS IMPORTADAS DE CARBON MINERAL (CUOTA DE $27.54 POR TONELADA)</t>
  </si>
  <si>
    <t>COMBUSTIBLES FOSILES, TONELADAS IMPORTADAS DE OTROS COMBUSTIBLES FOSILES (CUOTA DE $39.80 POR TONELADA)</t>
  </si>
  <si>
    <t>VALOR DE LOS CIGARROS ENAJENADOS (CUOTA DE $0.35 POR CIGARRO)</t>
  </si>
  <si>
    <t>VALOR DE LOS CIGARROS IMPORTADOS (CUOTA DE $0.35 POR CIGARRO)</t>
  </si>
  <si>
    <t>HONORARIOS AL 35% ART 96 L.I.S.R.</t>
  </si>
  <si>
    <t>INTERESES AL 21%</t>
  </si>
  <si>
    <t>ADQUISICION DE DESPERDICIOS</t>
  </si>
  <si>
    <t>CORRESPONDIENTE AL DERECHO</t>
  </si>
  <si>
    <t>INVENTARIO ACUMULABLE</t>
  </si>
  <si>
    <t>PROPORCION DE PAGOS QUE SEAN INGRESOS EXENTOS PARA EL TRABAJADOR</t>
  </si>
  <si>
    <t>CARGOS A ESTIMACIONES</t>
  </si>
  <si>
    <t>RESULTADO INTEGRAL DE FINANCIAMIENTO CAPITALIZABLE</t>
  </si>
  <si>
    <t>RESULTADO FAVORABLE POR CONVERSION DE OPERACIONES EXTRANJERAS</t>
  </si>
  <si>
    <t>RESULTADO FAVORABLE NO REALIZADO EN Y/O SOBRE INSTRUMENTOS FINANCIEROS</t>
  </si>
  <si>
    <t>PARTICIPACION FAVORABLE DE LOS OTROS RESULTADOS INTEGRALES DE ASOCIADAS</t>
  </si>
  <si>
    <t>GANANCIA FISCAL EN LA ENAJENACION DE ACCIONES O PARTES SOCIALES</t>
  </si>
  <si>
    <t>GANANCIA FISCAL EN LA ENAJENACION DE TITULOS VALOR</t>
  </si>
  <si>
    <t>DISTRIBUCION</t>
  </si>
  <si>
    <t>MONTO DE LAS TRANSACCIONES</t>
  </si>
  <si>
    <t>SE CUENTA CON DOCUMENTACION COMPROBATORIA QUE SUSTENTE LOS AJUSTES REALIZADOS</t>
  </si>
  <si>
    <t>CUANTIFIQUE EL BENEFICIO RECIBIDO O SE ESPERA RECIBIR DEL GASTO A PRORRATA</t>
  </si>
  <si>
    <t>PRESENTO A LAS AUTORIDADES FISCALES EL ESTUDIO SOBRE LA DETERMINACION DEL PRECIO DE VENTA DE LAS ACCIONES EN LOS TERMINOS DE LOS ARTICULOS 179 Y 180 DE LA LISR CON LOS ELEMENTOS CONTENIDOS EN EL INCISO E) DE LA FRACCION I DEL ARTICULO 179 DE LA LISR (SEGUNDO PARRAFO DEL INCISO B) CORRESPONDIENTE A SU VEZ AL CUARTO PARRAFO DE LA FRACCION XVII DEL ARTICULO 28 DE LA LISR)</t>
  </si>
  <si>
    <t>REALIZO DURANTE EL EJERCICIO FISCAL (EN EL PROPIO EJERCICIO SUJETO A REVISION O PARA EFECTOS DE EJERCICIOS ANTERIORES) ALGUN AJUSTE EN MATERIA DE PRECIOS DE TRANSFERENCIA COMO CONSECUENCIA DE APLICAR LO SEÑALADO EN LA DOCUMENTACION DE PRECIOS DE TRANSFERENCIA DE ALGUNA PARTE RELACIONADA RESIDENTE EN EL EXTRANJERO</t>
  </si>
  <si>
    <t>LLEVO A CABO AJUSTES CORRESPONDIENTES EN MATERIA DE PRECIOS DE TRANSFERENCIA DURANTE EL EJERCICIO FISCAL (EN EL PROPIO EJERCICIO SUJETO A REVISION O PARA EFECTOS DE EJERCICIOS ANTERIORES) SIN CUMPLIR CON LO ESTABLECIDO EN EL ARTICULO 184 DE LA LISR</t>
  </si>
  <si>
    <t>FECHA DE ELABORACION DE LA INFORMACION Y DOCUMENTACION DE PRECIOS DE TRANSFERENCIA ASOCIADA CON LA DECLARACION</t>
  </si>
  <si>
    <t>PAIS DE RESIDENCIA DEL RESIDENTE EN EL EXTRANJERO</t>
  </si>
  <si>
    <t>OPTO POR APLICAR EL ESTIMULO FISCAL CONSISTENTE EN UNA DEDUCCION ADICIONAL CALCULADA DE CONFORMIDAD CON EL ARTICULO PRIMERO DEL DECRETO PUBLICADO EN EL D.O.F. EL 26 DE DICIEMBRE DE 2013</t>
  </si>
  <si>
    <t>ACTUALIZACION POR INFLACION</t>
  </si>
  <si>
    <t>IVA ACREDITADO POR LA IMPORTACION DEL USO O GOCE DE BIENES INTANGIBLES</t>
  </si>
  <si>
    <t>IMPUESTO SOBRE LA RENTA QUE SE ENTERARA EN LAS SIGUIENTES ANUALIDADES</t>
  </si>
  <si>
    <t>IMPUESTO AL ACTIVO QUE SE ENTERARA EN LAS SIGUIENTES ANUALIDADES</t>
  </si>
  <si>
    <t>VERIFICO LA PRESENTACION OPORTUNA DE LA INFORMACION DE LAS OPERACIONES CON PARTES RELACIONADAS RESIDENTES EN EL EXTRANJERO, EFECTUADAS DURANTE EL AÑO INMEDIATO ANTERIOR (ANEXO 9 DIM).</t>
  </si>
  <si>
    <t>OBSERVO ALGUNA INCONSISTENCIA DE INDOLE FORMAL, POR PARTE DEL CONTRIBUYENTE EN LAS RESPUESTAS DE LA INFORMACION DEL CONTRIBUYENTE SOBRE SUS OPERACIONES CON PARTES RELACIONADAS</t>
  </si>
  <si>
    <t>VERIFICO, EN EL CASO DE QUE LA EMPRESA ACTUARA BAJO EL PROGRAMA DE ALBERGUE, QUE EL CONTRIBUYENTE HUBIERA DADO CUMPLIMIENTO A LO DISPUESTO POR EL ARTICULO 183, SEGUNDO Y CUARTO PARRAFOS DE LA LISR</t>
  </si>
  <si>
    <t>VERIFICO SI LAS CIFRAS REPORTADAS EN ESTA ULTIMA DECLARACION COINCIDEN CON LAS REGISTRADAS EN CONTABILIDAD DEL CONTRIBUYENTE, INCLUSO EN CUENTAS DE ORDEN</t>
  </si>
  <si>
    <t>EN CASO DE INCUMPLIMIENTOS DEL CONTRIBUYENTE (INDICES 01250057000000 AL 01250058000000) MENCIONO TAL CIRCUNSTANCIA COMO UNA SALVEDAD EN SU INFORME SOBRE LA REVISION DE LA SITUACION FISCAL DEL CONTRIBUYENTE</t>
  </si>
  <si>
    <t>FORMA PARTE DE UN FIDEICOMISO</t>
  </si>
  <si>
    <t>REALIZO OPERACIONES CON PARTES RELACIONADAS (EN CASO AFIRMATIVO DEBE LLENAR LOS ANEXOS 16 Y 17)</t>
  </si>
  <si>
    <t>REALIZO OPERACIONES CON PARTES RELACIONADAS NACIONALES</t>
  </si>
  <si>
    <t>REALIZO OPERACIONES CON PARTES RELACIONADAS EXTRANJERAS</t>
  </si>
  <si>
    <t>OBTUVO ALGUNA RESOLUCION POR PARTE DEL SAT, DE LA SHCP O DE LA PRODECON QUE HAYA AFECTADO SU SITUACION FISCAL DURANTE EL EJERCICIO</t>
  </si>
  <si>
    <t>LAS ACCIONES DEL CONTRIBUYENTE RELACIONADAS CON LA REESTRUCTURA A QUE SE REFIERE EL INDICE ANTERIOR, PERMANECIERON EN EL GRUPO REESTRUCTURADO DURANTE EL EJERCICIO DICTAMINADO</t>
  </si>
  <si>
    <t>EXPEDIR COMPROBANTES POR LAS ACTIVIDADES REALIZADAS Y CONSERVAR LOS ARCHIVOS (ARTICULOS 76 FRACCIONES II Y XVII Y 110 FRACCION III Y IV DE LA LEY)</t>
  </si>
  <si>
    <t>EN EL CASO DEL OTORGAMIENTO DEL USO O GOCE TEMPORAL DE AUTOMOVILES Y AVIONES, CUMPLIO CON LOS REQUISITOS ESTABLECIDOS PARA SU DEDUCCION (ARTICULOS 28 FRACCION XIII Y 105 ULTIMO PARRAFO DE LA LEY Y 52 Y 53 DEL REGLAMENTO DE LA LEY</t>
  </si>
  <si>
    <t>ESCINDIDA</t>
  </si>
  <si>
    <t>001 - AF - AFGANISTAN [EMIRATO ISLAMICO DE]</t>
  </si>
  <si>
    <t>002 - AL - ALBANIA [REPUBLICA DE]</t>
  </si>
  <si>
    <t>003 - DE - ALEMANIA [REPUBLICA FEDERAL DE]</t>
  </si>
  <si>
    <t>004 - AD - ANDORRA [PRINCIPADO DE]</t>
  </si>
  <si>
    <t>005 - AO - ANGOLA [REPUBLICA DE]</t>
  </si>
  <si>
    <t>006 - AI - ANGUILA</t>
  </si>
  <si>
    <t>007 - AQ - ANTARTIDA</t>
  </si>
  <si>
    <t>008 - AG -ANTIGUA Y BARBUDA [COMUNIDAD BRITANICA DE NACIONES]</t>
  </si>
  <si>
    <t>009 - AN - ANTILLAS NEERLANDESAS [TERRITORIO HOLANDES DE ULTRAMAR]</t>
  </si>
  <si>
    <t>010 - SA - ARABIA SAUDITA [REINO DE]</t>
  </si>
  <si>
    <t>011 - DZ - ARGELIA [REPUBLICA DEMOCRATICA Y POPULAR DE]</t>
  </si>
  <si>
    <t>012 - AR - ARGENTINA [REPUBLICA]</t>
  </si>
  <si>
    <t>013 - AM - ARMENIA [REPUBLICA DE]</t>
  </si>
  <si>
    <t>014 - AW - ARUBA [TERRITORIO HOLANDES DE ULTRAMAR]</t>
  </si>
  <si>
    <t>015 - AU - AUSTRALIA [COMUNIDAD DE]</t>
  </si>
  <si>
    <t>016 - AT - AUSTRIA [REPUBLICA DE]</t>
  </si>
  <si>
    <t>017 - AZ - AZERBAIJAN [REPUBLICA AZERBAIJANI]</t>
  </si>
  <si>
    <t>018 - BS - BAHAMAS [COMUNIDAD DE LAS]</t>
  </si>
  <si>
    <t>019 - BH - BAHREIN [ESTADO DE]</t>
  </si>
  <si>
    <t>020 - BD - BANGLADESH [REPUBLICA POPULAR DE]</t>
  </si>
  <si>
    <t>021 - BB - BARBADOS [COMUNIDAD BRITANICA DE NACIONES]</t>
  </si>
  <si>
    <t>022 - BE - BELGICA [REINO DE]</t>
  </si>
  <si>
    <t>023 - BZ - BELICE</t>
  </si>
  <si>
    <t>024 - BJ - BENIN [REPUBLICA DE]</t>
  </si>
  <si>
    <t>025 - BM - BERMUDAS</t>
  </si>
  <si>
    <t>026 - BY - BIELORRUSIA [REPUBLICA DE]</t>
  </si>
  <si>
    <t>027 - BO - BOLIVIA [REPUBLICA DE]</t>
  </si>
  <si>
    <t>028 - BA - BOSNIA Y HERZEGOVINA</t>
  </si>
  <si>
    <t>029 - BW - BOTSWANA [REPUBLICA DE]</t>
  </si>
  <si>
    <t>030 - BR - BRASIL [REPUBLICA FEDERATIVA DE]</t>
  </si>
  <si>
    <t>031 - BN - BRUNEI [ESTADO DE] [RESIDENCIA DE PAZ]</t>
  </si>
  <si>
    <t>032 - BG - BULGARIA [REPUBLICA DE]</t>
  </si>
  <si>
    <t>033 - BF - BURKINA FASO</t>
  </si>
  <si>
    <t>034 - BI - BURUNDI [REPUBLICA DE]</t>
  </si>
  <si>
    <t>035 - BT - BUTAN [REINO DE]</t>
  </si>
  <si>
    <t>036 - CV - CABO VERDE [REPUBLICA DE]</t>
  </si>
  <si>
    <t>037 - TD - CHAD [REPUBLICA DEL]</t>
  </si>
  <si>
    <t>038 - KY - CAIMAN [ISLAS]</t>
  </si>
  <si>
    <t>039 - KH - CAMBOYA [REINO DE]</t>
  </si>
  <si>
    <t>040 - CM - CAMERUN [REPUBLICA DEL]</t>
  </si>
  <si>
    <t>041 - CA - CANADA</t>
  </si>
  <si>
    <t>042 - CL - CHILE [REPUBLICA DE]</t>
  </si>
  <si>
    <t>043 - CN - CHINA [REPUBLICA POPULAR]</t>
  </si>
  <si>
    <t>044 - CY - CHIPRE [REPUBLICA DE]</t>
  </si>
  <si>
    <t>045 - VA - CIUDAD DEL VATICANO [ESTADO DE LA]</t>
  </si>
  <si>
    <t>046 - CC - COCOS [KEELING; ISLAS AUSTRALIANAS]</t>
  </si>
  <si>
    <t>047 - CO - COLOMBIA [REPUBLICA DE]</t>
  </si>
  <si>
    <t>048 - KM - COMORAS [ISLAS]</t>
  </si>
  <si>
    <t>049 - CG - CONGO [REPUBLICA DEL]</t>
  </si>
  <si>
    <t>050 - CK - COOK [ISLAS]</t>
  </si>
  <si>
    <t>051 - KP - COREA [REPUBLICA POPULAR DEMOCRATICA DE] [COREA DEL NORTE]</t>
  </si>
  <si>
    <t>052 - KR - COREA [REPUBLICA DE] [COREA DEL SUR]</t>
  </si>
  <si>
    <t>053 - CI - COSTA DE MARFIL [REPUBLICA DE LA]</t>
  </si>
  <si>
    <t>054 - CR - COSTA RICA [REPUBLICA DE]</t>
  </si>
  <si>
    <t>055 - HR - CROACIA [REPUBLICA DE]</t>
  </si>
  <si>
    <t>056 - CU - CUBA [REPUBLICA DE]</t>
  </si>
  <si>
    <t>057 - DK - DINAMARCA [REINO DE]</t>
  </si>
  <si>
    <t>058 - DJ - DJIBOUTI [REPUBLICA DE]</t>
  </si>
  <si>
    <t>059 - DM - DOMINICA [COMUNIDAD DE]</t>
  </si>
  <si>
    <t>060 - EC - ECUADOR [REPUBLICA DEL]</t>
  </si>
  <si>
    <t>061 - EG - EGIPTO [REPUBLICA ARABE DE]</t>
  </si>
  <si>
    <t>062 - SV - EL SALVADOR [REPUBLICA DE]</t>
  </si>
  <si>
    <t>063 - AE - EMIRATOS ARABES UNIDOS</t>
  </si>
  <si>
    <t>064 - ER - ERITREA [ESTADO DE]</t>
  </si>
  <si>
    <t>065 - SI - ESLOVENIA [REPUBLICA DE]</t>
  </si>
  <si>
    <t>066 - ES - ESPAÑA [REINO DE]</t>
  </si>
  <si>
    <t>067 - FM - ESTADO FEDERADO DE MICRONESIA</t>
  </si>
  <si>
    <t>068 - US - ESTADOS UNIDOS DE AMERICA</t>
  </si>
  <si>
    <t>069 - EE - ESTONIA [REPUBLICA DE]</t>
  </si>
  <si>
    <t>070 - ET - ETIOPIA [REPUBLICA DEMOCRATICA FEDERAL]</t>
  </si>
  <si>
    <t>071 - FJ - FIDJI [REPUBLICA DE]</t>
  </si>
  <si>
    <t>072 - PH - FILIPINAS [REPUBLICA DE LAS]</t>
  </si>
  <si>
    <t>073 - FI - FINLANDIA [REPUBLICA DE]</t>
  </si>
  <si>
    <t>074 - FR - FRANCIA [REPUBLICA FRANCESA]</t>
  </si>
  <si>
    <t>075 - GA - GABONESA [REPUBLICA]</t>
  </si>
  <si>
    <t>076 - GM - GAMBIA [REPUBLICA DE LA]</t>
  </si>
  <si>
    <t>077 - GE - GEORGIA [REPUBLICA DE]</t>
  </si>
  <si>
    <t>078 - GH - GHANA [REPUBLICA DE]</t>
  </si>
  <si>
    <t>079 - GI - GIBRALTAR [R.U.]</t>
  </si>
  <si>
    <t>080 - GD - GRANADA</t>
  </si>
  <si>
    <t>081 - GR - GRECIA [REPUBLICA HELENICA]</t>
  </si>
  <si>
    <t>082 - GL - GROENLANDIA [DINAMARCA]</t>
  </si>
  <si>
    <t>083 - GP - GUADALUPE [DEPARTAMENTO DE]</t>
  </si>
  <si>
    <t>084 - GU - GUAM [E.U.A.]</t>
  </si>
  <si>
    <t>085 - GT - GUATEMALA [REPUBLICA DE]</t>
  </si>
  <si>
    <t>086 - GG - GUERNSEY</t>
  </si>
  <si>
    <t>087 - GW - GUINEA-BISSAU [REPUBLICA DE]</t>
  </si>
  <si>
    <t>088 - GQ - GUINEA ECUATORIAL [REPUBLICA DE]</t>
  </si>
  <si>
    <t>089 - GN - GUINEA [REPUBLICA DE]</t>
  </si>
  <si>
    <t>090 - GF - GUYANA FRANCESA</t>
  </si>
  <si>
    <t>091 - GY - GUYANA [REPUBLICA COOPERATIVA DE]</t>
  </si>
  <si>
    <t>092 - HT - HAITI [REPUBLICA DE]</t>
  </si>
  <si>
    <t>093 - HN - HONDURAS [REPUBLICA DE]</t>
  </si>
  <si>
    <t>094 - HK - HONG KONG [REGION ADMINISTRATIVA ESPECIAL DE LA REPUBLICA]</t>
  </si>
  <si>
    <t>095 - HU - HUNGRIA [REPUBLICA DE]</t>
  </si>
  <si>
    <t>096 - IN - INDIA [REPUBLICA DE]</t>
  </si>
  <si>
    <t>097 - ID - INDONESIA [REPUBLICA DE]</t>
  </si>
  <si>
    <t>098 - IQ - IRAK [REPUBLICA DE]</t>
  </si>
  <si>
    <t>099 - IR - IRAN [REPUBLICA ISLAMICA DEL]</t>
  </si>
  <si>
    <t>100 - IE - IRLANDA [REPUBLICA DE]</t>
  </si>
  <si>
    <t>101 - IS - ISLANDIA [REPUBLICA DE]</t>
  </si>
  <si>
    <t>102 - BV - ISLA BOUVET</t>
  </si>
  <si>
    <t>103 - IM - ISLA DE MAN</t>
  </si>
  <si>
    <t>104 - AX - ISLAS ALAND</t>
  </si>
  <si>
    <t>105 - FO - ISLAS FEROE</t>
  </si>
  <si>
    <t>106 - GS - ISLAS GEORGIA Y SANDWICH DEL SUR</t>
  </si>
  <si>
    <t>107 - HM - ISLAS HEARD Y MCDONALD</t>
  </si>
  <si>
    <t>108 - FK - ISLAS MALVINAS [R.U.]</t>
  </si>
  <si>
    <t>109 - MP - ISLAS MARIANAS SEPTENTRIONALES</t>
  </si>
  <si>
    <t>110 - MH - ISLAS MARSHALL</t>
  </si>
  <si>
    <t>111 - UM - ISLAS MENORES DE ULTRAMAR DE ESTADOS UNIDOS DE AMERICA</t>
  </si>
  <si>
    <t>112 - SB - ISLAS SALOMON [COMUNIDAD BRITANICA DE NACIONES]</t>
  </si>
  <si>
    <t>113 - SJ - ISLAS SVALBARD Y JAN MAYEN [NORUEGA]</t>
  </si>
  <si>
    <t>114 - TK - ISLAS TOKELAU</t>
  </si>
  <si>
    <t>115 - WF - ISLAS WALLIS Y FUTUNA</t>
  </si>
  <si>
    <t>116 - IL - ISRAEL [ESTADO DE]</t>
  </si>
  <si>
    <t>117 - IT - ITALIA [REPUBLICA ITALIANA]</t>
  </si>
  <si>
    <t>118 - JM - JAMAICA</t>
  </si>
  <si>
    <t>119 - JP - JAPON</t>
  </si>
  <si>
    <t>120 - JE - JERSEY</t>
  </si>
  <si>
    <t>121 - JO - JORDANIA [REINO HACHEMITA DE]</t>
  </si>
  <si>
    <t>122 - KZ - KAZAKHSTAN [REPUBLICA DE]</t>
  </si>
  <si>
    <t>123 - KE - KENYA [REPUBLICA DE]</t>
  </si>
  <si>
    <t>124 - KI - KIRIBATI [REPUBLICA DE]</t>
  </si>
  <si>
    <t>125 - KW - KUWAIT [ESTADO DE]</t>
  </si>
  <si>
    <t>126 - KG - KYRGYZSTAN [REPUBLICA KIRGYZIA]</t>
  </si>
  <si>
    <t>127 - LS - LESOTHO [REINO DE]</t>
  </si>
  <si>
    <t>128 - LV - LETONIA [REPUBLICA DE]</t>
  </si>
  <si>
    <t>129 - LB - LIBANO [REPUBLICA DE]</t>
  </si>
  <si>
    <t>130 - LR - LIBERIA [REPUBLICA DE]</t>
  </si>
  <si>
    <t>131 - LY - LIBIA [JAMAHIRIYA LIBIA ARABE POPULAR SOCIALISTA]</t>
  </si>
  <si>
    <t>132 - LI - LIECHTENSTEIN [PRINCIPADO DE]</t>
  </si>
  <si>
    <t>133 - LT - LITUANIA [REPUBLICA DE]</t>
  </si>
  <si>
    <t>134 - LU - LUXEMBURGO [GRAN DUCADO DE]</t>
  </si>
  <si>
    <t>135 - MO - MACAO</t>
  </si>
  <si>
    <t>136 - MK - MACEDONIA [ANTIGUA REPUBLICA YUGOSLAVA DE]</t>
  </si>
  <si>
    <t>137 - MG - MADAGASCAR [REPUBLICA DE]</t>
  </si>
  <si>
    <t>138 - MY - MALASIA</t>
  </si>
  <si>
    <t>139 - MW - MALAWI [REPUBLICA DE]</t>
  </si>
  <si>
    <t>140 - MV - MALDIVAS [REPUBLICA DE]</t>
  </si>
  <si>
    <t>141 - ML - MALI [REPUBLICA DE]</t>
  </si>
  <si>
    <t>142 - MT - MALTA [REPUBLICA DE]</t>
  </si>
  <si>
    <t>143 - MA - MARRUECOS [REINO DE]</t>
  </si>
  <si>
    <t>144 - MQ - MARTINICA [DEPARTAMENTO DE] [FRANCIA]</t>
  </si>
  <si>
    <t>145 - MU - MAURICIO [REPUBLICA DE]</t>
  </si>
  <si>
    <t>146 - MR - MAURITANIA [REPUBLICA ISLAMICA DE]</t>
  </si>
  <si>
    <t>147 - YT - MAYOTTE</t>
  </si>
  <si>
    <t>148 - MX - MEXICO [ESTADOS UNIDOS MEXICANOS]</t>
  </si>
  <si>
    <t>149 - MD - MOLDAVIA [REPUBLICA DE]</t>
  </si>
  <si>
    <t>150 - MC - MONACO [PRINCIPADO DE]</t>
  </si>
  <si>
    <t>151 - MN - MONGOLIA</t>
  </si>
  <si>
    <t>152 - MS - MONSERRAT [ISLA]</t>
  </si>
  <si>
    <t>153 - ME - MONTENEGRO</t>
  </si>
  <si>
    <t>154 - MZ - MOZAMBIQUE [REPUBLICA DE]</t>
  </si>
  <si>
    <t>155 - MM - MYANMAR [UNION DE]</t>
  </si>
  <si>
    <t>156 - NA - NAMIBIA [REPUBLICA DE]</t>
  </si>
  <si>
    <t>157 - NR - NAURU</t>
  </si>
  <si>
    <t>158 - CX - NAVIDAD [CHRISTMAS] [ISLAS]</t>
  </si>
  <si>
    <t>159 - NP - NEPAL [REINO DE]</t>
  </si>
  <si>
    <t>160 - NI - NICARAGUA [REPUBLICA DE]</t>
  </si>
  <si>
    <t>161 - NE - NIGER [REPUBLICA DE]</t>
  </si>
  <si>
    <t>162 - NG - NIGERIA [REPUBLICA FEDERAL DE]</t>
  </si>
  <si>
    <t>163 - NU - NIVE [ISLA]</t>
  </si>
  <si>
    <t>164 - NF - NORFOLK [ISLA]</t>
  </si>
  <si>
    <t>165 - NO - NORUEGA [REINO DE]</t>
  </si>
  <si>
    <t>166 - NC - NUEVA CALEDONIA [TERRITORIO FRANCES DE ULTRAMAR]</t>
  </si>
  <si>
    <t>167 - NZ - NUEVA ZELANDIA</t>
  </si>
  <si>
    <t>168 - OM - OMAN [SULTANATO DE]</t>
  </si>
  <si>
    <t>169 - PIK - PACIFICO; ISLAS DEL [ADMON. E.U.A.]</t>
  </si>
  <si>
    <t>170 - NL - PAISES BAJOS [REINO DE LOS] [HOLANDA]</t>
  </si>
  <si>
    <t>171 - PK - PAKISTAN [REPUBLICA ISLAMICA DE]</t>
  </si>
  <si>
    <t>172 - PW - PALAU [REPUBLICA DE]</t>
  </si>
  <si>
    <t>173 - PS - PALESTINA</t>
  </si>
  <si>
    <t>174 - PA - PANAMA [REPUBLICA DE]</t>
  </si>
  <si>
    <t>175 - PG - PAPUA NUEVA GUINEA [ESTADO INDEPENDIENTE DE]</t>
  </si>
  <si>
    <t>176 - PY - PARAGUAY [REPUBLICA DEL]</t>
  </si>
  <si>
    <t>177 - PE - PERU [REPUBLICA DEL]</t>
  </si>
  <si>
    <t>178 - PN - PITCAIRNS [ISLAS DEPENDENCIA BRITANICA]</t>
  </si>
  <si>
    <t>179 - PF - POLINESIA FRANCESA</t>
  </si>
  <si>
    <t>180 - PL - POLONIA [REPUBLICA DE]</t>
  </si>
  <si>
    <t>181 - PT - PORTUGAL [REPUBLICA PORTUGUESA]</t>
  </si>
  <si>
    <t>182 - PR - PUERTO RICO [ESTADO LIBRE ASOCIADO DE LA COMUNIDAD DE]</t>
  </si>
  <si>
    <t>183 - QA - QATAR [ESTADO DE]</t>
  </si>
  <si>
    <t>184 - GB - REINO UNIDO DE LA GRAN BRETAÑA E IRLANDA DEL NORTE</t>
  </si>
  <si>
    <t>185 - CZ - REPUBLICA CHECA</t>
  </si>
  <si>
    <t>186 - CF - REPUBLICA CENTROAFRICANA</t>
  </si>
  <si>
    <t>187 - LA - REPUBLICA DEMOCRATICA POPULAR LAOS</t>
  </si>
  <si>
    <t>188 - RS - REPUBLICA DE SERBIA</t>
  </si>
  <si>
    <t>189 - DO - REPUBLICA DOMINICANA</t>
  </si>
  <si>
    <t>190 - SK - REPUBLICA ESLOVACA</t>
  </si>
  <si>
    <t>191 - CD - REPUBLICA POPULAR DEL CONGO</t>
  </si>
  <si>
    <t>192 - RW - REPUBLICA RUANDESA</t>
  </si>
  <si>
    <t>193 - RE - REUNION [DEPARTAMENTO DE LA] [FRANCIA]</t>
  </si>
  <si>
    <t>194 - RO - RUMANIA</t>
  </si>
  <si>
    <t>195 - RU - RUSIA [FEDERACION RUSA]</t>
  </si>
  <si>
    <t>196 - EH - SAHARA OCCIDENTAL [REPUBLICA ARABE SAHARAVI DEMOCRATICA]</t>
  </si>
  <si>
    <t>197 - WS - SAMOA [ESTADO INDEPENDIENTE DE]</t>
  </si>
  <si>
    <t>198 - AS - SAMOA AMERICANA</t>
  </si>
  <si>
    <t>199 - BL - SAN BARTOLOME</t>
  </si>
  <si>
    <t>200 - KN - SAN CRISTOBAL Y NIEVES [FEDERACION DE] [SAN KITTS-NEVIS]</t>
  </si>
  <si>
    <t>201 - SM - SAN MARINO [SERENISIMA REPUBLICA DE]</t>
  </si>
  <si>
    <t>202 - MF - SAN MARTIN</t>
  </si>
  <si>
    <t>203 - PM - SAN PEDRO Y MIQUELON</t>
  </si>
  <si>
    <t>204 - VC - SAN VICENTE Y LAS GRANADINAS</t>
  </si>
  <si>
    <t>205 - SH - SANTA ELENA</t>
  </si>
  <si>
    <t>206 - LC - SANTA LUCIA</t>
  </si>
  <si>
    <t>207 - ST - SANTO TOME Y PRINCIPE [REPUBLICA DEMOCRATICA DE]</t>
  </si>
  <si>
    <t>208 - SN - SENEGAL [REPUBLICA DEL]</t>
  </si>
  <si>
    <t>209 - SC - SEYCHELLES [REPUBLICA DE LAS]</t>
  </si>
  <si>
    <t>210 - SL - SIERRA LEONA [REPUBLICA DE]</t>
  </si>
  <si>
    <t>211 - SG - SINGAPUR [REPUBLICA DE]</t>
  </si>
  <si>
    <t>212 - SY- SIRIA [REPUBLICA ARABE]</t>
  </si>
  <si>
    <t>213 - SO - SOMALIA</t>
  </si>
  <si>
    <t>214 - LK - SRI LANKA [REPUBLICA DEMOCRATICA SOCIALISTA DE]</t>
  </si>
  <si>
    <t>215 - ZA - SUDAFRICA [REPUBLICA DE]</t>
  </si>
  <si>
    <t>216 - SD - SUDAN [REPUBLICA DEL]</t>
  </si>
  <si>
    <t>217 - SE - SUECIA [REINO DE]</t>
  </si>
  <si>
    <t>218 - CH - SUIZA [CONFEDERACION]</t>
  </si>
  <si>
    <t>219 - SR - SURINAME [REPUBLICA DE]</t>
  </si>
  <si>
    <t>220 - SZ - SWAZILANDIA [REINO DE]</t>
  </si>
  <si>
    <t>221 - TJ - TADJIKISTAN [REPUBLICA DE]</t>
  </si>
  <si>
    <t>222 - TH - TAILANDIA [REINO DE]</t>
  </si>
  <si>
    <t>223 - TW - TAIWAN [REPUBLICA DE CHINA]</t>
  </si>
  <si>
    <t>224 - TZ - TANZANIA [REPUBLICA UNIDA DE]</t>
  </si>
  <si>
    <t>225 - IO - TERRITORIOS BRITANICOS DEL OCEANO INDICO</t>
  </si>
  <si>
    <t>226 - TF - TERRITORIOS FRANCESES; AUSTRALES Y ANTARTICOS</t>
  </si>
  <si>
    <t>227 - TL - TIMOR ORIENTAL</t>
  </si>
  <si>
    <t>228 - TG - TOGO [REPUBLICA TOGOLESA]</t>
  </si>
  <si>
    <t>229 - TO - TONGA [REINO DE]</t>
  </si>
  <si>
    <t>230 - TT - TRINIDAD Y TOBAGO [REPUBLICA DE]</t>
  </si>
  <si>
    <t>231 - TN - TUNEZ [REPUBLICA DE]</t>
  </si>
  <si>
    <t>232 - TC - TURCAS Y CAICOS [ISLAS]</t>
  </si>
  <si>
    <t>233 - TM - TURKMENISTAN [REPUBLICA DE]</t>
  </si>
  <si>
    <t>234 - TR - TURQUIA [REPUBLICA DE]</t>
  </si>
  <si>
    <t>235 - TV - TUVALU [COMUNIDAD BRITANICA DE NACIONES]</t>
  </si>
  <si>
    <t>236 - UA - UCRANIA</t>
  </si>
  <si>
    <t>237 - UG - UGANDA [REPUBLICA DE]</t>
  </si>
  <si>
    <t>238 - UY - URUGUAY [REPUBLICA ORIENTAL DEL]</t>
  </si>
  <si>
    <t>239 - UZ - UZBEJISTAN [REPUBLICA DE]</t>
  </si>
  <si>
    <t>240 - VU - VANUATU</t>
  </si>
  <si>
    <t>241 - VE - VENEZUELA [REPUBLICA DE]</t>
  </si>
  <si>
    <t>242 - VN - VIETNAM [REPUBLICA SOCIALISTA DE]</t>
  </si>
  <si>
    <t>243 - VG - VIRGENES. ISLAS [BRITANICAS]</t>
  </si>
  <si>
    <t>244 - VI - VIRGENES. ISLAS [NORTEAMERICANAS]</t>
  </si>
  <si>
    <t>245 - YE - YEMEN [REPUBLICA DE]</t>
  </si>
  <si>
    <t>246 - ZM - ZAMBIA [REPUBLICA DE]</t>
  </si>
  <si>
    <t>247 - ZW - ZIMBABWE [REPUBLICA DE]</t>
  </si>
  <si>
    <t>2406 - IMPORTACIÓN DE COMBUSTIBLES NO FÓSILES</t>
  </si>
  <si>
    <t>0311 - PRODUCCIÓN; ELABORACIÓN DE COMBUSTIBLES NO FÓSILES</t>
  </si>
  <si>
    <t>2405 - VENTA EN TERRITORIO NACIONAL DE COMBUSTIBLES NO FÓSILES</t>
  </si>
  <si>
    <t>2269 - VENTA EN TERRITORIO NACIONAL DE GASOLINA Y DIÉSEL</t>
  </si>
  <si>
    <t>2404 - VENTA EN TERRITORIO NACIONAL DE OTROS COMBUSTIBLES FÓSILES</t>
  </si>
  <si>
    <t>2403 - APOYO A PROYECTOS DE PRODUCTORES AGRÍCOLAS Y DE ARTESANOS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</si>
</sst>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21" x14ac:knownFonts="1">
    <font>
      <sz val="11"/>
      <color theme="1"/>
      <name val="Calibri"/>
      <family val="2"/>
      <scheme val="minor"/>
    </font>
    <font>
      <sz val="11"/>
      <color theme="1"/>
      <name val="Arial"/>
      <family val="2"/>
    </font>
    <font>
      <sz val="9"/>
      <color theme="1"/>
      <name val="Arial"/>
      <family val="2"/>
    </font>
    <font>
      <sz val="8"/>
      <color theme="1"/>
      <name val="Arial"/>
      <family val="2"/>
    </font>
    <font>
      <sz val="8"/>
      <color rgb="FFFFFFFF"/>
      <name val="Arial"/>
      <family val="2"/>
    </font>
    <font>
      <sz val="8"/>
      <name val="Arial"/>
      <family val="2"/>
    </font>
    <font>
      <u/>
      <sz val="10"/>
      <color indexed="12"/>
      <name val="Arial"/>
      <family val="2"/>
    </font>
    <font>
      <b/>
      <sz val="8"/>
      <color theme="1"/>
      <name val="Arial"/>
      <family val="2"/>
    </font>
    <font>
      <b/>
      <sz val="9"/>
      <color indexed="81"/>
      <name val="Tahoma"/>
      <family val="2"/>
    </font>
    <font>
      <sz val="8"/>
      <color theme="1"/>
      <name val="Calibri"/>
      <family val="2"/>
      <scheme val="minor"/>
    </font>
    <font>
      <sz val="8"/>
      <color rgb="FF000000"/>
      <name val="Arial"/>
      <family val="2"/>
    </font>
    <font>
      <b/>
      <sz val="8"/>
      <color rgb="FF000000"/>
      <name val="Arial"/>
      <family val="2"/>
    </font>
    <font>
      <sz val="10"/>
      <name val="Verdana"/>
      <family val="2"/>
    </font>
    <font>
      <b/>
      <sz val="11"/>
      <color theme="1"/>
      <name val="Calibri"/>
      <family val="2"/>
      <scheme val="minor"/>
    </font>
    <font>
      <b/>
      <sz val="14"/>
      <color theme="1"/>
      <name val="Calibri"/>
      <family val="2"/>
      <scheme val="minor"/>
    </font>
    <font>
      <i/>
      <sz val="11"/>
      <color theme="1"/>
      <name val="Calibri"/>
      <family val="2"/>
      <scheme val="minor"/>
    </font>
    <font>
      <sz val="8"/>
      <color rgb="FF7030A0"/>
      <name val="Arial"/>
      <family val="2"/>
    </font>
    <font>
      <sz val="8"/>
      <color rgb="FFC00000"/>
      <name val="Arial"/>
      <family val="2"/>
    </font>
    <font>
      <sz val="8"/>
      <color rgb="FF0000FF"/>
      <name val="Arial"/>
      <family val="2"/>
    </font>
    <font>
      <b/>
      <sz val="9"/>
      <color indexed="12"/>
      <name val="Tahoma"/>
      <family val="2"/>
    </font>
    <font>
      <b/>
      <sz val="9"/>
      <color indexed="60"/>
      <name val="Tahoma"/>
      <family val="2"/>
    </font>
  </fonts>
  <fills count="17">
    <fill>
      <patternFill patternType="none"/>
    </fill>
    <fill>
      <patternFill patternType="gray125"/>
    </fill>
    <fill>
      <patternFill patternType="solid">
        <fgColor rgb="FFFFFFFF"/>
        <bgColor indexed="64"/>
      </patternFill>
    </fill>
    <fill>
      <patternFill patternType="solid">
        <fgColor theme="0" tint="-0.249977111117893"/>
        <bgColor indexed="64"/>
      </patternFill>
    </fill>
    <fill>
      <patternFill patternType="solid">
        <fgColor rgb="FFD3D3D3"/>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79998168889431442"/>
        <bgColor indexed="64"/>
      </patternFill>
    </fill>
    <fill>
      <patternFill patternType="solid">
        <fgColor rgb="FF00B050"/>
        <bgColor indexed="64"/>
      </patternFill>
    </fill>
    <fill>
      <patternFill patternType="solid">
        <fgColor rgb="FF00B0F0"/>
        <bgColor indexed="64"/>
      </patternFill>
    </fill>
    <fill>
      <patternFill patternType="solid">
        <fgColor indexed="51"/>
        <bgColor indexed="64"/>
      </patternFill>
    </fill>
    <fill>
      <patternFill patternType="solid">
        <fgColor rgb="FFDAEEF3"/>
        <bgColor indexed="64"/>
      </patternFill>
    </fill>
    <fill>
      <patternFill patternType="solid">
        <fgColor rgb="FFD9D9D9"/>
        <bgColor indexed="64"/>
      </patternFill>
    </fill>
  </fills>
  <borders count="4">
    <border>
      <left/>
      <right/>
      <top/>
      <bottom/>
      <diagonal/>
    </border>
    <border>
      <left/>
      <right/>
      <top/>
      <bottom style="medium">
        <color indexed="64"/>
      </bottom>
      <diagonal/>
    </border>
    <border>
      <left/>
      <right/>
      <top/>
      <bottom style="thin">
        <color theme="0" tint="-0.34998626667073579"/>
      </bottom>
      <diagonal/>
    </border>
    <border>
      <left style="hair">
        <color indexed="64"/>
      </left>
      <right style="hair">
        <color indexed="64"/>
      </right>
      <top style="hair">
        <color indexed="64"/>
      </top>
      <bottom style="hair">
        <color indexed="64"/>
      </bottom>
      <diagonal/>
    </border>
  </borders>
  <cellStyleXfs count="262">
    <xf numFmtId="0" fontId="0" fillId="0" borderId="0"/>
    <xf numFmtId="0" fontId="6"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cellStyleXfs>
  <cellXfs count="204">
    <xf numFmtId="0" fontId="0" fillId="0" borderId="0" xfId="0"/>
    <xf numFmtId="49" fontId="1" fillId="0" borderId="0" xfId="0" applyNumberFormat="1" applyFont="1" applyProtection="1">
      <protection locked="0"/>
    </xf>
    <xf numFmtId="49" fontId="0" fillId="0" borderId="0" xfId="0" applyNumberFormat="1" applyProtection="1">
      <protection locked="0"/>
    </xf>
    <xf numFmtId="49" fontId="0" fillId="4" borderId="0" xfId="0" applyNumberFormat="1" applyFill="1" applyProtection="1"/>
    <xf numFmtId="49" fontId="0" fillId="0" borderId="0" xfId="0" applyNumberFormat="1" applyBorder="1" applyProtection="1">
      <protection locked="0"/>
    </xf>
    <xf numFmtId="0" fontId="13" fillId="0" borderId="0" xfId="0" applyFont="1" applyAlignment="1">
      <alignment horizontal="centerContinuous"/>
    </xf>
    <xf numFmtId="0" fontId="0" fillId="0" borderId="0" xfId="0" applyAlignment="1">
      <alignment horizontal="centerContinuous"/>
    </xf>
    <xf numFmtId="0" fontId="0" fillId="0" borderId="1" xfId="0" applyBorder="1"/>
    <xf numFmtId="0" fontId="14" fillId="0" borderId="0" xfId="0" applyFont="1"/>
    <xf numFmtId="0" fontId="0" fillId="0" borderId="2" xfId="0" applyBorder="1"/>
    <xf numFmtId="0" fontId="6" fillId="0" borderId="0" xfId="1" applyAlignment="1" applyProtection="1"/>
    <xf numFmtId="0" fontId="15" fillId="0" borderId="0" xfId="0" applyFont="1"/>
    <xf numFmtId="49" fontId="3" fillId="4" borderId="0" xfId="0" applyNumberFormat="1" applyFont="1" applyFill="1" applyBorder="1" applyProtection="1"/>
    <xf numFmtId="49" fontId="3" fillId="4" borderId="0" xfId="0" applyNumberFormat="1" applyFont="1" applyFill="1" applyBorder="1"/>
    <xf numFmtId="49" fontId="1" fillId="4" borderId="0" xfId="0" applyNumberFormat="1" applyFont="1" applyFill="1"/>
    <xf numFmtId="49" fontId="1" fillId="4" borderId="0" xfId="0" applyNumberFormat="1" applyFont="1" applyFill="1" applyProtection="1"/>
    <xf numFmtId="49" fontId="0" fillId="4" borderId="0" xfId="0" applyNumberFormat="1" applyFill="1"/>
    <xf numFmtId="49" fontId="3" fillId="2" borderId="3" xfId="0" quotePrefix="1" applyNumberFormat="1" applyFont="1" applyFill="1" applyBorder="1" applyAlignment="1" applyProtection="1">
      <alignment horizontal="center" vertical="top"/>
    </xf>
    <xf numFmtId="49" fontId="3" fillId="2" borderId="3" xfId="0" applyNumberFormat="1" applyFont="1" applyFill="1" applyBorder="1" applyAlignment="1" applyProtection="1">
      <alignment vertical="top" wrapText="1"/>
    </xf>
    <xf numFmtId="49" fontId="4" fillId="2" borderId="3" xfId="0" quotePrefix="1" applyNumberFormat="1" applyFont="1" applyFill="1" applyBorder="1" applyAlignment="1" applyProtection="1">
      <alignment horizontal="center" vertical="top"/>
    </xf>
    <xf numFmtId="49" fontId="3" fillId="0" borderId="3" xfId="0" applyNumberFormat="1" applyFont="1" applyFill="1" applyBorder="1" applyAlignment="1" applyProtection="1">
      <alignment vertical="top" wrapText="1"/>
    </xf>
    <xf numFmtId="49" fontId="4" fillId="2" borderId="3" xfId="0" quotePrefix="1" applyNumberFormat="1" applyFont="1" applyFill="1" applyBorder="1" applyProtection="1"/>
    <xf numFmtId="49" fontId="5" fillId="2" borderId="3" xfId="1" applyNumberFormat="1" applyFont="1" applyFill="1" applyBorder="1" applyAlignment="1" applyProtection="1">
      <alignment horizontal="left" vertical="top" wrapText="1"/>
    </xf>
    <xf numFmtId="0" fontId="5" fillId="2" borderId="3" xfId="1" applyNumberFormat="1" applyFont="1" applyFill="1" applyBorder="1" applyAlignment="1" applyProtection="1">
      <alignment horizontal="left" vertical="top" wrapText="1"/>
      <protection locked="0"/>
    </xf>
    <xf numFmtId="49" fontId="5" fillId="2" borderId="3" xfId="1" applyNumberFormat="1" applyFont="1" applyFill="1" applyBorder="1" applyAlignment="1" applyProtection="1">
      <alignment horizontal="left" vertical="top" wrapText="1"/>
      <protection locked="0"/>
    </xf>
    <xf numFmtId="49" fontId="7" fillId="0" borderId="3" xfId="0" applyNumberFormat="1" applyFont="1" applyFill="1" applyBorder="1" applyAlignment="1" applyProtection="1">
      <alignment vertical="top" wrapText="1"/>
    </xf>
    <xf numFmtId="11" fontId="3" fillId="0" borderId="3" xfId="0" applyNumberFormat="1" applyFont="1" applyFill="1" applyBorder="1" applyAlignment="1" applyProtection="1">
      <alignment vertical="top" wrapText="1"/>
    </xf>
    <xf numFmtId="49" fontId="3" fillId="2" borderId="3" xfId="0" applyNumberFormat="1" applyFont="1" applyFill="1" applyBorder="1" applyAlignment="1" applyProtection="1">
      <alignment vertical="top"/>
    </xf>
    <xf numFmtId="49" fontId="3" fillId="0" borderId="3" xfId="0" applyNumberFormat="1" applyFont="1" applyFill="1" applyBorder="1" applyAlignment="1" applyProtection="1">
      <alignment vertical="top"/>
    </xf>
    <xf numFmtId="49" fontId="3" fillId="3" borderId="3" xfId="0" applyNumberFormat="1" applyFont="1" applyFill="1" applyBorder="1" applyAlignment="1" applyProtection="1">
      <alignment vertical="top" wrapText="1"/>
    </xf>
    <xf numFmtId="49" fontId="3" fillId="2" borderId="3" xfId="0" applyNumberFormat="1" applyFont="1" applyFill="1" applyBorder="1" applyAlignment="1" applyProtection="1">
      <alignment horizontal="right" vertical="top" wrapText="1"/>
      <protection locked="0"/>
    </xf>
    <xf numFmtId="49" fontId="7" fillId="0" borderId="3" xfId="0" applyNumberFormat="1" applyFont="1" applyFill="1" applyBorder="1" applyAlignment="1" applyProtection="1">
      <alignment vertical="top"/>
    </xf>
    <xf numFmtId="49" fontId="5" fillId="2" borderId="3" xfId="0" applyNumberFormat="1" applyFont="1" applyFill="1" applyBorder="1" applyAlignment="1" applyProtection="1">
      <alignment vertical="top" wrapText="1"/>
    </xf>
    <xf numFmtId="49" fontId="5" fillId="0" borderId="3" xfId="0" applyNumberFormat="1" applyFont="1" applyFill="1" applyBorder="1" applyAlignment="1" applyProtection="1">
      <alignment vertical="top" wrapText="1"/>
    </xf>
    <xf numFmtId="49" fontId="5" fillId="3" borderId="3" xfId="0" applyNumberFormat="1" applyFont="1" applyFill="1" applyBorder="1" applyAlignment="1" applyProtection="1">
      <alignment vertical="top" wrapText="1"/>
    </xf>
    <xf numFmtId="49" fontId="5" fillId="2" borderId="3" xfId="0" applyNumberFormat="1" applyFont="1" applyFill="1" applyBorder="1" applyAlignment="1" applyProtection="1">
      <alignment horizontal="right" vertical="top" wrapText="1"/>
      <protection locked="0"/>
    </xf>
    <xf numFmtId="3" fontId="5" fillId="0" borderId="3" xfId="0" applyNumberFormat="1" applyFont="1" applyFill="1" applyBorder="1" applyAlignment="1" applyProtection="1">
      <alignment horizontal="right" vertical="top" wrapText="1"/>
      <protection locked="0"/>
    </xf>
    <xf numFmtId="49" fontId="0" fillId="4" borderId="0" xfId="0" applyNumberFormat="1" applyFill="1" applyProtection="1">
      <protection locked="0"/>
    </xf>
    <xf numFmtId="49" fontId="3" fillId="4" borderId="3" xfId="0" applyNumberFormat="1" applyFont="1" applyFill="1" applyBorder="1" applyProtection="1">
      <protection locked="0"/>
    </xf>
    <xf numFmtId="49" fontId="2" fillId="4" borderId="3" xfId="0" applyNumberFormat="1" applyFont="1" applyFill="1" applyBorder="1" applyProtection="1">
      <protection locked="0"/>
    </xf>
    <xf numFmtId="49" fontId="0" fillId="4" borderId="3" xfId="0" applyNumberFormat="1" applyFill="1" applyBorder="1" applyProtection="1"/>
    <xf numFmtId="49" fontId="3" fillId="4" borderId="3" xfId="0" applyNumberFormat="1" applyFont="1" applyFill="1" applyBorder="1" applyAlignment="1" applyProtection="1">
      <alignment wrapText="1"/>
    </xf>
    <xf numFmtId="49" fontId="3" fillId="4" borderId="3" xfId="0" applyNumberFormat="1" applyFont="1" applyFill="1" applyBorder="1" applyProtection="1"/>
    <xf numFmtId="49" fontId="3" fillId="5" borderId="3" xfId="0" applyNumberFormat="1" applyFont="1" applyFill="1" applyBorder="1" applyAlignment="1" applyProtection="1">
      <alignment horizontal="center" vertical="top"/>
    </xf>
    <xf numFmtId="49" fontId="3" fillId="4" borderId="3" xfId="0" applyNumberFormat="1" applyFont="1" applyFill="1" applyBorder="1" applyAlignment="1" applyProtection="1">
      <alignment horizontal="center" vertical="top" wrapText="1"/>
    </xf>
    <xf numFmtId="49" fontId="3" fillId="5" borderId="3" xfId="0" applyNumberFormat="1" applyFont="1" applyFill="1" applyBorder="1" applyAlignment="1" applyProtection="1">
      <alignment horizontal="center" vertical="top" wrapText="1"/>
    </xf>
    <xf numFmtId="49" fontId="3" fillId="2" borderId="3" xfId="0" applyNumberFormat="1" applyFont="1" applyFill="1" applyBorder="1" applyAlignment="1" applyProtection="1">
      <alignment horizontal="left" vertical="top" wrapText="1"/>
    </xf>
    <xf numFmtId="49" fontId="3" fillId="2" borderId="3" xfId="0" applyNumberFormat="1" applyFont="1" applyFill="1" applyBorder="1" applyAlignment="1" applyProtection="1">
      <alignment wrapText="1"/>
    </xf>
    <xf numFmtId="49" fontId="3" fillId="2" borderId="3" xfId="0" applyNumberFormat="1" applyFont="1" applyFill="1" applyBorder="1" applyAlignment="1" applyProtection="1">
      <alignment horizontal="center" vertical="top"/>
    </xf>
    <xf numFmtId="49" fontId="3" fillId="2" borderId="3" xfId="0" applyNumberFormat="1" applyFont="1" applyFill="1" applyBorder="1" applyAlignment="1" applyProtection="1">
      <alignment horizontal="center" wrapText="1"/>
    </xf>
    <xf numFmtId="49" fontId="3" fillId="2" borderId="3" xfId="0" applyNumberFormat="1" applyFont="1" applyFill="1" applyBorder="1" applyProtection="1"/>
    <xf numFmtId="49" fontId="3" fillId="2" borderId="3" xfId="0" applyNumberFormat="1" applyFont="1" applyFill="1" applyBorder="1" applyAlignment="1" applyProtection="1">
      <alignment horizontal="center" vertical="top" wrapText="1"/>
    </xf>
    <xf numFmtId="3" fontId="3" fillId="6" borderId="3" xfId="0" applyNumberFormat="1" applyFont="1" applyFill="1" applyBorder="1" applyAlignment="1" applyProtection="1">
      <alignment horizontal="right" vertical="top" wrapText="1"/>
    </xf>
    <xf numFmtId="49" fontId="3" fillId="0" borderId="3" xfId="0" applyNumberFormat="1" applyFont="1" applyFill="1" applyBorder="1" applyAlignment="1" applyProtection="1">
      <alignment horizontal="left" vertical="top" wrapText="1"/>
    </xf>
    <xf numFmtId="3" fontId="3" fillId="7" borderId="3" xfId="0" applyNumberFormat="1" applyFont="1" applyFill="1" applyBorder="1" applyAlignment="1" applyProtection="1">
      <alignment horizontal="right" vertical="top" wrapText="1"/>
    </xf>
    <xf numFmtId="4" fontId="3" fillId="2" borderId="3" xfId="0" applyNumberFormat="1" applyFont="1" applyFill="1" applyBorder="1" applyAlignment="1" applyProtection="1">
      <alignment horizontal="right" vertical="top" wrapText="1"/>
    </xf>
    <xf numFmtId="3" fontId="3" fillId="2" borderId="3" xfId="0" applyNumberFormat="1" applyFont="1" applyFill="1" applyBorder="1" applyAlignment="1" applyProtection="1">
      <alignment horizontal="right" vertical="top" wrapText="1"/>
    </xf>
    <xf numFmtId="4" fontId="3" fillId="6" borderId="3" xfId="0" applyNumberFormat="1" applyFont="1" applyFill="1" applyBorder="1" applyAlignment="1" applyProtection="1">
      <alignment horizontal="right" vertical="top" wrapText="1"/>
    </xf>
    <xf numFmtId="49" fontId="3" fillId="6" borderId="3" xfId="0" applyNumberFormat="1" applyFont="1" applyFill="1" applyBorder="1" applyAlignment="1" applyProtection="1">
      <alignment vertical="top" wrapText="1"/>
    </xf>
    <xf numFmtId="4" fontId="3" fillId="0" borderId="3" xfId="0" applyNumberFormat="1" applyFont="1" applyFill="1" applyBorder="1" applyAlignment="1" applyProtection="1">
      <alignment horizontal="right" vertical="top" wrapText="1"/>
    </xf>
    <xf numFmtId="3" fontId="3" fillId="0" borderId="3" xfId="0" applyNumberFormat="1" applyFont="1" applyFill="1" applyBorder="1" applyAlignment="1" applyProtection="1">
      <alignment horizontal="right" vertical="top" wrapText="1"/>
    </xf>
    <xf numFmtId="3" fontId="3" fillId="8" borderId="3" xfId="0" applyNumberFormat="1" applyFont="1" applyFill="1" applyBorder="1" applyAlignment="1" applyProtection="1">
      <alignment horizontal="right" vertical="top" wrapText="1"/>
      <protection locked="0"/>
    </xf>
    <xf numFmtId="4" fontId="3" fillId="8" borderId="3" xfId="0" applyNumberFormat="1" applyFont="1" applyFill="1" applyBorder="1" applyAlignment="1" applyProtection="1">
      <alignment horizontal="right" vertical="top" wrapText="1"/>
    </xf>
    <xf numFmtId="3" fontId="3" fillId="8" borderId="3" xfId="0" applyNumberFormat="1" applyFont="1" applyFill="1" applyBorder="1" applyAlignment="1" applyProtection="1">
      <alignment horizontal="right" vertical="top" wrapText="1"/>
    </xf>
    <xf numFmtId="49" fontId="3" fillId="8" borderId="3" xfId="0" applyNumberFormat="1" applyFont="1" applyFill="1" applyBorder="1" applyAlignment="1" applyProtection="1">
      <alignment vertical="top" wrapText="1"/>
    </xf>
    <xf numFmtId="3" fontId="3" fillId="9" borderId="3" xfId="0" applyNumberFormat="1" applyFont="1" applyFill="1" applyBorder="1" applyAlignment="1" applyProtection="1">
      <alignment horizontal="right" vertical="top" wrapText="1"/>
      <protection locked="0"/>
    </xf>
    <xf numFmtId="49" fontId="3" fillId="6" borderId="3" xfId="0" applyNumberFormat="1" applyFont="1" applyFill="1" applyBorder="1" applyAlignment="1" applyProtection="1">
      <alignment horizontal="left" vertical="top" wrapText="1"/>
    </xf>
    <xf numFmtId="49" fontId="3" fillId="3" borderId="3" xfId="0" applyNumberFormat="1" applyFont="1" applyFill="1" applyBorder="1" applyAlignment="1" applyProtection="1">
      <alignment horizontal="left" vertical="top" wrapText="1"/>
    </xf>
    <xf numFmtId="3" fontId="3" fillId="10" borderId="3" xfId="0" applyNumberFormat="1" applyFont="1" applyFill="1" applyBorder="1" applyAlignment="1" applyProtection="1">
      <alignment horizontal="right" vertical="top" wrapText="1"/>
    </xf>
    <xf numFmtId="49" fontId="0" fillId="4" borderId="0" xfId="0" applyNumberFormat="1" applyFill="1" applyBorder="1" applyProtection="1">
      <protection locked="0"/>
    </xf>
    <xf numFmtId="49" fontId="0" fillId="4" borderId="3" xfId="0" applyNumberFormat="1" applyFill="1" applyBorder="1" applyProtection="1">
      <protection locked="0"/>
    </xf>
    <xf numFmtId="49" fontId="3" fillId="0" borderId="3" xfId="0" applyNumberFormat="1" applyFont="1" applyFill="1" applyBorder="1" applyAlignment="1" applyProtection="1">
      <alignment wrapText="1"/>
    </xf>
    <xf numFmtId="3" fontId="3" fillId="11" borderId="3" xfId="0" applyNumberFormat="1" applyFont="1" applyFill="1" applyBorder="1" applyAlignment="1" applyProtection="1">
      <alignment horizontal="right" vertical="top" wrapText="1"/>
      <protection locked="0"/>
    </xf>
    <xf numFmtId="3" fontId="3" fillId="12" borderId="3" xfId="0" applyNumberFormat="1" applyFont="1" applyFill="1" applyBorder="1" applyAlignment="1" applyProtection="1">
      <alignment horizontal="right" vertical="top" wrapText="1"/>
      <protection locked="0"/>
    </xf>
    <xf numFmtId="4" fontId="3" fillId="0" borderId="3" xfId="0" applyNumberFormat="1" applyFont="1" applyFill="1" applyBorder="1" applyAlignment="1" applyProtection="1">
      <alignment horizontal="right" vertical="top" wrapText="1"/>
      <protection locked="0"/>
    </xf>
    <xf numFmtId="3" fontId="3" fillId="13" borderId="3" xfId="0" applyNumberFormat="1" applyFont="1" applyFill="1" applyBorder="1" applyAlignment="1" applyProtection="1">
      <alignment horizontal="right" vertical="top" wrapText="1"/>
      <protection locked="0"/>
    </xf>
    <xf numFmtId="49" fontId="3" fillId="5" borderId="3" xfId="0" applyNumberFormat="1" applyFont="1" applyFill="1" applyBorder="1" applyAlignment="1" applyProtection="1">
      <alignment vertical="top" wrapText="1"/>
    </xf>
    <xf numFmtId="3" fontId="3" fillId="12" borderId="3" xfId="0" applyNumberFormat="1" applyFont="1" applyFill="1" applyBorder="1" applyAlignment="1" applyProtection="1">
      <alignment horizontal="right" vertical="top" wrapText="1"/>
    </xf>
    <xf numFmtId="49" fontId="3" fillId="4" borderId="3" xfId="0" applyNumberFormat="1" applyFont="1" applyFill="1" applyBorder="1" applyAlignment="1" applyProtection="1">
      <alignment horizontal="center"/>
    </xf>
    <xf numFmtId="49" fontId="3" fillId="5" borderId="3" xfId="0" applyNumberFormat="1" applyFont="1" applyFill="1" applyBorder="1" applyAlignment="1" applyProtection="1">
      <alignment horizontal="center"/>
    </xf>
    <xf numFmtId="49" fontId="3" fillId="2" borderId="3" xfId="0" applyNumberFormat="1" applyFont="1" applyFill="1" applyBorder="1" applyAlignment="1" applyProtection="1">
      <alignment horizontal="left" vertical="top"/>
    </xf>
    <xf numFmtId="49" fontId="3" fillId="0" borderId="3" xfId="0" applyNumberFormat="1" applyFont="1" applyFill="1" applyBorder="1" applyAlignment="1" applyProtection="1">
      <alignment vertical="top" wrapText="1"/>
      <protection locked="0"/>
    </xf>
    <xf numFmtId="49" fontId="3" fillId="11" borderId="3" xfId="0" applyNumberFormat="1" applyFont="1" applyFill="1" applyBorder="1" applyAlignment="1" applyProtection="1">
      <alignment vertical="top" wrapText="1"/>
      <protection locked="0"/>
    </xf>
    <xf numFmtId="49" fontId="3" fillId="0" borderId="3" xfId="0" applyNumberFormat="1" applyFont="1" applyFill="1" applyBorder="1" applyAlignment="1" applyProtection="1">
      <alignment horizontal="left" vertical="top"/>
    </xf>
    <xf numFmtId="49" fontId="3" fillId="4" borderId="3" xfId="0" applyNumberFormat="1" applyFont="1" applyFill="1" applyBorder="1" applyAlignment="1" applyProtection="1">
      <alignment horizontal="center" vertical="top"/>
      <protection locked="0"/>
    </xf>
    <xf numFmtId="49" fontId="3" fillId="8" borderId="3" xfId="0" applyNumberFormat="1" applyFont="1" applyFill="1" applyBorder="1" applyAlignment="1" applyProtection="1">
      <alignment vertical="top" wrapText="1"/>
      <protection locked="0"/>
    </xf>
    <xf numFmtId="0" fontId="3" fillId="8" borderId="3" xfId="0" applyNumberFormat="1" applyFont="1" applyFill="1" applyBorder="1" applyAlignment="1" applyProtection="1">
      <alignment vertical="top" wrapText="1"/>
      <protection locked="0"/>
    </xf>
    <xf numFmtId="4" fontId="3" fillId="8" borderId="3" xfId="0" applyNumberFormat="1" applyFont="1" applyFill="1" applyBorder="1" applyAlignment="1" applyProtection="1">
      <alignment horizontal="right" vertical="top" wrapText="1"/>
      <protection locked="0"/>
    </xf>
    <xf numFmtId="2" fontId="3" fillId="5" borderId="3" xfId="0" applyNumberFormat="1" applyFont="1" applyFill="1" applyBorder="1" applyAlignment="1" applyProtection="1">
      <alignment horizontal="center" vertical="top" wrapText="1"/>
    </xf>
    <xf numFmtId="49" fontId="3" fillId="4" borderId="3" xfId="0" applyNumberFormat="1" applyFont="1" applyFill="1" applyBorder="1" applyAlignment="1" applyProtection="1">
      <alignment horizontal="center" wrapText="1"/>
    </xf>
    <xf numFmtId="164" fontId="3" fillId="0" borderId="3" xfId="0" applyNumberFormat="1" applyFont="1" applyFill="1" applyBorder="1" applyAlignment="1" applyProtection="1">
      <alignment horizontal="right" vertical="top" wrapText="1"/>
      <protection locked="0"/>
    </xf>
    <xf numFmtId="0" fontId="3" fillId="9" borderId="3" xfId="0" applyNumberFormat="1" applyFont="1" applyFill="1" applyBorder="1" applyAlignment="1" applyProtection="1">
      <alignment vertical="top" wrapText="1"/>
      <protection locked="0"/>
    </xf>
    <xf numFmtId="0" fontId="3" fillId="0" borderId="3" xfId="0" applyNumberFormat="1" applyFont="1" applyFill="1" applyBorder="1" applyAlignment="1" applyProtection="1">
      <alignment vertical="top" wrapText="1"/>
      <protection locked="0"/>
    </xf>
    <xf numFmtId="164" fontId="3" fillId="2" borderId="3" xfId="0" applyNumberFormat="1" applyFont="1" applyFill="1" applyBorder="1" applyAlignment="1" applyProtection="1">
      <alignment horizontal="right" vertical="top" wrapText="1"/>
      <protection locked="0"/>
    </xf>
    <xf numFmtId="49" fontId="3" fillId="8" borderId="3" xfId="0" applyNumberFormat="1" applyFont="1" applyFill="1" applyBorder="1" applyAlignment="1" applyProtection="1">
      <alignment horizontal="left" vertical="top" wrapText="1"/>
      <protection locked="0"/>
    </xf>
    <xf numFmtId="49" fontId="3" fillId="5" borderId="3" xfId="0" applyNumberFormat="1" applyFont="1" applyFill="1" applyBorder="1" applyAlignment="1" applyProtection="1">
      <alignment horizontal="left" vertical="top" wrapText="1"/>
    </xf>
    <xf numFmtId="11" fontId="3" fillId="4" borderId="3" xfId="0" applyNumberFormat="1" applyFont="1" applyFill="1" applyBorder="1" applyAlignment="1" applyProtection="1">
      <alignment horizontal="center" vertical="top" wrapText="1"/>
    </xf>
    <xf numFmtId="0" fontId="3" fillId="8" borderId="3" xfId="0" applyNumberFormat="1" applyFont="1" applyFill="1" applyBorder="1" applyAlignment="1" applyProtection="1">
      <alignment horizontal="left" vertical="top" wrapText="1"/>
      <protection locked="0"/>
    </xf>
    <xf numFmtId="3" fontId="3" fillId="14" borderId="3" xfId="0" applyNumberFormat="1" applyFont="1" applyFill="1" applyBorder="1" applyAlignment="1" applyProtection="1">
      <alignment horizontal="right" vertical="top" wrapText="1"/>
    </xf>
    <xf numFmtId="164" fontId="3" fillId="8" borderId="3" xfId="0" applyNumberFormat="1" applyFont="1" applyFill="1" applyBorder="1" applyAlignment="1" applyProtection="1">
      <alignment horizontal="right" vertical="top" wrapText="1"/>
      <protection locked="0"/>
    </xf>
    <xf numFmtId="49" fontId="3" fillId="4" borderId="3" xfId="0" applyNumberFormat="1" applyFont="1" applyFill="1" applyBorder="1" applyAlignment="1" applyProtection="1">
      <alignment horizontal="center" vertical="center" wrapText="1"/>
    </xf>
    <xf numFmtId="0" fontId="3" fillId="2" borderId="3" xfId="0" applyNumberFormat="1" applyFont="1" applyFill="1" applyBorder="1" applyAlignment="1" applyProtection="1">
      <alignment horizontal="left" vertical="top" wrapText="1"/>
      <protection locked="0"/>
    </xf>
    <xf numFmtId="49" fontId="3" fillId="2" borderId="3" xfId="0" applyNumberFormat="1" applyFont="1" applyFill="1" applyBorder="1" applyAlignment="1" applyProtection="1">
      <alignment horizontal="left" vertical="top" wrapText="1"/>
      <protection locked="0"/>
    </xf>
    <xf numFmtId="0" fontId="3" fillId="0" borderId="3" xfId="0" applyNumberFormat="1" applyFont="1" applyFill="1" applyBorder="1" applyAlignment="1" applyProtection="1">
      <alignment vertical="top" wrapText="1"/>
    </xf>
    <xf numFmtId="49" fontId="5" fillId="2" borderId="3" xfId="0" applyNumberFormat="1" applyFont="1" applyFill="1" applyBorder="1" applyAlignment="1" applyProtection="1">
      <alignment horizontal="left" vertical="top" wrapText="1"/>
      <protection locked="0"/>
    </xf>
    <xf numFmtId="0" fontId="3" fillId="3" borderId="3" xfId="0" applyNumberFormat="1" applyFont="1" applyFill="1" applyBorder="1" applyAlignment="1" applyProtection="1">
      <alignment vertical="top" wrapText="1"/>
    </xf>
    <xf numFmtId="0" fontId="5" fillId="2" borderId="3" xfId="1" applyNumberFormat="1" applyFont="1" applyFill="1" applyBorder="1" applyAlignment="1" applyProtection="1">
      <alignment horizontal="left" vertical="top" wrapText="1"/>
    </xf>
    <xf numFmtId="0" fontId="0" fillId="0" borderId="0" xfId="0" applyNumberFormat="1" applyProtection="1">
      <protection locked="0"/>
    </xf>
    <xf numFmtId="0" fontId="3" fillId="2" borderId="3" xfId="0" applyNumberFormat="1" applyFont="1" applyFill="1" applyBorder="1" applyAlignment="1" applyProtection="1">
      <alignment vertical="top" wrapText="1"/>
    </xf>
    <xf numFmtId="49" fontId="3" fillId="2" borderId="3" xfId="0" applyNumberFormat="1" applyFont="1" applyFill="1" applyBorder="1" applyAlignment="1" applyProtection="1">
      <alignment vertical="top" wrapText="1"/>
      <protection locked="0"/>
    </xf>
    <xf numFmtId="0" fontId="3" fillId="2" borderId="3" xfId="0" applyNumberFormat="1" applyFont="1" applyFill="1" applyBorder="1" applyAlignment="1" applyProtection="1">
      <alignment vertical="top" wrapText="1"/>
      <protection locked="0"/>
    </xf>
    <xf numFmtId="0" fontId="5" fillId="0" borderId="3" xfId="0" applyNumberFormat="1" applyFont="1" applyFill="1" applyBorder="1" applyAlignment="1" applyProtection="1">
      <alignment vertical="top" wrapText="1"/>
      <protection locked="0"/>
    </xf>
    <xf numFmtId="0" fontId="5" fillId="2" borderId="3" xfId="0" applyNumberFormat="1" applyFont="1" applyFill="1" applyBorder="1" applyAlignment="1" applyProtection="1">
      <alignment vertical="top" wrapText="1"/>
      <protection locked="0"/>
    </xf>
    <xf numFmtId="49" fontId="5" fillId="0" borderId="3" xfId="0" applyNumberFormat="1" applyFont="1" applyFill="1" applyBorder="1" applyAlignment="1" applyProtection="1">
      <alignment vertical="top" wrapText="1"/>
      <protection locked="0"/>
    </xf>
    <xf numFmtId="49" fontId="5" fillId="2" borderId="3" xfId="0" applyNumberFormat="1" applyFont="1" applyFill="1" applyBorder="1" applyAlignment="1" applyProtection="1">
      <alignment vertical="top" wrapText="1"/>
      <protection locked="0"/>
    </xf>
    <xf numFmtId="3" fontId="5" fillId="2" borderId="3" xfId="0" applyNumberFormat="1" applyFont="1" applyFill="1" applyBorder="1" applyAlignment="1" applyProtection="1">
      <alignment horizontal="right" vertical="top" wrapText="1"/>
      <protection locked="0"/>
    </xf>
    <xf numFmtId="3" fontId="3" fillId="2" borderId="3" xfId="0" applyNumberFormat="1" applyFont="1" applyFill="1" applyBorder="1" applyAlignment="1" applyProtection="1">
      <alignment horizontal="right" vertical="top" wrapText="1"/>
      <protection locked="0"/>
    </xf>
    <xf numFmtId="3" fontId="3" fillId="0" borderId="3" xfId="0" applyNumberFormat="1" applyFont="1" applyFill="1" applyBorder="1" applyAlignment="1" applyProtection="1">
      <alignment horizontal="right" vertical="top" wrapText="1"/>
      <protection locked="0"/>
    </xf>
    <xf numFmtId="3" fontId="16" fillId="2" borderId="3" xfId="0" applyNumberFormat="1" applyFont="1" applyFill="1" applyBorder="1" applyAlignment="1" applyProtection="1">
      <alignment horizontal="right" vertical="top" wrapText="1"/>
      <protection locked="0"/>
    </xf>
    <xf numFmtId="0" fontId="3" fillId="8" borderId="3" xfId="0" applyNumberFormat="1" applyFont="1" applyFill="1" applyBorder="1" applyAlignment="1" applyProtection="1">
      <alignment vertical="top" wrapText="1"/>
    </xf>
    <xf numFmtId="3" fontId="3" fillId="7" borderId="3" xfId="0" applyNumberFormat="1" applyFont="1" applyFill="1" applyBorder="1" applyAlignment="1" applyProtection="1">
      <alignment horizontal="right" vertical="top" wrapText="1"/>
      <protection locked="0"/>
    </xf>
    <xf numFmtId="49" fontId="3" fillId="4" borderId="3" xfId="0" applyNumberFormat="1" applyFont="1" applyFill="1" applyBorder="1" applyAlignment="1" applyProtection="1">
      <alignment horizontal="center" vertical="top"/>
    </xf>
    <xf numFmtId="49" fontId="3" fillId="5" borderId="3" xfId="0" applyNumberFormat="1" applyFont="1" applyFill="1" applyBorder="1" applyAlignment="1" applyProtection="1">
      <alignment wrapText="1"/>
    </xf>
    <xf numFmtId="49" fontId="3" fillId="4" borderId="3" xfId="0" applyNumberFormat="1" applyFont="1" applyFill="1" applyBorder="1" applyAlignment="1" applyProtection="1">
      <alignment horizontal="left" vertical="center"/>
    </xf>
    <xf numFmtId="49" fontId="3" fillId="5" borderId="3" xfId="0" applyNumberFormat="1" applyFont="1" applyFill="1" applyBorder="1" applyProtection="1"/>
    <xf numFmtId="49" fontId="3" fillId="5" borderId="3" xfId="0" applyNumberFormat="1" applyFont="1" applyFill="1" applyBorder="1" applyAlignment="1" applyProtection="1">
      <alignment horizontal="left" vertical="center" wrapText="1"/>
    </xf>
    <xf numFmtId="49" fontId="3" fillId="4" borderId="3" xfId="0" applyNumberFormat="1" applyFont="1" applyFill="1" applyBorder="1" applyAlignment="1" applyProtection="1">
      <alignment horizontal="center" vertical="center"/>
    </xf>
    <xf numFmtId="49" fontId="3" fillId="4" borderId="3" xfId="0" applyNumberFormat="1" applyFont="1" applyFill="1" applyBorder="1" applyAlignment="1" applyProtection="1">
      <alignment horizontal="left" vertical="center" wrapText="1"/>
    </xf>
    <xf numFmtId="49" fontId="3" fillId="4" borderId="3" xfId="0" applyNumberFormat="1" applyFont="1" applyFill="1" applyBorder="1" applyAlignment="1" applyProtection="1">
      <alignment vertical="center" wrapText="1"/>
    </xf>
    <xf numFmtId="49" fontId="7" fillId="0" borderId="3" xfId="0" applyNumberFormat="1" applyFont="1" applyFill="1" applyBorder="1" applyAlignment="1" applyProtection="1">
      <alignment horizontal="center" vertical="top" wrapText="1"/>
    </xf>
    <xf numFmtId="49" fontId="3" fillId="0" borderId="3" xfId="0" applyNumberFormat="1" applyFont="1" applyFill="1" applyBorder="1" applyAlignment="1" applyProtection="1">
      <alignment horizontal="center" vertical="top"/>
    </xf>
    <xf numFmtId="49" fontId="7" fillId="2" borderId="3" xfId="0" applyNumberFormat="1" applyFont="1" applyFill="1" applyBorder="1" applyAlignment="1" applyProtection="1">
      <alignment horizontal="center" wrapText="1"/>
    </xf>
    <xf numFmtId="49" fontId="3" fillId="0" borderId="3" xfId="0" applyNumberFormat="1" applyFont="1" applyFill="1" applyBorder="1" applyAlignment="1" applyProtection="1">
      <alignment horizontal="center" vertical="top" wrapText="1"/>
    </xf>
    <xf numFmtId="49" fontId="10" fillId="2" borderId="3" xfId="0" applyNumberFormat="1" applyFont="1" applyFill="1" applyBorder="1" applyAlignment="1" applyProtection="1">
      <alignment horizontal="center" vertical="top"/>
    </xf>
    <xf numFmtId="49" fontId="11" fillId="0" borderId="3" xfId="0" applyNumberFormat="1" applyFont="1" applyFill="1" applyBorder="1" applyAlignment="1" applyProtection="1">
      <alignment horizontal="center" vertical="top" wrapText="1"/>
    </xf>
    <xf numFmtId="49" fontId="11" fillId="0" borderId="3" xfId="0" applyNumberFormat="1" applyFont="1" applyFill="1" applyBorder="1" applyAlignment="1" applyProtection="1">
      <alignment horizontal="center" vertical="top"/>
    </xf>
    <xf numFmtId="49" fontId="7" fillId="2" borderId="3" xfId="0" applyNumberFormat="1" applyFont="1" applyFill="1" applyBorder="1" applyAlignment="1" applyProtection="1">
      <alignment horizontal="center" vertical="top" wrapText="1"/>
    </xf>
    <xf numFmtId="49" fontId="3" fillId="2" borderId="3" xfId="0" applyNumberFormat="1" applyFont="1" applyFill="1" applyBorder="1" applyAlignment="1" applyProtection="1">
      <alignment horizontal="center"/>
    </xf>
    <xf numFmtId="49" fontId="3" fillId="2" borderId="3" xfId="0" applyNumberFormat="1" applyFont="1" applyFill="1" applyBorder="1" applyAlignment="1" applyProtection="1">
      <alignment horizontal="center" vertical="center" wrapText="1"/>
    </xf>
    <xf numFmtId="49" fontId="7" fillId="2" borderId="3" xfId="0" applyNumberFormat="1" applyFont="1" applyFill="1" applyBorder="1" applyAlignment="1" applyProtection="1">
      <alignment horizontal="center" vertical="center" wrapText="1"/>
    </xf>
    <xf numFmtId="0" fontId="7" fillId="0" borderId="3" xfId="0" applyNumberFormat="1" applyFont="1" applyFill="1" applyBorder="1" applyAlignment="1" applyProtection="1">
      <alignment horizontal="left" vertical="top" wrapText="1"/>
    </xf>
    <xf numFmtId="0" fontId="3" fillId="2" borderId="3" xfId="0" applyNumberFormat="1" applyFont="1" applyFill="1" applyBorder="1" applyAlignment="1" applyProtection="1">
      <alignment horizontal="left" vertical="top" wrapText="1"/>
    </xf>
    <xf numFmtId="0" fontId="7" fillId="2" borderId="3" xfId="0" applyNumberFormat="1" applyFont="1" applyFill="1" applyBorder="1" applyAlignment="1" applyProtection="1">
      <alignment vertical="top" wrapText="1"/>
    </xf>
    <xf numFmtId="49" fontId="1" fillId="4" borderId="0" xfId="0" applyNumberFormat="1" applyFont="1" applyFill="1" applyProtection="1">
      <protection locked="0"/>
    </xf>
    <xf numFmtId="49" fontId="10" fillId="0" borderId="3" xfId="0" applyNumberFormat="1" applyFont="1" applyBorder="1" applyAlignment="1">
      <alignment horizontal="center" vertical="center"/>
    </xf>
    <xf numFmtId="49" fontId="10" fillId="0" borderId="3" xfId="0" applyNumberFormat="1" applyFont="1" applyBorder="1" applyAlignment="1">
      <alignment vertical="center" wrapText="1"/>
    </xf>
    <xf numFmtId="49" fontId="11" fillId="0" borderId="3" xfId="0" applyNumberFormat="1" applyFont="1" applyBorder="1" applyAlignment="1">
      <alignment vertical="center" wrapText="1"/>
    </xf>
    <xf numFmtId="49" fontId="11" fillId="0" borderId="3" xfId="0" applyNumberFormat="1" applyFont="1" applyBorder="1" applyAlignment="1">
      <alignment horizontal="center" vertical="center" wrapText="1"/>
    </xf>
    <xf numFmtId="49" fontId="10" fillId="0" borderId="3" xfId="0" applyNumberFormat="1" applyFont="1" applyBorder="1" applyAlignment="1">
      <alignment horizontal="center" vertical="center" wrapText="1"/>
    </xf>
    <xf numFmtId="0" fontId="0" fillId="4" borderId="0" xfId="0" applyNumberFormat="1" applyFill="1" applyProtection="1">
      <protection locked="0"/>
    </xf>
    <xf numFmtId="49" fontId="10" fillId="3" borderId="3" xfId="0" applyNumberFormat="1" applyFont="1" applyFill="1" applyBorder="1" applyAlignment="1">
      <alignment horizontal="center" vertical="center"/>
    </xf>
    <xf numFmtId="49" fontId="10" fillId="3" borderId="3" xfId="0" applyNumberFormat="1" applyFont="1" applyFill="1" applyBorder="1" applyAlignment="1">
      <alignment vertical="center" wrapText="1"/>
    </xf>
    <xf numFmtId="0" fontId="0" fillId="4" borderId="3" xfId="0" applyNumberFormat="1" applyFill="1" applyBorder="1" applyProtection="1">
      <protection locked="0"/>
    </xf>
    <xf numFmtId="0" fontId="10" fillId="0" borderId="3" xfId="0" applyFont="1" applyBorder="1" applyAlignment="1">
      <alignment vertical="center" wrapText="1"/>
    </xf>
    <xf numFmtId="0" fontId="10" fillId="0" borderId="3" xfId="0" applyFont="1" applyBorder="1" applyAlignment="1">
      <alignment horizontal="center" vertical="center" wrapText="1"/>
    </xf>
    <xf numFmtId="0" fontId="1" fillId="0" borderId="0" xfId="0" applyNumberFormat="1" applyFont="1" applyProtection="1">
      <protection locked="0"/>
    </xf>
    <xf numFmtId="0" fontId="1" fillId="4" borderId="0" xfId="0" applyNumberFormat="1" applyFont="1" applyFill="1" applyProtection="1">
      <protection locked="0"/>
    </xf>
    <xf numFmtId="0" fontId="1" fillId="4" borderId="3" xfId="0" applyNumberFormat="1" applyFont="1" applyFill="1" applyBorder="1" applyProtection="1">
      <protection locked="0"/>
    </xf>
    <xf numFmtId="49" fontId="3" fillId="4" borderId="3" xfId="0" applyNumberFormat="1" applyFont="1" applyFill="1" applyBorder="1" applyAlignment="1" applyProtection="1"/>
    <xf numFmtId="49" fontId="5" fillId="4" borderId="3" xfId="0" applyNumberFormat="1" applyFont="1" applyFill="1" applyBorder="1" applyProtection="1"/>
    <xf numFmtId="0" fontId="3" fillId="0" borderId="3" xfId="0" applyNumberFormat="1" applyFont="1" applyBorder="1" applyProtection="1">
      <protection locked="0"/>
    </xf>
    <xf numFmtId="0" fontId="3" fillId="3" borderId="3" xfId="0" applyNumberFormat="1" applyFont="1" applyFill="1" applyBorder="1" applyProtection="1">
      <protection locked="0"/>
    </xf>
    <xf numFmtId="49" fontId="10" fillId="0" borderId="3" xfId="0" applyNumberFormat="1" applyFont="1" applyBorder="1" applyAlignment="1">
      <alignment horizontal="center" vertical="top"/>
    </xf>
    <xf numFmtId="0" fontId="3" fillId="0" borderId="3" xfId="0" applyNumberFormat="1" applyFont="1" applyBorder="1" applyAlignment="1" applyProtection="1">
      <alignment horizontal="center" vertical="top"/>
      <protection locked="0"/>
    </xf>
    <xf numFmtId="49" fontId="3" fillId="0" borderId="3" xfId="0" applyNumberFormat="1" applyFont="1" applyBorder="1" applyAlignment="1">
      <alignment horizontal="center" vertical="top"/>
    </xf>
    <xf numFmtId="49" fontId="3" fillId="4" borderId="3" xfId="0" applyNumberFormat="1" applyFont="1" applyFill="1" applyBorder="1" applyAlignment="1" applyProtection="1">
      <alignment vertical="top"/>
    </xf>
    <xf numFmtId="49" fontId="0" fillId="4" borderId="3" xfId="0" applyNumberFormat="1" applyFill="1" applyBorder="1" applyAlignment="1" applyProtection="1">
      <alignment vertical="top"/>
      <protection locked="0"/>
    </xf>
    <xf numFmtId="0" fontId="0" fillId="0" borderId="0" xfId="0" applyNumberFormat="1" applyAlignment="1" applyProtection="1">
      <alignment vertical="top"/>
      <protection locked="0"/>
    </xf>
    <xf numFmtId="49" fontId="9" fillId="4" borderId="3" xfId="0" applyNumberFormat="1" applyFont="1" applyFill="1" applyBorder="1" applyProtection="1">
      <protection locked="0"/>
    </xf>
    <xf numFmtId="0" fontId="10" fillId="0" borderId="3" xfId="0" applyFont="1" applyBorder="1" applyAlignment="1">
      <alignment horizontal="justify" vertical="center" wrapText="1"/>
    </xf>
    <xf numFmtId="0" fontId="9" fillId="0" borderId="3" xfId="0" applyNumberFormat="1" applyFont="1" applyBorder="1" applyProtection="1">
      <protection locked="0"/>
    </xf>
    <xf numFmtId="49" fontId="10" fillId="0" borderId="3" xfId="0" applyNumberFormat="1" applyFont="1" applyBorder="1" applyAlignment="1">
      <alignment horizontal="center" vertical="top" wrapText="1"/>
    </xf>
    <xf numFmtId="0" fontId="9" fillId="4" borderId="3" xfId="0" applyNumberFormat="1" applyFont="1" applyFill="1" applyBorder="1" applyProtection="1">
      <protection locked="0"/>
    </xf>
    <xf numFmtId="49" fontId="7" fillId="0" borderId="3" xfId="0" applyNumberFormat="1" applyFont="1" applyFill="1" applyBorder="1" applyAlignment="1" applyProtection="1">
      <alignment horizontal="center" wrapText="1"/>
    </xf>
    <xf numFmtId="0" fontId="3" fillId="0" borderId="3" xfId="0" applyNumberFormat="1" applyFont="1" applyBorder="1" applyAlignment="1" applyProtection="1">
      <alignment wrapText="1"/>
      <protection locked="0"/>
    </xf>
    <xf numFmtId="49" fontId="10" fillId="3" borderId="3" xfId="0" applyNumberFormat="1" applyFont="1" applyFill="1" applyBorder="1" applyAlignment="1">
      <alignment horizontal="center" vertical="top"/>
    </xf>
    <xf numFmtId="0" fontId="10" fillId="3" borderId="3" xfId="0" applyFont="1" applyFill="1" applyBorder="1" applyAlignment="1">
      <alignment vertical="center" wrapText="1"/>
    </xf>
    <xf numFmtId="49" fontId="3" fillId="0" borderId="3" xfId="0" applyNumberFormat="1" applyFont="1" applyFill="1" applyBorder="1" applyAlignment="1" applyProtection="1">
      <alignment horizontal="center"/>
    </xf>
    <xf numFmtId="0" fontId="9" fillId="0" borderId="3" xfId="0" applyNumberFormat="1" applyFont="1" applyBorder="1" applyAlignment="1" applyProtection="1">
      <alignment horizontal="center" vertical="top"/>
      <protection locked="0"/>
    </xf>
    <xf numFmtId="0" fontId="11" fillId="0" borderId="3" xfId="0" applyFont="1" applyBorder="1" applyAlignment="1">
      <alignment horizontal="center" vertical="center" wrapText="1"/>
    </xf>
    <xf numFmtId="0" fontId="11" fillId="0" borderId="3" xfId="0" applyFont="1" applyBorder="1" applyAlignment="1">
      <alignment vertical="center" wrapText="1"/>
    </xf>
    <xf numFmtId="0" fontId="7" fillId="2" borderId="3" xfId="0" applyNumberFormat="1" applyFont="1" applyFill="1" applyBorder="1" applyAlignment="1" applyProtection="1">
      <alignment horizontal="center" vertical="top" wrapText="1"/>
    </xf>
    <xf numFmtId="0" fontId="0" fillId="0" borderId="3" xfId="0" applyNumberFormat="1" applyBorder="1" applyProtection="1">
      <protection locked="0"/>
    </xf>
    <xf numFmtId="49" fontId="17" fillId="0" borderId="3" xfId="0" applyNumberFormat="1" applyFont="1" applyBorder="1" applyAlignment="1">
      <alignment horizontal="center" vertical="center"/>
    </xf>
    <xf numFmtId="49" fontId="17" fillId="0" borderId="3" xfId="0" applyNumberFormat="1" applyFont="1" applyBorder="1" applyAlignment="1">
      <alignment horizontal="center" vertical="top"/>
    </xf>
    <xf numFmtId="3" fontId="3" fillId="0" borderId="3" xfId="0" applyNumberFormat="1" applyFont="1" applyBorder="1" applyProtection="1">
      <protection locked="0"/>
    </xf>
    <xf numFmtId="49" fontId="17" fillId="0" borderId="3" xfId="0" applyNumberFormat="1" applyFont="1" applyBorder="1" applyAlignment="1">
      <alignment horizontal="center" vertical="top" wrapText="1"/>
    </xf>
    <xf numFmtId="3" fontId="3" fillId="2" borderId="3" xfId="0" applyNumberFormat="1" applyFont="1" applyFill="1" applyBorder="1" applyAlignment="1" applyProtection="1">
      <alignment vertical="top" wrapText="1"/>
    </xf>
    <xf numFmtId="164" fontId="3" fillId="0" borderId="3" xfId="0" applyNumberFormat="1" applyFont="1" applyBorder="1" applyProtection="1">
      <protection locked="0"/>
    </xf>
    <xf numFmtId="49" fontId="17" fillId="0" borderId="3" xfId="0" applyNumberFormat="1" applyFont="1" applyBorder="1" applyAlignment="1" applyProtection="1">
      <alignment vertical="center" wrapText="1"/>
      <protection locked="0"/>
    </xf>
    <xf numFmtId="0" fontId="17" fillId="0" borderId="3" xfId="0" applyFont="1" applyBorder="1" applyAlignment="1" applyProtection="1">
      <alignment vertical="center" wrapText="1"/>
      <protection locked="0"/>
    </xf>
    <xf numFmtId="0" fontId="17" fillId="0" borderId="3" xfId="0" applyFont="1" applyBorder="1" applyAlignment="1" applyProtection="1">
      <alignment horizontal="justify" vertical="center" wrapText="1"/>
      <protection locked="0"/>
    </xf>
    <xf numFmtId="3" fontId="18" fillId="0" borderId="3" xfId="0" applyNumberFormat="1" applyFont="1" applyFill="1" applyBorder="1" applyAlignment="1" applyProtection="1">
      <alignment horizontal="right" vertical="top" wrapText="1"/>
      <protection locked="0"/>
    </xf>
    <xf numFmtId="3" fontId="18" fillId="2" borderId="3" xfId="0" applyNumberFormat="1" applyFont="1" applyFill="1" applyBorder="1" applyAlignment="1" applyProtection="1">
      <alignment horizontal="right" vertical="top" wrapText="1"/>
      <protection locked="0"/>
    </xf>
    <xf numFmtId="0" fontId="18" fillId="2" borderId="3" xfId="0" applyNumberFormat="1" applyFont="1" applyFill="1" applyBorder="1" applyAlignment="1" applyProtection="1">
      <alignment vertical="top" wrapText="1"/>
      <protection locked="0"/>
    </xf>
    <xf numFmtId="164" fontId="18" fillId="0" borderId="3" xfId="0" applyNumberFormat="1" applyFont="1" applyFill="1" applyBorder="1" applyAlignment="1" applyProtection="1">
      <alignment horizontal="right" vertical="top" wrapText="1"/>
      <protection locked="0"/>
    </xf>
    <xf numFmtId="49" fontId="10" fillId="0" borderId="3" xfId="0" applyNumberFormat="1" applyFont="1" applyBorder="1" applyAlignment="1" applyProtection="1">
      <alignment horizontal="center" vertical="center"/>
    </xf>
    <xf numFmtId="49" fontId="10" fillId="0" borderId="3" xfId="0" applyNumberFormat="1" applyFont="1" applyBorder="1" applyAlignment="1" applyProtection="1">
      <alignment vertical="center" wrapText="1"/>
    </xf>
    <xf numFmtId="0" fontId="3" fillId="0" borderId="3" xfId="0" applyNumberFormat="1" applyFont="1" applyBorder="1" applyProtection="1"/>
    <xf numFmtId="0" fontId="3" fillId="15" borderId="3" xfId="0" applyNumberFormat="1" applyFont="1" applyFill="1" applyBorder="1" applyAlignment="1" applyProtection="1">
      <alignment vertical="top" wrapText="1"/>
      <protection locked="0"/>
    </xf>
    <xf numFmtId="49" fontId="10" fillId="16" borderId="3" xfId="0" applyNumberFormat="1" applyFont="1" applyFill="1" applyBorder="1" applyAlignment="1">
      <alignment horizontal="center" vertical="top"/>
    </xf>
    <xf numFmtId="0" fontId="10" fillId="16" borderId="3" xfId="0" applyFont="1" applyFill="1" applyBorder="1" applyAlignment="1">
      <alignment vertical="center" wrapText="1"/>
    </xf>
    <xf numFmtId="49" fontId="3" fillId="16" borderId="3" xfId="0" applyNumberFormat="1" applyFont="1" applyFill="1" applyBorder="1" applyAlignment="1" applyProtection="1">
      <alignment vertical="top" wrapText="1"/>
    </xf>
    <xf numFmtId="49" fontId="3" fillId="0" borderId="3" xfId="0" applyNumberFormat="1" applyFont="1" applyBorder="1" applyProtection="1">
      <protection locked="0"/>
    </xf>
  </cellXfs>
  <cellStyles count="262">
    <cellStyle name="Hyperlink" xfId="1" builtinId="8"/>
    <cellStyle name="Normal" xfId="0" builtinId="0"/>
    <cellStyle name="Normal 2" xfId="2"/>
    <cellStyle name="Normal 2 10" xfId="3"/>
    <cellStyle name="Normal 2 10 10" xfId="4"/>
    <cellStyle name="Normal 2 10 11" xfId="5"/>
    <cellStyle name="Normal 2 10 12" xfId="6"/>
    <cellStyle name="Normal 2 10 13" xfId="7"/>
    <cellStyle name="Normal 2 10 14" xfId="8"/>
    <cellStyle name="Normal 2 10 15" xfId="9"/>
    <cellStyle name="Normal 2 10 16" xfId="10"/>
    <cellStyle name="Normal 2 10 17" xfId="11"/>
    <cellStyle name="Normal 2 10 18" xfId="12"/>
    <cellStyle name="Normal 2 10 19" xfId="13"/>
    <cellStyle name="Normal 2 10 2" xfId="14"/>
    <cellStyle name="Normal 2 10 20" xfId="15"/>
    <cellStyle name="Normal 2 10 21" xfId="16"/>
    <cellStyle name="Normal 2 10 22" xfId="17"/>
    <cellStyle name="Normal 2 10 23" xfId="18"/>
    <cellStyle name="Normal 2 10 24" xfId="19"/>
    <cellStyle name="Normal 2 10 25" xfId="20"/>
    <cellStyle name="Normal 2 10 26" xfId="21"/>
    <cellStyle name="Normal 2 10 27" xfId="22"/>
    <cellStyle name="Normal 2 10 28" xfId="23"/>
    <cellStyle name="Normal 2 10 3" xfId="24"/>
    <cellStyle name="Normal 2 10 4" xfId="25"/>
    <cellStyle name="Normal 2 10 5" xfId="26"/>
    <cellStyle name="Normal 2 10 6" xfId="27"/>
    <cellStyle name="Normal 2 10 7" xfId="28"/>
    <cellStyle name="Normal 2 10 8" xfId="29"/>
    <cellStyle name="Normal 2 10 9" xfId="30"/>
    <cellStyle name="Normal 2 11" xfId="31"/>
    <cellStyle name="Normal 2 11 10" xfId="32"/>
    <cellStyle name="Normal 2 11 11" xfId="33"/>
    <cellStyle name="Normal 2 11 12" xfId="34"/>
    <cellStyle name="Normal 2 11 13" xfId="35"/>
    <cellStyle name="Normal 2 11 14" xfId="36"/>
    <cellStyle name="Normal 2 11 15" xfId="37"/>
    <cellStyle name="Normal 2 11 16" xfId="38"/>
    <cellStyle name="Normal 2 11 17" xfId="39"/>
    <cellStyle name="Normal 2 11 18" xfId="40"/>
    <cellStyle name="Normal 2 11 19" xfId="41"/>
    <cellStyle name="Normal 2 11 2" xfId="42"/>
    <cellStyle name="Normal 2 11 20" xfId="43"/>
    <cellStyle name="Normal 2 11 21" xfId="44"/>
    <cellStyle name="Normal 2 11 22" xfId="45"/>
    <cellStyle name="Normal 2 11 23" xfId="46"/>
    <cellStyle name="Normal 2 11 24" xfId="47"/>
    <cellStyle name="Normal 2 11 25" xfId="48"/>
    <cellStyle name="Normal 2 11 26" xfId="49"/>
    <cellStyle name="Normal 2 11 27" xfId="50"/>
    <cellStyle name="Normal 2 11 28" xfId="51"/>
    <cellStyle name="Normal 2 11 3" xfId="52"/>
    <cellStyle name="Normal 2 11 4" xfId="53"/>
    <cellStyle name="Normal 2 11 5" xfId="54"/>
    <cellStyle name="Normal 2 11 6" xfId="55"/>
    <cellStyle name="Normal 2 11 7" xfId="56"/>
    <cellStyle name="Normal 2 11 8" xfId="57"/>
    <cellStyle name="Normal 2 11 9" xfId="58"/>
    <cellStyle name="Normal 2 12" xfId="59"/>
    <cellStyle name="Normal 2 12 10" xfId="60"/>
    <cellStyle name="Normal 2 12 11" xfId="61"/>
    <cellStyle name="Normal 2 12 12" xfId="62"/>
    <cellStyle name="Normal 2 12 13" xfId="63"/>
    <cellStyle name="Normal 2 12 14" xfId="64"/>
    <cellStyle name="Normal 2 12 15" xfId="65"/>
    <cellStyle name="Normal 2 12 16" xfId="66"/>
    <cellStyle name="Normal 2 12 17" xfId="67"/>
    <cellStyle name="Normal 2 12 18" xfId="68"/>
    <cellStyle name="Normal 2 12 19" xfId="69"/>
    <cellStyle name="Normal 2 12 2" xfId="70"/>
    <cellStyle name="Normal 2 12 20" xfId="71"/>
    <cellStyle name="Normal 2 12 21" xfId="72"/>
    <cellStyle name="Normal 2 12 22" xfId="73"/>
    <cellStyle name="Normal 2 12 23" xfId="74"/>
    <cellStyle name="Normal 2 12 24" xfId="75"/>
    <cellStyle name="Normal 2 12 25" xfId="76"/>
    <cellStyle name="Normal 2 12 26" xfId="77"/>
    <cellStyle name="Normal 2 12 27" xfId="78"/>
    <cellStyle name="Normal 2 12 28" xfId="79"/>
    <cellStyle name="Normal 2 12 3" xfId="80"/>
    <cellStyle name="Normal 2 12 4" xfId="81"/>
    <cellStyle name="Normal 2 12 5" xfId="82"/>
    <cellStyle name="Normal 2 12 6" xfId="83"/>
    <cellStyle name="Normal 2 12 7" xfId="84"/>
    <cellStyle name="Normal 2 12 8" xfId="85"/>
    <cellStyle name="Normal 2 12 9" xfId="86"/>
    <cellStyle name="Normal 2 13" xfId="87"/>
    <cellStyle name="Normal 2 13 10" xfId="88"/>
    <cellStyle name="Normal 2 13 11" xfId="89"/>
    <cellStyle name="Normal 2 13 12" xfId="90"/>
    <cellStyle name="Normal 2 13 13" xfId="91"/>
    <cellStyle name="Normal 2 13 14" xfId="92"/>
    <cellStyle name="Normal 2 13 15" xfId="93"/>
    <cellStyle name="Normal 2 13 16" xfId="94"/>
    <cellStyle name="Normal 2 13 17" xfId="95"/>
    <cellStyle name="Normal 2 13 18" xfId="96"/>
    <cellStyle name="Normal 2 13 19" xfId="97"/>
    <cellStyle name="Normal 2 13 2" xfId="98"/>
    <cellStyle name="Normal 2 13 20" xfId="99"/>
    <cellStyle name="Normal 2 13 21" xfId="100"/>
    <cellStyle name="Normal 2 13 22" xfId="101"/>
    <cellStyle name="Normal 2 13 23" xfId="102"/>
    <cellStyle name="Normal 2 13 24" xfId="103"/>
    <cellStyle name="Normal 2 13 25" xfId="104"/>
    <cellStyle name="Normal 2 13 26" xfId="105"/>
    <cellStyle name="Normal 2 13 27" xfId="106"/>
    <cellStyle name="Normal 2 13 28" xfId="107"/>
    <cellStyle name="Normal 2 13 3" xfId="108"/>
    <cellStyle name="Normal 2 13 4" xfId="109"/>
    <cellStyle name="Normal 2 13 5" xfId="110"/>
    <cellStyle name="Normal 2 13 6" xfId="111"/>
    <cellStyle name="Normal 2 13 7" xfId="112"/>
    <cellStyle name="Normal 2 13 8" xfId="113"/>
    <cellStyle name="Normal 2 13 9" xfId="114"/>
    <cellStyle name="Normal 2 2" xfId="115"/>
    <cellStyle name="Normal 2 3" xfId="116"/>
    <cellStyle name="Normal 2 4" xfId="117"/>
    <cellStyle name="Normal 2 5" xfId="118"/>
    <cellStyle name="Normal 2 6" xfId="119"/>
    <cellStyle name="Normal 2 7" xfId="120"/>
    <cellStyle name="Normal 2 8" xfId="121"/>
    <cellStyle name="Normal 2 9" xfId="122"/>
    <cellStyle name="Normal 3" xfId="123"/>
    <cellStyle name="Normal 3 10" xfId="124"/>
    <cellStyle name="Normal 3 11" xfId="125"/>
    <cellStyle name="Normal 3 12" xfId="126"/>
    <cellStyle name="Normal 3 13" xfId="127"/>
    <cellStyle name="Normal 3 14" xfId="128"/>
    <cellStyle name="Normal 3 15" xfId="129"/>
    <cellStyle name="Normal 3 16" xfId="130"/>
    <cellStyle name="Normal 3 17" xfId="131"/>
    <cellStyle name="Normal 3 18" xfId="132"/>
    <cellStyle name="Normal 3 19" xfId="133"/>
    <cellStyle name="Normal 3 2" xfId="134"/>
    <cellStyle name="Normal 3 20" xfId="135"/>
    <cellStyle name="Normal 3 21" xfId="136"/>
    <cellStyle name="Normal 3 22" xfId="137"/>
    <cellStyle name="Normal 3 23" xfId="138"/>
    <cellStyle name="Normal 3 24" xfId="139"/>
    <cellStyle name="Normal 3 25" xfId="140"/>
    <cellStyle name="Normal 3 26" xfId="141"/>
    <cellStyle name="Normal 3 27" xfId="142"/>
    <cellStyle name="Normal 3 28" xfId="143"/>
    <cellStyle name="Normal 3 29" xfId="144"/>
    <cellStyle name="Normal 3 3" xfId="145"/>
    <cellStyle name="Normal 3 30" xfId="146"/>
    <cellStyle name="Normal 3 31" xfId="147"/>
    <cellStyle name="Normal 3 4" xfId="148"/>
    <cellStyle name="Normal 3 5" xfId="149"/>
    <cellStyle name="Normal 3 6" xfId="150"/>
    <cellStyle name="Normal 3 7" xfId="151"/>
    <cellStyle name="Normal 3 8" xfId="152"/>
    <cellStyle name="Normal 3 9" xfId="153"/>
    <cellStyle name="Normal 4" xfId="154"/>
    <cellStyle name="Normal 4 10" xfId="155"/>
    <cellStyle name="Normal 4 11" xfId="156"/>
    <cellStyle name="Normal 4 12" xfId="157"/>
    <cellStyle name="Normal 4 13" xfId="158"/>
    <cellStyle name="Normal 4 14" xfId="159"/>
    <cellStyle name="Normal 4 15" xfId="160"/>
    <cellStyle name="Normal 4 16" xfId="161"/>
    <cellStyle name="Normal 4 17" xfId="162"/>
    <cellStyle name="Normal 4 18" xfId="163"/>
    <cellStyle name="Normal 4 19" xfId="164"/>
    <cellStyle name="Normal 4 2" xfId="165"/>
    <cellStyle name="Normal 4 20" xfId="166"/>
    <cellStyle name="Normal 4 21" xfId="167"/>
    <cellStyle name="Normal 4 22" xfId="168"/>
    <cellStyle name="Normal 4 23" xfId="169"/>
    <cellStyle name="Normal 4 24" xfId="170"/>
    <cellStyle name="Normal 4 25" xfId="171"/>
    <cellStyle name="Normal 4 26" xfId="172"/>
    <cellStyle name="Normal 4 27" xfId="173"/>
    <cellStyle name="Normal 4 28" xfId="174"/>
    <cellStyle name="Normal 4 29" xfId="175"/>
    <cellStyle name="Normal 4 3" xfId="176"/>
    <cellStyle name="Normal 4 30" xfId="177"/>
    <cellStyle name="Normal 4 31" xfId="178"/>
    <cellStyle name="Normal 4 4" xfId="179"/>
    <cellStyle name="Normal 4 5" xfId="180"/>
    <cellStyle name="Normal 4 6" xfId="181"/>
    <cellStyle name="Normal 4 7" xfId="182"/>
    <cellStyle name="Normal 4 8" xfId="183"/>
    <cellStyle name="Normal 4 9" xfId="184"/>
    <cellStyle name="Normal 5" xfId="185"/>
    <cellStyle name="Normal 5 10" xfId="186"/>
    <cellStyle name="Normal 5 11" xfId="187"/>
    <cellStyle name="Normal 5 12" xfId="188"/>
    <cellStyle name="Normal 5 13" xfId="189"/>
    <cellStyle name="Normal 5 14" xfId="190"/>
    <cellStyle name="Normal 5 15" xfId="191"/>
    <cellStyle name="Normal 5 16" xfId="192"/>
    <cellStyle name="Normal 5 17" xfId="193"/>
    <cellStyle name="Normal 5 18" xfId="194"/>
    <cellStyle name="Normal 5 19" xfId="195"/>
    <cellStyle name="Normal 5 2" xfId="196"/>
    <cellStyle name="Normal 5 20" xfId="197"/>
    <cellStyle name="Normal 5 21" xfId="198"/>
    <cellStyle name="Normal 5 22" xfId="199"/>
    <cellStyle name="Normal 5 23" xfId="200"/>
    <cellStyle name="Normal 5 24" xfId="201"/>
    <cellStyle name="Normal 5 25" xfId="202"/>
    <cellStyle name="Normal 5 26" xfId="203"/>
    <cellStyle name="Normal 5 27" xfId="204"/>
    <cellStyle name="Normal 5 28" xfId="205"/>
    <cellStyle name="Normal 5 29" xfId="206"/>
    <cellStyle name="Normal 5 3" xfId="207"/>
    <cellStyle name="Normal 5 30" xfId="208"/>
    <cellStyle name="Normal 5 31" xfId="209"/>
    <cellStyle name="Normal 5 4" xfId="210"/>
    <cellStyle name="Normal 5 5" xfId="211"/>
    <cellStyle name="Normal 5 6" xfId="212"/>
    <cellStyle name="Normal 5 7" xfId="213"/>
    <cellStyle name="Normal 5 8" xfId="214"/>
    <cellStyle name="Normal 5 9" xfId="215"/>
    <cellStyle name="Normal 6" xfId="216"/>
    <cellStyle name="Normal 6 10" xfId="217"/>
    <cellStyle name="Normal 6 11" xfId="218"/>
    <cellStyle name="Normal 6 12" xfId="219"/>
    <cellStyle name="Normal 6 13" xfId="220"/>
    <cellStyle name="Normal 6 14" xfId="221"/>
    <cellStyle name="Normal 6 15" xfId="222"/>
    <cellStyle name="Normal 6 16" xfId="223"/>
    <cellStyle name="Normal 6 17" xfId="224"/>
    <cellStyle name="Normal 6 18" xfId="225"/>
    <cellStyle name="Normal 6 19" xfId="226"/>
    <cellStyle name="Normal 6 2" xfId="227"/>
    <cellStyle name="Normal 6 20" xfId="228"/>
    <cellStyle name="Normal 6 21" xfId="229"/>
    <cellStyle name="Normal 6 22" xfId="230"/>
    <cellStyle name="Normal 6 23" xfId="231"/>
    <cellStyle name="Normal 6 3" xfId="232"/>
    <cellStyle name="Normal 6 4" xfId="233"/>
    <cellStyle name="Normal 6 5" xfId="234"/>
    <cellStyle name="Normal 6 6" xfId="235"/>
    <cellStyle name="Normal 6 7" xfId="236"/>
    <cellStyle name="Normal 6 8" xfId="237"/>
    <cellStyle name="Normal 6 9" xfId="238"/>
    <cellStyle name="Normal 7" xfId="239"/>
    <cellStyle name="Normal 7 10" xfId="240"/>
    <cellStyle name="Normal 7 11" xfId="241"/>
    <cellStyle name="Normal 7 12" xfId="242"/>
    <cellStyle name="Normal 7 13" xfId="243"/>
    <cellStyle name="Normal 7 14" xfId="244"/>
    <cellStyle name="Normal 7 15" xfId="245"/>
    <cellStyle name="Normal 7 16" xfId="246"/>
    <cellStyle name="Normal 7 17" xfId="247"/>
    <cellStyle name="Normal 7 18" xfId="248"/>
    <cellStyle name="Normal 7 19" xfId="249"/>
    <cellStyle name="Normal 7 2" xfId="250"/>
    <cellStyle name="Normal 7 20" xfId="251"/>
    <cellStyle name="Normal 7 21" xfId="252"/>
    <cellStyle name="Normal 7 22" xfId="253"/>
    <cellStyle name="Normal 7 23" xfId="254"/>
    <cellStyle name="Normal 7 3" xfId="255"/>
    <cellStyle name="Normal 7 4" xfId="256"/>
    <cellStyle name="Normal 7 5" xfId="257"/>
    <cellStyle name="Normal 7 6" xfId="258"/>
    <cellStyle name="Normal 7 7" xfId="259"/>
    <cellStyle name="Normal 7 8" xfId="260"/>
    <cellStyle name="Normal 7 9" xfId="261"/>
  </cellStyles>
  <dxfs count="0"/>
  <tableStyles count="0" defaultTableStyle="TableStyleMedium2" defaultPivotStyle="PivotStyleLight16"/>
  <colors>
    <mruColors>
      <color rgb="FFDAEEF3"/>
      <color rgb="FFD9D9D9"/>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twitter.com/dsoft_mx" TargetMode="External"/><Relationship Id="rId7" Type="http://schemas.openxmlformats.org/officeDocument/2006/relationships/hyperlink" Target="http://www.youtube.com/dsoftoficial" TargetMode="External"/><Relationship Id="rId2" Type="http://schemas.openxmlformats.org/officeDocument/2006/relationships/image" Target="../media/image1.jpg"/><Relationship Id="rId1" Type="http://schemas.openxmlformats.org/officeDocument/2006/relationships/hyperlink" Target="http://dsoft.mx/" TargetMode="External"/><Relationship Id="rId6" Type="http://schemas.openxmlformats.org/officeDocument/2006/relationships/image" Target="../media/image3.png"/><Relationship Id="rId5" Type="http://schemas.openxmlformats.org/officeDocument/2006/relationships/hyperlink" Target="https://www.facebook.com/pages/D-Soft/171964449533323" TargetMode="Externa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6</xdr:row>
      <xdr:rowOff>38100</xdr:rowOff>
    </xdr:from>
    <xdr:to>
      <xdr:col>2</xdr:col>
      <xdr:colOff>685800</xdr:colOff>
      <xdr:row>18</xdr:row>
      <xdr:rowOff>123825</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9625" y="1028700"/>
          <a:ext cx="1400175" cy="2266950"/>
        </a:xfrm>
        <a:prstGeom prst="rect">
          <a:avLst/>
        </a:prstGeom>
      </xdr:spPr>
    </xdr:pic>
    <xdr:clientData/>
  </xdr:twoCellAnchor>
  <xdr:twoCellAnchor editAs="oneCell">
    <xdr:from>
      <xdr:col>3</xdr:col>
      <xdr:colOff>66675</xdr:colOff>
      <xdr:row>12</xdr:row>
      <xdr:rowOff>38100</xdr:rowOff>
    </xdr:from>
    <xdr:to>
      <xdr:col>3</xdr:col>
      <xdr:colOff>571437</xdr:colOff>
      <xdr:row>14</xdr:row>
      <xdr:rowOff>114243</xdr:rowOff>
    </xdr:to>
    <xdr:pic>
      <xdr:nvPicPr>
        <xdr:cNvPr id="3" name="3 Imagen">
          <a:hlinkClick xmlns:r="http://schemas.openxmlformats.org/officeDocument/2006/relationships" r:id="rId3" tooltip="Siguenos en Twitter"/>
        </xdr:cNvPr>
        <xdr:cNvPicPr>
          <a:picLocks noChangeAspect="1"/>
        </xdr:cNvPicPr>
      </xdr:nvPicPr>
      <xdr:blipFill>
        <a:blip xmlns:r="http://schemas.openxmlformats.org/officeDocument/2006/relationships" r:embed="rId4"/>
        <a:stretch>
          <a:fillRect/>
        </a:stretch>
      </xdr:blipFill>
      <xdr:spPr>
        <a:xfrm>
          <a:off x="2352675" y="2066925"/>
          <a:ext cx="504762" cy="457143"/>
        </a:xfrm>
        <a:prstGeom prst="rect">
          <a:avLst/>
        </a:prstGeom>
      </xdr:spPr>
    </xdr:pic>
    <xdr:clientData/>
  </xdr:twoCellAnchor>
  <xdr:twoCellAnchor editAs="oneCell">
    <xdr:from>
      <xdr:col>3</xdr:col>
      <xdr:colOff>628649</xdr:colOff>
      <xdr:row>12</xdr:row>
      <xdr:rowOff>38100</xdr:rowOff>
    </xdr:from>
    <xdr:to>
      <xdr:col>4</xdr:col>
      <xdr:colOff>200024</xdr:colOff>
      <xdr:row>14</xdr:row>
      <xdr:rowOff>85671</xdr:rowOff>
    </xdr:to>
    <xdr:pic>
      <xdr:nvPicPr>
        <xdr:cNvPr id="4" name="4 Imagen">
          <a:hlinkClick xmlns:r="http://schemas.openxmlformats.org/officeDocument/2006/relationships" r:id="rId5" tooltip="Siguenos en Facebook"/>
        </xdr:cNvPr>
        <xdr:cNvPicPr>
          <a:picLocks noChangeAspect="1"/>
        </xdr:cNvPicPr>
      </xdr:nvPicPr>
      <xdr:blipFill>
        <a:blip xmlns:r="http://schemas.openxmlformats.org/officeDocument/2006/relationships" r:embed="rId6"/>
        <a:stretch>
          <a:fillRect/>
        </a:stretch>
      </xdr:blipFill>
      <xdr:spPr>
        <a:xfrm>
          <a:off x="2914649" y="2066925"/>
          <a:ext cx="333375" cy="428571"/>
        </a:xfrm>
        <a:prstGeom prst="rect">
          <a:avLst/>
        </a:prstGeom>
      </xdr:spPr>
    </xdr:pic>
    <xdr:clientData/>
  </xdr:twoCellAnchor>
  <xdr:twoCellAnchor editAs="oneCell">
    <xdr:from>
      <xdr:col>4</xdr:col>
      <xdr:colOff>171450</xdr:colOff>
      <xdr:row>12</xdr:row>
      <xdr:rowOff>38100</xdr:rowOff>
    </xdr:from>
    <xdr:to>
      <xdr:col>4</xdr:col>
      <xdr:colOff>666688</xdr:colOff>
      <xdr:row>14</xdr:row>
      <xdr:rowOff>114243</xdr:rowOff>
    </xdr:to>
    <xdr:pic>
      <xdr:nvPicPr>
        <xdr:cNvPr id="5" name="5 Imagen">
          <a:hlinkClick xmlns:r="http://schemas.openxmlformats.org/officeDocument/2006/relationships" r:id="rId7" tooltip="Siguenos en YouTube"/>
        </xdr:cNvPr>
        <xdr:cNvPicPr>
          <a:picLocks noChangeAspect="1"/>
        </xdr:cNvPicPr>
      </xdr:nvPicPr>
      <xdr:blipFill>
        <a:blip xmlns:r="http://schemas.openxmlformats.org/officeDocument/2006/relationships" r:embed="rId8"/>
        <a:stretch>
          <a:fillRect/>
        </a:stretch>
      </xdr:blipFill>
      <xdr:spPr>
        <a:xfrm>
          <a:off x="3219450" y="2066925"/>
          <a:ext cx="495238" cy="45714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dsoft.mx/soporte/" TargetMode="External"/><Relationship Id="rId2" Type="http://schemas.openxmlformats.org/officeDocument/2006/relationships/hyperlink" Target="mailto:contacto@dsoft.mx" TargetMode="External"/><Relationship Id="rId1" Type="http://schemas.openxmlformats.org/officeDocument/2006/relationships/hyperlink" Target="mailto:ventas@dsoft.mx" TargetMode="External"/><Relationship Id="rId5" Type="http://schemas.openxmlformats.org/officeDocument/2006/relationships/drawing" Target="../drawings/drawing1.xml"/><Relationship Id="rId4" Type="http://schemas.openxmlformats.org/officeDocument/2006/relationships/hyperlink" Target="http://dsoft.mx/category/faq-vedifi-dictool"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H16"/>
  <sheetViews>
    <sheetView showGridLines="0" showRowColHeaders="0" workbookViewId="0"/>
  </sheetViews>
  <sheetFormatPr defaultColWidth="11.42578125" defaultRowHeight="15" x14ac:dyDescent="0.25"/>
  <sheetData>
    <row r="2" spans="2:8" x14ac:dyDescent="0.25">
      <c r="B2" s="5" t="s">
        <v>5594</v>
      </c>
      <c r="C2" s="6"/>
      <c r="D2" s="6"/>
      <c r="E2" s="6"/>
      <c r="F2" s="6"/>
      <c r="G2" s="6"/>
      <c r="H2" s="6"/>
    </row>
    <row r="3" spans="2:8" x14ac:dyDescent="0.25">
      <c r="B3" s="5" t="s">
        <v>115</v>
      </c>
      <c r="C3" s="6"/>
      <c r="D3" s="6"/>
      <c r="E3" s="6"/>
      <c r="F3" s="6"/>
      <c r="G3" s="6"/>
      <c r="H3" s="6"/>
    </row>
    <row r="4" spans="2:8" x14ac:dyDescent="0.25">
      <c r="B4" s="5" t="s">
        <v>5595</v>
      </c>
      <c r="C4" s="6"/>
      <c r="D4" s="6"/>
      <c r="E4" s="6"/>
      <c r="F4" s="6"/>
      <c r="G4" s="6"/>
      <c r="H4" s="6"/>
    </row>
    <row r="5" spans="2:8" ht="3" customHeight="1" thickBot="1" x14ac:dyDescent="0.3">
      <c r="B5" s="7"/>
      <c r="C5" s="7"/>
      <c r="D5" s="7"/>
      <c r="E5" s="7"/>
      <c r="F5" s="7"/>
      <c r="G5" s="7"/>
      <c r="H5" s="7"/>
    </row>
    <row r="7" spans="2:8" ht="18.75" x14ac:dyDescent="0.3">
      <c r="D7" s="8" t="s">
        <v>5179</v>
      </c>
      <c r="G7" s="8" t="s">
        <v>5180</v>
      </c>
    </row>
    <row r="8" spans="2:8" ht="3" customHeight="1" x14ac:dyDescent="0.25">
      <c r="D8" s="9"/>
      <c r="E8" s="9"/>
      <c r="G8" s="9"/>
      <c r="H8" s="9"/>
    </row>
    <row r="9" spans="2:8" x14ac:dyDescent="0.25">
      <c r="D9" s="10" t="s">
        <v>5181</v>
      </c>
      <c r="G9" s="11" t="s">
        <v>5182</v>
      </c>
    </row>
    <row r="10" spans="2:8" x14ac:dyDescent="0.25">
      <c r="D10" s="10" t="s">
        <v>5183</v>
      </c>
      <c r="G10" t="s">
        <v>5184</v>
      </c>
    </row>
    <row r="12" spans="2:8" x14ac:dyDescent="0.25">
      <c r="D12" s="11" t="s">
        <v>5185</v>
      </c>
    </row>
    <row r="14" spans="2:8" x14ac:dyDescent="0.25">
      <c r="G14" s="11" t="s">
        <v>5186</v>
      </c>
    </row>
    <row r="15" spans="2:8" x14ac:dyDescent="0.25">
      <c r="G15" s="10" t="s">
        <v>5187</v>
      </c>
    </row>
    <row r="16" spans="2:8" ht="14.45" x14ac:dyDescent="0.3">
      <c r="G16" s="10" t="s">
        <v>5188</v>
      </c>
    </row>
  </sheetData>
  <sheetProtection password="C9D6" sheet="1" objects="1" scenarios="1"/>
  <hyperlinks>
    <hyperlink ref="G15" r:id="rId1"/>
    <hyperlink ref="G16" r:id="rId2"/>
    <hyperlink ref="D9" r:id="rId3" tooltip="Ingresar a envio de consultas en nuestro sitio web"/>
    <hyperlink ref="D10" r:id="rId4" tooltip="Ir a la sección de ayuda en línea de nuestro sitio web"/>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25"/>
  <sheetViews>
    <sheetView tabSelected="1" zoomScaleNormal="100" workbookViewId="0"/>
  </sheetViews>
  <sheetFormatPr defaultColWidth="38.140625" defaultRowHeight="14.25" x14ac:dyDescent="0.2"/>
  <cols>
    <col min="1" max="1" width="9.140625" style="1" customWidth="1"/>
    <col min="2" max="2" width="41.140625" style="1" customWidth="1"/>
    <col min="3" max="3" width="80.7109375" style="1" customWidth="1"/>
    <col min="4" max="4" width="1.7109375" style="1" customWidth="1"/>
    <col min="5" max="16384" width="38.140625" style="1"/>
  </cols>
  <sheetData>
    <row r="1" spans="1:4" x14ac:dyDescent="0.2">
      <c r="A1" s="158" t="s">
        <v>5596</v>
      </c>
      <c r="B1" s="158"/>
      <c r="C1" s="158"/>
      <c r="D1" s="14"/>
    </row>
    <row r="2" spans="1:4" x14ac:dyDescent="0.2">
      <c r="A2" s="42" t="s">
        <v>5597</v>
      </c>
      <c r="B2" s="42" t="s">
        <v>5598</v>
      </c>
      <c r="C2" s="42" t="s">
        <v>1</v>
      </c>
      <c r="D2" s="14"/>
    </row>
    <row r="3" spans="1:4" x14ac:dyDescent="0.2">
      <c r="A3" s="17" t="s">
        <v>2</v>
      </c>
      <c r="B3" s="18" t="s">
        <v>3</v>
      </c>
      <c r="C3" s="109" t="s">
        <v>0</v>
      </c>
      <c r="D3" s="14"/>
    </row>
    <row r="4" spans="1:4" ht="22.5" x14ac:dyDescent="0.2">
      <c r="A4" s="17" t="s">
        <v>4</v>
      </c>
      <c r="B4" s="18" t="s">
        <v>5</v>
      </c>
      <c r="C4" s="109" t="s">
        <v>0</v>
      </c>
      <c r="D4" s="14" t="s">
        <v>0</v>
      </c>
    </row>
    <row r="5" spans="1:4" x14ac:dyDescent="0.2">
      <c r="A5" s="17" t="s">
        <v>6</v>
      </c>
      <c r="B5" s="18" t="s">
        <v>7</v>
      </c>
      <c r="C5" s="109" t="s">
        <v>0</v>
      </c>
      <c r="D5" s="14" t="s">
        <v>0</v>
      </c>
    </row>
    <row r="6" spans="1:4" s="2" customFormat="1" ht="15" x14ac:dyDescent="0.25">
      <c r="A6" s="19" t="s">
        <v>8</v>
      </c>
      <c r="B6" s="20" t="s">
        <v>0</v>
      </c>
      <c r="C6" s="18" t="s">
        <v>0</v>
      </c>
      <c r="D6" s="15" t="s">
        <v>0</v>
      </c>
    </row>
    <row r="7" spans="1:4" x14ac:dyDescent="0.2">
      <c r="A7" s="21" t="s">
        <v>9</v>
      </c>
      <c r="B7" s="18" t="s">
        <v>10</v>
      </c>
      <c r="C7" s="18" t="s">
        <v>0</v>
      </c>
      <c r="D7" s="14"/>
    </row>
    <row r="8" spans="1:4" x14ac:dyDescent="0.2">
      <c r="A8" s="17" t="s">
        <v>11</v>
      </c>
      <c r="B8" s="18" t="s">
        <v>12</v>
      </c>
      <c r="C8" s="110"/>
      <c r="D8" s="14"/>
    </row>
    <row r="9" spans="1:4" x14ac:dyDescent="0.2">
      <c r="A9" s="17" t="s">
        <v>13</v>
      </c>
      <c r="B9" s="18" t="s">
        <v>14</v>
      </c>
      <c r="C9" s="104" t="s">
        <v>0</v>
      </c>
      <c r="D9" s="14"/>
    </row>
    <row r="10" spans="1:4" x14ac:dyDescent="0.2">
      <c r="A10" s="17" t="s">
        <v>15</v>
      </c>
      <c r="B10" s="18" t="s">
        <v>16</v>
      </c>
      <c r="C10" s="104" t="s">
        <v>0</v>
      </c>
      <c r="D10" s="14"/>
    </row>
    <row r="11" spans="1:4" x14ac:dyDescent="0.2">
      <c r="A11" s="17" t="s">
        <v>17</v>
      </c>
      <c r="B11" s="18" t="s">
        <v>18</v>
      </c>
      <c r="C11" s="35" t="s">
        <v>0</v>
      </c>
      <c r="D11" s="14"/>
    </row>
    <row r="12" spans="1:4" x14ac:dyDescent="0.2">
      <c r="A12" s="17" t="s">
        <v>19</v>
      </c>
      <c r="B12" s="18" t="s">
        <v>20</v>
      </c>
      <c r="C12" s="104" t="s">
        <v>0</v>
      </c>
      <c r="D12" s="14"/>
    </row>
    <row r="13" spans="1:4" x14ac:dyDescent="0.2">
      <c r="A13" s="17" t="s">
        <v>21</v>
      </c>
      <c r="B13" s="18" t="s">
        <v>22</v>
      </c>
      <c r="C13" s="104" t="s">
        <v>0</v>
      </c>
      <c r="D13" s="14"/>
    </row>
    <row r="14" spans="1:4" x14ac:dyDescent="0.2">
      <c r="A14" s="17" t="s">
        <v>23</v>
      </c>
      <c r="B14" s="18" t="s">
        <v>24</v>
      </c>
      <c r="C14" s="35" t="s">
        <v>0</v>
      </c>
      <c r="D14" s="14"/>
    </row>
    <row r="15" spans="1:4" x14ac:dyDescent="0.2">
      <c r="A15" s="17" t="s">
        <v>25</v>
      </c>
      <c r="B15" s="18" t="s">
        <v>26</v>
      </c>
      <c r="C15" s="24" t="s">
        <v>0</v>
      </c>
      <c r="D15" s="14"/>
    </row>
    <row r="16" spans="1:4" s="2" customFormat="1" ht="15" x14ac:dyDescent="0.25">
      <c r="A16" s="19" t="s">
        <v>27</v>
      </c>
      <c r="B16" s="20" t="s">
        <v>0</v>
      </c>
      <c r="C16" s="22" t="s">
        <v>0</v>
      </c>
      <c r="D16" s="15" t="s">
        <v>0</v>
      </c>
    </row>
    <row r="17" spans="1:4" s="2" customFormat="1" ht="15" x14ac:dyDescent="0.25">
      <c r="A17" s="17" t="s">
        <v>28</v>
      </c>
      <c r="B17" s="18" t="s">
        <v>29</v>
      </c>
      <c r="C17" s="23"/>
      <c r="D17" s="15"/>
    </row>
    <row r="18" spans="1:4" s="2" customFormat="1" ht="15" x14ac:dyDescent="0.25">
      <c r="A18" s="17" t="s">
        <v>30</v>
      </c>
      <c r="B18" s="18" t="s">
        <v>31</v>
      </c>
      <c r="C18" s="24" t="s">
        <v>0</v>
      </c>
      <c r="D18" s="15"/>
    </row>
    <row r="19" spans="1:4" s="2" customFormat="1" ht="15" x14ac:dyDescent="0.25">
      <c r="A19" s="19" t="s">
        <v>32</v>
      </c>
      <c r="B19" s="18" t="s">
        <v>0</v>
      </c>
      <c r="C19" s="22" t="s">
        <v>0</v>
      </c>
      <c r="D19" s="15" t="s">
        <v>0</v>
      </c>
    </row>
    <row r="20" spans="1:4" s="2" customFormat="1" ht="15" x14ac:dyDescent="0.25">
      <c r="A20" s="19" t="s">
        <v>33</v>
      </c>
      <c r="B20" s="25" t="s">
        <v>34</v>
      </c>
      <c r="C20" s="22" t="s">
        <v>0</v>
      </c>
      <c r="D20" s="15" t="s">
        <v>0</v>
      </c>
    </row>
    <row r="21" spans="1:4" s="2" customFormat="1" ht="15" x14ac:dyDescent="0.25">
      <c r="A21" s="19" t="s">
        <v>35</v>
      </c>
      <c r="B21" s="20" t="s">
        <v>0</v>
      </c>
      <c r="C21" s="22" t="s">
        <v>0</v>
      </c>
      <c r="D21" s="15" t="s">
        <v>0</v>
      </c>
    </row>
    <row r="22" spans="1:4" s="2" customFormat="1" ht="67.5" x14ac:dyDescent="0.25">
      <c r="A22" s="19" t="s">
        <v>36</v>
      </c>
      <c r="B22" s="26" t="s">
        <v>37</v>
      </c>
      <c r="C22" s="22" t="s">
        <v>0</v>
      </c>
      <c r="D22" s="15" t="s">
        <v>0</v>
      </c>
    </row>
    <row r="23" spans="1:4" s="2" customFormat="1" ht="15" x14ac:dyDescent="0.25">
      <c r="A23" s="19" t="s">
        <v>38</v>
      </c>
      <c r="B23" s="20" t="s">
        <v>0</v>
      </c>
      <c r="C23" s="22" t="s">
        <v>0</v>
      </c>
      <c r="D23" s="15" t="s">
        <v>0</v>
      </c>
    </row>
    <row r="24" spans="1:4" s="2" customFormat="1" ht="15" x14ac:dyDescent="0.25">
      <c r="A24" s="17" t="s">
        <v>39</v>
      </c>
      <c r="B24" s="20" t="s">
        <v>40</v>
      </c>
      <c r="C24" s="106" t="str">
        <f>IF(B_A_PERSONA_PER_NOM&lt;&gt;"",B_A_PERSONA_PER_NOM,"")</f>
        <v/>
      </c>
      <c r="D24" s="15" t="s">
        <v>0</v>
      </c>
    </row>
    <row r="25" spans="1:4" ht="8.1" customHeight="1" x14ac:dyDescent="0.2">
      <c r="A25" s="12" t="s">
        <v>0</v>
      </c>
      <c r="B25" s="143"/>
      <c r="C25" s="13"/>
      <c r="D25" s="14"/>
    </row>
  </sheetData>
  <sheetProtection password="C9D6" sheet="1" objects="1" scenarios="1" formatCells="0" formatColumns="0" formatRows="0" autoFilter="0"/>
  <dataConsolidate/>
  <dataValidations disablePrompts="1" count="3">
    <dataValidation type="list" allowBlank="1" showInputMessage="1" showErrorMessage="1" errorTitle="SAT" error="El valor seleccionado no existe en la lista, por favor selecione una opción Válida" promptTitle="Seleccione un valor de la lista" prompt="SAT" sqref="C17">
      <formula1>CATALOGCOLUMNFILTERED54</formula1>
    </dataValidation>
    <dataValidation type="list" allowBlank="1" showInputMessage="1" showErrorMessage="1" errorTitle="SAT" error="El valor seleccionado no existe en la lista, por favor selecione una opción Válida" promptTitle="Seleccione un valor de la lista" prompt="SAT" sqref="C8">
      <formula1>CATALOGCOLUMNFILTERED6</formula1>
    </dataValidation>
    <dataValidation type="list" allowBlank="1" showInputMessage="1" showErrorMessage="1" sqref="C18">
      <formula1>INDIRECT(IFERROR(VLOOKUP(B_A_ADRICONTRI_CONTRI_SECTOR,SECTOR_CAT,2,FALSE),""))</formula1>
    </dataValidation>
  </dataValidations>
  <pageMargins left="0.7" right="0.7" top="0.75" bottom="0.75" header="0.3" footer="0.3"/>
  <pageSetup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29"/>
  <sheetViews>
    <sheetView workbookViewId="0"/>
  </sheetViews>
  <sheetFormatPr defaultColWidth="11.42578125" defaultRowHeight="14.25" x14ac:dyDescent="0.2"/>
  <cols>
    <col min="1" max="1" width="9.140625" style="1" customWidth="1"/>
    <col min="2" max="2" width="41.140625" style="1" customWidth="1"/>
    <col min="3" max="3" width="80.7109375" style="1" customWidth="1"/>
    <col min="4" max="4" width="1.7109375" style="1" customWidth="1"/>
    <col min="5" max="16384" width="11.42578125" style="1"/>
  </cols>
  <sheetData>
    <row r="1" spans="1:4" x14ac:dyDescent="0.2">
      <c r="A1" s="158" t="s">
        <v>5599</v>
      </c>
      <c r="B1" s="158"/>
      <c r="C1" s="158"/>
      <c r="D1" s="14"/>
    </row>
    <row r="2" spans="1:4" x14ac:dyDescent="0.2">
      <c r="A2" s="42" t="s">
        <v>5597</v>
      </c>
      <c r="B2" s="42" t="s">
        <v>5598</v>
      </c>
      <c r="C2" s="42" t="s">
        <v>1</v>
      </c>
      <c r="D2" s="14"/>
    </row>
    <row r="3" spans="1:4" x14ac:dyDescent="0.2">
      <c r="A3" s="17" t="s">
        <v>41</v>
      </c>
      <c r="B3" s="27" t="s">
        <v>3</v>
      </c>
      <c r="C3" s="109" t="s">
        <v>0</v>
      </c>
      <c r="D3" s="14"/>
    </row>
    <row r="4" spans="1:4" ht="22.5" x14ac:dyDescent="0.2">
      <c r="A4" s="17" t="s">
        <v>42</v>
      </c>
      <c r="B4" s="18" t="s">
        <v>43</v>
      </c>
      <c r="C4" s="81" t="s">
        <v>0</v>
      </c>
      <c r="D4" s="14"/>
    </row>
    <row r="5" spans="1:4" x14ac:dyDescent="0.2">
      <c r="A5" s="17" t="s">
        <v>44</v>
      </c>
      <c r="B5" s="27" t="s">
        <v>7</v>
      </c>
      <c r="C5" s="109" t="s">
        <v>0</v>
      </c>
      <c r="D5" s="14"/>
    </row>
    <row r="6" spans="1:4" x14ac:dyDescent="0.2">
      <c r="A6" s="17" t="s">
        <v>45</v>
      </c>
      <c r="B6" s="27" t="s">
        <v>46</v>
      </c>
      <c r="C6" s="30" t="s">
        <v>0</v>
      </c>
      <c r="D6" s="14"/>
    </row>
    <row r="7" spans="1:4" s="2" customFormat="1" ht="15" x14ac:dyDescent="0.25">
      <c r="A7" s="19" t="s">
        <v>47</v>
      </c>
      <c r="B7" s="28" t="s">
        <v>0</v>
      </c>
      <c r="C7" s="18" t="s">
        <v>0</v>
      </c>
      <c r="D7" s="15" t="s">
        <v>0</v>
      </c>
    </row>
    <row r="8" spans="1:4" x14ac:dyDescent="0.2">
      <c r="A8" s="21" t="s">
        <v>48</v>
      </c>
      <c r="B8" s="27" t="s">
        <v>10</v>
      </c>
      <c r="C8" s="18" t="s">
        <v>0</v>
      </c>
      <c r="D8" s="14"/>
    </row>
    <row r="9" spans="1:4" x14ac:dyDescent="0.2">
      <c r="A9" s="17" t="s">
        <v>49</v>
      </c>
      <c r="B9" s="27" t="s">
        <v>12</v>
      </c>
      <c r="C9" s="110"/>
      <c r="D9" s="14"/>
    </row>
    <row r="10" spans="1:4" x14ac:dyDescent="0.2">
      <c r="A10" s="17" t="s">
        <v>50</v>
      </c>
      <c r="B10" s="27" t="s">
        <v>14</v>
      </c>
      <c r="C10" s="109" t="s">
        <v>0</v>
      </c>
      <c r="D10" s="14"/>
    </row>
    <row r="11" spans="1:4" x14ac:dyDescent="0.2">
      <c r="A11" s="17" t="s">
        <v>51</v>
      </c>
      <c r="B11" s="27" t="s">
        <v>16</v>
      </c>
      <c r="C11" s="109" t="s">
        <v>0</v>
      </c>
      <c r="D11" s="14"/>
    </row>
    <row r="12" spans="1:4" x14ac:dyDescent="0.2">
      <c r="A12" s="17" t="s">
        <v>52</v>
      </c>
      <c r="B12" s="27" t="s">
        <v>18</v>
      </c>
      <c r="C12" s="30" t="s">
        <v>0</v>
      </c>
      <c r="D12" s="14"/>
    </row>
    <row r="13" spans="1:4" x14ac:dyDescent="0.2">
      <c r="A13" s="17" t="s">
        <v>53</v>
      </c>
      <c r="B13" s="27" t="s">
        <v>20</v>
      </c>
      <c r="C13" s="109" t="s">
        <v>0</v>
      </c>
      <c r="D13" s="14"/>
    </row>
    <row r="14" spans="1:4" x14ac:dyDescent="0.2">
      <c r="A14" s="17" t="s">
        <v>54</v>
      </c>
      <c r="B14" s="27" t="s">
        <v>22</v>
      </c>
      <c r="C14" s="109" t="s">
        <v>0</v>
      </c>
      <c r="D14" s="14"/>
    </row>
    <row r="15" spans="1:4" x14ac:dyDescent="0.2">
      <c r="A15" s="17" t="s">
        <v>55</v>
      </c>
      <c r="B15" s="28" t="s">
        <v>56</v>
      </c>
      <c r="C15" s="30" t="s">
        <v>0</v>
      </c>
      <c r="D15" s="14"/>
    </row>
    <row r="16" spans="1:4" x14ac:dyDescent="0.2">
      <c r="A16" s="17" t="s">
        <v>57</v>
      </c>
      <c r="B16" s="27" t="s">
        <v>26</v>
      </c>
      <c r="C16" s="109" t="s">
        <v>0</v>
      </c>
      <c r="D16" s="14"/>
    </row>
    <row r="17" spans="1:4" s="2" customFormat="1" ht="15" x14ac:dyDescent="0.25">
      <c r="A17" s="17" t="s">
        <v>58</v>
      </c>
      <c r="B17" s="28" t="s">
        <v>59</v>
      </c>
      <c r="C17" s="81" t="s">
        <v>0</v>
      </c>
      <c r="D17" s="15" t="s">
        <v>0</v>
      </c>
    </row>
    <row r="18" spans="1:4" x14ac:dyDescent="0.2">
      <c r="A18" s="17" t="s">
        <v>60</v>
      </c>
      <c r="B18" s="27" t="s">
        <v>61</v>
      </c>
      <c r="C18" s="109" t="s">
        <v>0</v>
      </c>
      <c r="D18" s="14"/>
    </row>
    <row r="19" spans="1:4" s="2" customFormat="1" ht="15" x14ac:dyDescent="0.25">
      <c r="A19" s="19" t="s">
        <v>62</v>
      </c>
      <c r="B19" s="28" t="s">
        <v>0</v>
      </c>
      <c r="C19" s="18" t="s">
        <v>0</v>
      </c>
      <c r="D19" s="15" t="s">
        <v>0</v>
      </c>
    </row>
    <row r="20" spans="1:4" x14ac:dyDescent="0.2">
      <c r="A20" s="17" t="s">
        <v>63</v>
      </c>
      <c r="B20" s="27" t="s">
        <v>64</v>
      </c>
      <c r="C20" s="109" t="s">
        <v>0</v>
      </c>
      <c r="D20" s="14"/>
    </row>
    <row r="21" spans="1:4" x14ac:dyDescent="0.2">
      <c r="A21" s="17" t="s">
        <v>65</v>
      </c>
      <c r="B21" s="27" t="s">
        <v>66</v>
      </c>
      <c r="C21" s="81" t="s">
        <v>0</v>
      </c>
      <c r="D21" s="14"/>
    </row>
    <row r="22" spans="1:4" x14ac:dyDescent="0.2">
      <c r="A22" s="17" t="s">
        <v>67</v>
      </c>
      <c r="B22" s="27" t="s">
        <v>68</v>
      </c>
      <c r="C22" s="30" t="s">
        <v>0</v>
      </c>
      <c r="D22" s="14"/>
    </row>
    <row r="23" spans="1:4" s="2" customFormat="1" ht="15" x14ac:dyDescent="0.25">
      <c r="A23" s="19" t="s">
        <v>69</v>
      </c>
      <c r="B23" s="27" t="s">
        <v>0</v>
      </c>
      <c r="C23" s="18" t="s">
        <v>0</v>
      </c>
      <c r="D23" s="15" t="s">
        <v>0</v>
      </c>
    </row>
    <row r="24" spans="1:4" s="2" customFormat="1" ht="22.5" x14ac:dyDescent="0.25">
      <c r="A24" s="19" t="s">
        <v>70</v>
      </c>
      <c r="B24" s="25" t="s">
        <v>71</v>
      </c>
      <c r="C24" s="18" t="s">
        <v>0</v>
      </c>
      <c r="D24" s="15" t="s">
        <v>0</v>
      </c>
    </row>
    <row r="25" spans="1:4" s="2" customFormat="1" ht="15" x14ac:dyDescent="0.25">
      <c r="A25" s="19" t="s">
        <v>72</v>
      </c>
      <c r="B25" s="28" t="s">
        <v>0</v>
      </c>
      <c r="C25" s="18" t="s">
        <v>0</v>
      </c>
      <c r="D25" s="15" t="s">
        <v>0</v>
      </c>
    </row>
    <row r="26" spans="1:4" s="2" customFormat="1" ht="90" x14ac:dyDescent="0.25">
      <c r="A26" s="19" t="s">
        <v>73</v>
      </c>
      <c r="B26" s="26" t="s">
        <v>74</v>
      </c>
      <c r="C26" s="18" t="s">
        <v>0</v>
      </c>
      <c r="D26" s="15" t="s">
        <v>0</v>
      </c>
    </row>
    <row r="27" spans="1:4" s="2" customFormat="1" ht="15" x14ac:dyDescent="0.25">
      <c r="A27" s="19" t="s">
        <v>75</v>
      </c>
      <c r="B27" s="28" t="s">
        <v>0</v>
      </c>
      <c r="C27" s="18" t="s">
        <v>0</v>
      </c>
      <c r="D27" s="15" t="s">
        <v>0</v>
      </c>
    </row>
    <row r="28" spans="1:4" s="2" customFormat="1" ht="15" x14ac:dyDescent="0.25">
      <c r="A28" s="17" t="s">
        <v>76</v>
      </c>
      <c r="B28" s="28" t="s">
        <v>77</v>
      </c>
      <c r="C28" s="108" t="str">
        <f>IF(B_B_PERSONA_PER_NOM&lt;&gt;"",B_B_PERSONA_PER_NOM,"")</f>
        <v/>
      </c>
      <c r="D28" s="15" t="s">
        <v>0</v>
      </c>
    </row>
    <row r="29" spans="1:4" ht="8.1" customHeight="1" x14ac:dyDescent="0.2">
      <c r="A29" s="12" t="s">
        <v>0</v>
      </c>
      <c r="B29" s="143"/>
      <c r="C29" s="13"/>
      <c r="D29" s="14"/>
    </row>
  </sheetData>
  <sheetProtection password="C9D6" sheet="1" objects="1" scenarios="1"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C9">
      <formula1>CATALOGCOLUMNFILTERED6</formula1>
    </dataValidation>
  </dataValidations>
  <pageMargins left="0.7" right="0.7" top="0.75" bottom="0.75" header="0.3" footer="0.3"/>
  <pageSetup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30"/>
  <sheetViews>
    <sheetView workbookViewId="0"/>
  </sheetViews>
  <sheetFormatPr defaultColWidth="11.42578125" defaultRowHeight="15" x14ac:dyDescent="0.25"/>
  <cols>
    <col min="1" max="1" width="9.140625" style="2" customWidth="1"/>
    <col min="2" max="2" width="41.140625" style="2" customWidth="1"/>
    <col min="3" max="3" width="80.7109375" style="2" customWidth="1"/>
    <col min="4" max="4" width="1.7109375" style="2" customWidth="1"/>
    <col min="5" max="16384" width="11.42578125" style="2"/>
  </cols>
  <sheetData>
    <row r="1" spans="1:4" x14ac:dyDescent="0.25">
      <c r="A1" s="158" t="s">
        <v>5600</v>
      </c>
      <c r="B1" s="158"/>
      <c r="C1" s="158"/>
      <c r="D1" s="16"/>
    </row>
    <row r="2" spans="1:4" x14ac:dyDescent="0.25">
      <c r="A2" s="42" t="s">
        <v>5597</v>
      </c>
      <c r="B2" s="42" t="s">
        <v>5598</v>
      </c>
      <c r="C2" s="42" t="s">
        <v>1</v>
      </c>
      <c r="D2" s="16"/>
    </row>
    <row r="3" spans="1:4" x14ac:dyDescent="0.25">
      <c r="A3" s="17" t="s">
        <v>78</v>
      </c>
      <c r="B3" s="27" t="s">
        <v>3</v>
      </c>
      <c r="C3" s="109" t="s">
        <v>0</v>
      </c>
      <c r="D3" s="16"/>
    </row>
    <row r="4" spans="1:4" ht="22.5" x14ac:dyDescent="0.25">
      <c r="A4" s="17" t="s">
        <v>79</v>
      </c>
      <c r="B4" s="18" t="s">
        <v>43</v>
      </c>
      <c r="C4" s="109" t="s">
        <v>0</v>
      </c>
      <c r="D4" s="16"/>
    </row>
    <row r="5" spans="1:4" x14ac:dyDescent="0.25">
      <c r="A5" s="17" t="s">
        <v>80</v>
      </c>
      <c r="B5" s="27" t="s">
        <v>81</v>
      </c>
      <c r="C5" s="110"/>
      <c r="D5" s="16"/>
    </row>
    <row r="6" spans="1:4" x14ac:dyDescent="0.25">
      <c r="A6" s="17" t="s">
        <v>82</v>
      </c>
      <c r="B6" s="27" t="s">
        <v>83</v>
      </c>
      <c r="C6" s="105" t="str">
        <f>IF(B_C_PERSONA_PER_RES&lt;&gt;"",IF(B_C_PERSONA_PER_RES="SI","NO","SI"),"")</f>
        <v/>
      </c>
      <c r="D6" s="16"/>
    </row>
    <row r="7" spans="1:4" x14ac:dyDescent="0.25">
      <c r="A7" s="17" t="s">
        <v>84</v>
      </c>
      <c r="B7" s="27" t="s">
        <v>7</v>
      </c>
      <c r="C7" s="109" t="s">
        <v>0</v>
      </c>
      <c r="D7" s="16"/>
    </row>
    <row r="8" spans="1:4" x14ac:dyDescent="0.25">
      <c r="A8" s="19" t="s">
        <v>85</v>
      </c>
      <c r="B8" s="28" t="s">
        <v>0</v>
      </c>
      <c r="C8" s="18" t="s">
        <v>0</v>
      </c>
      <c r="D8" s="3" t="s">
        <v>0</v>
      </c>
    </row>
    <row r="9" spans="1:4" x14ac:dyDescent="0.25">
      <c r="A9" s="21" t="s">
        <v>86</v>
      </c>
      <c r="B9" s="27" t="s">
        <v>10</v>
      </c>
      <c r="C9" s="18" t="s">
        <v>0</v>
      </c>
      <c r="D9" s="16"/>
    </row>
    <row r="10" spans="1:4" x14ac:dyDescent="0.25">
      <c r="A10" s="17" t="s">
        <v>87</v>
      </c>
      <c r="B10" s="27" t="s">
        <v>12</v>
      </c>
      <c r="C10" s="110"/>
      <c r="D10" s="16"/>
    </row>
    <row r="11" spans="1:4" x14ac:dyDescent="0.25">
      <c r="A11" s="17" t="s">
        <v>88</v>
      </c>
      <c r="B11" s="27" t="s">
        <v>14</v>
      </c>
      <c r="C11" s="109" t="s">
        <v>0</v>
      </c>
      <c r="D11" s="16"/>
    </row>
    <row r="12" spans="1:4" x14ac:dyDescent="0.25">
      <c r="A12" s="17" t="s">
        <v>89</v>
      </c>
      <c r="B12" s="27" t="s">
        <v>16</v>
      </c>
      <c r="C12" s="109" t="s">
        <v>0</v>
      </c>
      <c r="D12" s="16"/>
    </row>
    <row r="13" spans="1:4" x14ac:dyDescent="0.25">
      <c r="A13" s="17" t="s">
        <v>90</v>
      </c>
      <c r="B13" s="27" t="s">
        <v>18</v>
      </c>
      <c r="C13" s="30" t="s">
        <v>0</v>
      </c>
      <c r="D13" s="16"/>
    </row>
    <row r="14" spans="1:4" x14ac:dyDescent="0.25">
      <c r="A14" s="17" t="s">
        <v>91</v>
      </c>
      <c r="B14" s="27" t="s">
        <v>20</v>
      </c>
      <c r="C14" s="109" t="s">
        <v>0</v>
      </c>
      <c r="D14" s="16"/>
    </row>
    <row r="15" spans="1:4" x14ac:dyDescent="0.25">
      <c r="A15" s="17" t="s">
        <v>92</v>
      </c>
      <c r="B15" s="27" t="s">
        <v>22</v>
      </c>
      <c r="C15" s="109" t="s">
        <v>0</v>
      </c>
      <c r="D15" s="16"/>
    </row>
    <row r="16" spans="1:4" x14ac:dyDescent="0.25">
      <c r="A16" s="17" t="s">
        <v>93</v>
      </c>
      <c r="B16" s="27" t="s">
        <v>24</v>
      </c>
      <c r="C16" s="30" t="s">
        <v>0</v>
      </c>
      <c r="D16" s="16"/>
    </row>
    <row r="17" spans="1:4" x14ac:dyDescent="0.25">
      <c r="A17" s="17" t="s">
        <v>94</v>
      </c>
      <c r="B17" s="27" t="s">
        <v>26</v>
      </c>
      <c r="C17" s="109" t="s">
        <v>0</v>
      </c>
      <c r="D17" s="16"/>
    </row>
    <row r="18" spans="1:4" x14ac:dyDescent="0.25">
      <c r="A18" s="19" t="s">
        <v>95</v>
      </c>
      <c r="B18" s="28" t="s">
        <v>0</v>
      </c>
      <c r="C18" s="18" t="s">
        <v>0</v>
      </c>
      <c r="D18" s="3" t="s">
        <v>0</v>
      </c>
    </row>
    <row r="19" spans="1:4" x14ac:dyDescent="0.25">
      <c r="A19" s="17" t="s">
        <v>96</v>
      </c>
      <c r="B19" s="27" t="s">
        <v>97</v>
      </c>
      <c r="C19" s="109" t="s">
        <v>0</v>
      </c>
      <c r="D19" s="16"/>
    </row>
    <row r="20" spans="1:4" x14ac:dyDescent="0.25">
      <c r="A20" s="17" t="s">
        <v>98</v>
      </c>
      <c r="B20" s="27" t="s">
        <v>99</v>
      </c>
      <c r="C20" s="109" t="s">
        <v>0</v>
      </c>
      <c r="D20" s="16"/>
    </row>
    <row r="21" spans="1:4" x14ac:dyDescent="0.25">
      <c r="A21" s="17" t="s">
        <v>100</v>
      </c>
      <c r="B21" s="27" t="s">
        <v>101</v>
      </c>
      <c r="C21" s="110"/>
      <c r="D21" s="16"/>
    </row>
    <row r="22" spans="1:4" x14ac:dyDescent="0.25">
      <c r="A22" s="17" t="s">
        <v>102</v>
      </c>
      <c r="B22" s="27" t="s">
        <v>103</v>
      </c>
      <c r="C22" s="109" t="s">
        <v>0</v>
      </c>
      <c r="D22" s="16"/>
    </row>
    <row r="23" spans="1:4" x14ac:dyDescent="0.25">
      <c r="A23" s="17" t="s">
        <v>104</v>
      </c>
      <c r="B23" s="27" t="s">
        <v>105</v>
      </c>
      <c r="C23" s="109" t="s">
        <v>0</v>
      </c>
      <c r="D23" s="16"/>
    </row>
    <row r="24" spans="1:4" x14ac:dyDescent="0.25">
      <c r="A24" s="19" t="s">
        <v>106</v>
      </c>
      <c r="B24" s="27" t="s">
        <v>0</v>
      </c>
      <c r="C24" s="18" t="s">
        <v>0</v>
      </c>
      <c r="D24" s="3" t="s">
        <v>0</v>
      </c>
    </row>
    <row r="25" spans="1:4" x14ac:dyDescent="0.25">
      <c r="A25" s="19" t="s">
        <v>107</v>
      </c>
      <c r="B25" s="31" t="s">
        <v>108</v>
      </c>
      <c r="C25" s="18" t="s">
        <v>0</v>
      </c>
      <c r="D25" s="3" t="s">
        <v>0</v>
      </c>
    </row>
    <row r="26" spans="1:4" x14ac:dyDescent="0.25">
      <c r="A26" s="19" t="s">
        <v>109</v>
      </c>
      <c r="B26" s="28" t="s">
        <v>0</v>
      </c>
      <c r="C26" s="18" t="s">
        <v>0</v>
      </c>
      <c r="D26" s="3" t="s">
        <v>0</v>
      </c>
    </row>
    <row r="27" spans="1:4" ht="78.75" x14ac:dyDescent="0.25">
      <c r="A27" s="19" t="s">
        <v>110</v>
      </c>
      <c r="B27" s="26" t="s">
        <v>111</v>
      </c>
      <c r="C27" s="18" t="s">
        <v>0</v>
      </c>
      <c r="D27" s="3" t="s">
        <v>0</v>
      </c>
    </row>
    <row r="28" spans="1:4" x14ac:dyDescent="0.25">
      <c r="A28" s="19" t="s">
        <v>112</v>
      </c>
      <c r="B28" s="28" t="s">
        <v>0</v>
      </c>
      <c r="C28" s="18" t="s">
        <v>0</v>
      </c>
      <c r="D28" s="3" t="s">
        <v>0</v>
      </c>
    </row>
    <row r="29" spans="1:4" x14ac:dyDescent="0.25">
      <c r="A29" s="17" t="s">
        <v>113</v>
      </c>
      <c r="B29" s="28" t="s">
        <v>114</v>
      </c>
      <c r="C29" s="108" t="str">
        <f>IF(B_C_PERSONA_PER_NOM&lt;&gt;"",B_C_PERSONA_PER_NOM,"")</f>
        <v/>
      </c>
      <c r="D29" s="3" t="s">
        <v>0</v>
      </c>
    </row>
    <row r="30" spans="1:4" ht="8.1" customHeight="1" x14ac:dyDescent="0.25">
      <c r="A30" s="12" t="s">
        <v>0</v>
      </c>
      <c r="B30" s="37"/>
      <c r="C30" s="13"/>
      <c r="D30" s="16"/>
    </row>
  </sheetData>
  <sheetProtection password="C9D6" sheet="1" objects="1" scenarios="1"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10 C21">
      <formula1>CATALOGCOLUMNFILTERED6</formula1>
    </dataValidation>
    <dataValidation type="list" allowBlank="1" showInputMessage="1" showErrorMessage="1" errorTitle="SAT" error="El valor seleccionado no existe en la lista, por favor selecione una opción Válida" promptTitle="Seleccione un valor de la lista" prompt="SAT" sqref="C5">
      <formula1>CATALOGCOLUMNFILTERED7</formula1>
    </dataValidation>
  </dataValidations>
  <pageMargins left="0.7" right="0.7" top="0.75" bottom="0.75" header="0.3" footer="0.3"/>
  <pageSetup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440"/>
  <sheetViews>
    <sheetView zoomScaleNormal="100" workbookViewId="0"/>
  </sheetViews>
  <sheetFormatPr defaultColWidth="27.28515625" defaultRowHeight="14.25" x14ac:dyDescent="0.2"/>
  <cols>
    <col min="1" max="1" width="10.5703125" style="155" customWidth="1"/>
    <col min="2" max="2" width="51.85546875" style="155" customWidth="1"/>
    <col min="3" max="3" width="50.85546875" style="155" customWidth="1"/>
    <col min="4" max="4" width="1.7109375" style="155" customWidth="1"/>
    <col min="5" max="16384" width="27.28515625" style="155"/>
  </cols>
  <sheetData>
    <row r="1" spans="1:25" x14ac:dyDescent="0.2">
      <c r="A1" s="158" t="s">
        <v>5601</v>
      </c>
      <c r="B1" s="158"/>
      <c r="C1" s="158"/>
      <c r="D1" s="143"/>
      <c r="X1" s="155">
        <f>IF(C3&lt;&gt;"",IF(C3="1 - ADMINISTRACION GENERAL DE GRANDES CONTRIBUYENTES",1,IF(C3="2 - ADMINISTRACION DESCONCENTRADA DE AUDITORIA FISCAL",2,IF(C3="3 - ADMINISTRACION GENERAL DE HIDROCARBUROS",3,3))),0)</f>
        <v>0</v>
      </c>
      <c r="Y1" s="155">
        <f>IF(C34&lt;&gt;0,MATCH(C34,CATALOGCOLUMNFILTERED16,),0)</f>
        <v>0</v>
      </c>
    </row>
    <row r="2" spans="1:25" x14ac:dyDescent="0.2">
      <c r="A2" s="42" t="s">
        <v>5597</v>
      </c>
      <c r="B2" s="159" t="s">
        <v>5598</v>
      </c>
      <c r="C2" s="42" t="s">
        <v>1</v>
      </c>
      <c r="D2" s="143"/>
    </row>
    <row r="3" spans="1:25" x14ac:dyDescent="0.2">
      <c r="A3" s="144" t="s">
        <v>116</v>
      </c>
      <c r="B3" s="145" t="s">
        <v>117</v>
      </c>
      <c r="C3" s="111"/>
      <c r="D3" s="143"/>
    </row>
    <row r="4" spans="1:25" x14ac:dyDescent="0.2">
      <c r="A4" s="144"/>
      <c r="B4" s="145"/>
      <c r="C4" s="32" t="s">
        <v>0</v>
      </c>
      <c r="D4" s="143" t="s">
        <v>0</v>
      </c>
    </row>
    <row r="5" spans="1:25" x14ac:dyDescent="0.2">
      <c r="A5" s="144" t="s">
        <v>118</v>
      </c>
      <c r="B5" s="145" t="s">
        <v>119</v>
      </c>
      <c r="C5" s="114"/>
      <c r="D5" s="143" t="s">
        <v>0</v>
      </c>
    </row>
    <row r="6" spans="1:25" x14ac:dyDescent="0.2">
      <c r="A6" s="144"/>
      <c r="B6" s="145"/>
      <c r="C6" s="32" t="s">
        <v>0</v>
      </c>
      <c r="D6" s="143"/>
    </row>
    <row r="7" spans="1:25" x14ac:dyDescent="0.2">
      <c r="A7" s="144" t="s">
        <v>120</v>
      </c>
      <c r="B7" s="145" t="s">
        <v>121</v>
      </c>
      <c r="C7" s="114"/>
      <c r="D7" s="143"/>
    </row>
    <row r="8" spans="1:25" x14ac:dyDescent="0.2">
      <c r="A8" s="144"/>
      <c r="B8" s="145"/>
      <c r="C8" s="32" t="s">
        <v>0</v>
      </c>
      <c r="D8" s="143"/>
    </row>
    <row r="9" spans="1:25" ht="22.5" x14ac:dyDescent="0.2">
      <c r="A9" s="144" t="s">
        <v>122</v>
      </c>
      <c r="B9" s="145" t="s">
        <v>5305</v>
      </c>
      <c r="C9" s="112"/>
      <c r="D9" s="143"/>
    </row>
    <row r="10" spans="1:25" ht="22.5" x14ac:dyDescent="0.2">
      <c r="A10" s="144" t="s">
        <v>123</v>
      </c>
      <c r="B10" s="145" t="s">
        <v>5306</v>
      </c>
      <c r="C10" s="112"/>
      <c r="D10" s="143" t="s">
        <v>0</v>
      </c>
    </row>
    <row r="11" spans="1:25" ht="22.5" x14ac:dyDescent="0.2">
      <c r="A11" s="144" t="s">
        <v>124</v>
      </c>
      <c r="B11" s="145" t="s">
        <v>5307</v>
      </c>
      <c r="C11" s="112"/>
      <c r="D11" s="143" t="s">
        <v>0</v>
      </c>
    </row>
    <row r="12" spans="1:25" x14ac:dyDescent="0.2">
      <c r="A12" s="144"/>
      <c r="B12" s="145"/>
      <c r="C12" s="32" t="s">
        <v>0</v>
      </c>
      <c r="D12" s="143" t="s">
        <v>0</v>
      </c>
    </row>
    <row r="13" spans="1:25" ht="33.75" x14ac:dyDescent="0.2">
      <c r="A13" s="144" t="s">
        <v>125</v>
      </c>
      <c r="B13" s="145" t="s">
        <v>126</v>
      </c>
      <c r="C13" s="114" t="s">
        <v>0</v>
      </c>
      <c r="D13" s="143" t="s">
        <v>0</v>
      </c>
    </row>
    <row r="14" spans="1:25" x14ac:dyDescent="0.2">
      <c r="A14" s="144"/>
      <c r="B14" s="145"/>
      <c r="C14" s="33" t="s">
        <v>0</v>
      </c>
      <c r="D14" s="143"/>
    </row>
    <row r="15" spans="1:25" x14ac:dyDescent="0.2">
      <c r="A15" s="144" t="s">
        <v>127</v>
      </c>
      <c r="B15" s="145" t="s">
        <v>128</v>
      </c>
      <c r="C15" s="112"/>
      <c r="D15" s="143"/>
    </row>
    <row r="16" spans="1:25" x14ac:dyDescent="0.2">
      <c r="A16" s="144" t="s">
        <v>129</v>
      </c>
      <c r="B16" s="145" t="s">
        <v>5762</v>
      </c>
      <c r="C16" s="112"/>
      <c r="D16" s="143"/>
    </row>
    <row r="17" spans="1:4" x14ac:dyDescent="0.2">
      <c r="A17" s="144" t="s">
        <v>130</v>
      </c>
      <c r="B17" s="145" t="s">
        <v>131</v>
      </c>
      <c r="C17" s="112"/>
      <c r="D17" s="143"/>
    </row>
    <row r="18" spans="1:4" x14ac:dyDescent="0.2">
      <c r="A18" s="144" t="s">
        <v>132</v>
      </c>
      <c r="B18" s="145" t="s">
        <v>133</v>
      </c>
      <c r="C18" s="112"/>
      <c r="D18" s="143"/>
    </row>
    <row r="19" spans="1:4" x14ac:dyDescent="0.2">
      <c r="A19" s="144" t="s">
        <v>134</v>
      </c>
      <c r="B19" s="145" t="s">
        <v>135</v>
      </c>
      <c r="C19" s="112"/>
      <c r="D19" s="143"/>
    </row>
    <row r="20" spans="1:4" x14ac:dyDescent="0.2">
      <c r="A20" s="144"/>
      <c r="B20" s="145"/>
      <c r="C20" s="112"/>
      <c r="D20" s="143"/>
    </row>
    <row r="21" spans="1:4" x14ac:dyDescent="0.2">
      <c r="A21" s="144" t="s">
        <v>136</v>
      </c>
      <c r="B21" s="145" t="s">
        <v>137</v>
      </c>
      <c r="C21" s="111"/>
      <c r="D21" s="143"/>
    </row>
    <row r="22" spans="1:4" x14ac:dyDescent="0.2">
      <c r="A22" s="144"/>
      <c r="B22" s="145"/>
      <c r="C22" s="111"/>
      <c r="D22" s="143"/>
    </row>
    <row r="23" spans="1:4" x14ac:dyDescent="0.2">
      <c r="A23" s="144" t="s">
        <v>138</v>
      </c>
      <c r="B23" s="145" t="s">
        <v>139</v>
      </c>
      <c r="C23" s="112"/>
      <c r="D23" s="143"/>
    </row>
    <row r="24" spans="1:4" x14ac:dyDescent="0.2">
      <c r="A24" s="144" t="s">
        <v>140</v>
      </c>
      <c r="B24" s="145" t="s">
        <v>141</v>
      </c>
      <c r="C24" s="112"/>
      <c r="D24" s="143"/>
    </row>
    <row r="25" spans="1:4" x14ac:dyDescent="0.2">
      <c r="A25" s="144" t="s">
        <v>142</v>
      </c>
      <c r="B25" s="145" t="s">
        <v>143</v>
      </c>
      <c r="C25" s="112"/>
      <c r="D25" s="143"/>
    </row>
    <row r="26" spans="1:4" x14ac:dyDescent="0.2">
      <c r="A26" s="144" t="s">
        <v>144</v>
      </c>
      <c r="B26" s="145" t="s">
        <v>145</v>
      </c>
      <c r="C26" s="111"/>
      <c r="D26" s="143"/>
    </row>
    <row r="27" spans="1:4" x14ac:dyDescent="0.2">
      <c r="A27" s="160"/>
      <c r="B27" s="160"/>
      <c r="C27" s="32" t="s">
        <v>0</v>
      </c>
      <c r="D27" s="143"/>
    </row>
    <row r="28" spans="1:4" x14ac:dyDescent="0.2">
      <c r="A28" s="144" t="s">
        <v>146</v>
      </c>
      <c r="B28" s="145" t="s">
        <v>147</v>
      </c>
      <c r="C28" s="113" t="s">
        <v>0</v>
      </c>
      <c r="D28" s="143"/>
    </row>
    <row r="29" spans="1:4" x14ac:dyDescent="0.2">
      <c r="A29" s="144" t="s">
        <v>148</v>
      </c>
      <c r="B29" s="145" t="s">
        <v>149</v>
      </c>
      <c r="C29" s="113" t="s">
        <v>0</v>
      </c>
      <c r="D29" s="143"/>
    </row>
    <row r="30" spans="1:4" x14ac:dyDescent="0.2">
      <c r="A30" s="144"/>
      <c r="B30" s="145"/>
      <c r="C30" s="33" t="s">
        <v>0</v>
      </c>
      <c r="D30" s="143" t="s">
        <v>0</v>
      </c>
    </row>
    <row r="31" spans="1:4" x14ac:dyDescent="0.2">
      <c r="A31" s="144" t="s">
        <v>150</v>
      </c>
      <c r="B31" s="145" t="s">
        <v>151</v>
      </c>
      <c r="C31" s="113" t="s">
        <v>0</v>
      </c>
      <c r="D31" s="143"/>
    </row>
    <row r="32" spans="1:4" x14ac:dyDescent="0.2">
      <c r="A32" s="144" t="s">
        <v>152</v>
      </c>
      <c r="B32" s="145" t="s">
        <v>153</v>
      </c>
      <c r="C32" s="113" t="s">
        <v>0</v>
      </c>
      <c r="D32" s="143"/>
    </row>
    <row r="33" spans="1:4" x14ac:dyDescent="0.2">
      <c r="A33" s="144"/>
      <c r="B33" s="145"/>
      <c r="C33" s="32" t="s">
        <v>0</v>
      </c>
      <c r="D33" s="143"/>
    </row>
    <row r="34" spans="1:4" ht="22.5" x14ac:dyDescent="0.2">
      <c r="A34" s="144" t="s">
        <v>154</v>
      </c>
      <c r="B34" s="145" t="s">
        <v>155</v>
      </c>
      <c r="C34" s="112"/>
      <c r="D34" s="143"/>
    </row>
    <row r="35" spans="1:4" ht="22.5" x14ac:dyDescent="0.2">
      <c r="A35" s="144"/>
      <c r="B35" s="145" t="s">
        <v>156</v>
      </c>
      <c r="C35" s="32" t="s">
        <v>0</v>
      </c>
      <c r="D35" s="143"/>
    </row>
    <row r="36" spans="1:4" x14ac:dyDescent="0.2">
      <c r="A36" s="144"/>
      <c r="B36" s="145"/>
      <c r="C36" s="32" t="s">
        <v>0</v>
      </c>
      <c r="D36" s="143"/>
    </row>
    <row r="37" spans="1:4" ht="56.25" x14ac:dyDescent="0.2">
      <c r="A37" s="144" t="s">
        <v>157</v>
      </c>
      <c r="B37" s="145" t="s">
        <v>158</v>
      </c>
      <c r="C37" s="33" t="str">
        <f>IF(SISCOSTEO_SELEC&lt;&gt;0,IF(SISCOSTEO_SELEC=1,"SI",IF(SISCOSTEO_SELEC=5,"NO","NO")),"")</f>
        <v/>
      </c>
      <c r="D37" s="143"/>
    </row>
    <row r="38" spans="1:4" ht="45" x14ac:dyDescent="0.2">
      <c r="A38" s="144" t="s">
        <v>159</v>
      </c>
      <c r="B38" s="145" t="s">
        <v>160</v>
      </c>
      <c r="C38" s="32" t="str">
        <f>IF(SISCOSTEO_SELEC&lt;&gt;0,IF(SISCOSTEO_SELEC=2,"SI",IF(SISCOSTEO_SELEC=5,"NO","NO")),"")</f>
        <v/>
      </c>
      <c r="D38" s="143"/>
    </row>
    <row r="39" spans="1:4" ht="56.25" x14ac:dyDescent="0.2">
      <c r="A39" s="144" t="s">
        <v>161</v>
      </c>
      <c r="B39" s="145" t="s">
        <v>162</v>
      </c>
      <c r="C39" s="33" t="str">
        <f>IF(SISCOSTEO_SELEC&lt;&gt;0,IF(SISCOSTEO_SELEC=3,"SI",IF(SISCOSTEO_SELEC=5,"NO","NO")),"")</f>
        <v/>
      </c>
      <c r="D39" s="143"/>
    </row>
    <row r="40" spans="1:4" ht="33.75" x14ac:dyDescent="0.2">
      <c r="A40" s="144" t="s">
        <v>163</v>
      </c>
      <c r="B40" s="145" t="s">
        <v>164</v>
      </c>
      <c r="C40" s="33" t="str">
        <f>IF(SISCOSTEO_SELEC&lt;&gt;0,IF(SISCOSTEO_SELEC=4,"SI",IF(SISCOSTEO_SELEC=5,"NO","NO")),"")</f>
        <v/>
      </c>
      <c r="D40" s="143"/>
    </row>
    <row r="41" spans="1:4" x14ac:dyDescent="0.2">
      <c r="A41" s="144"/>
      <c r="B41" s="145"/>
      <c r="C41" s="33" t="s">
        <v>0</v>
      </c>
      <c r="D41" s="143" t="s">
        <v>0</v>
      </c>
    </row>
    <row r="42" spans="1:4" x14ac:dyDescent="0.2">
      <c r="A42" s="144" t="s">
        <v>165</v>
      </c>
      <c r="B42" s="145" t="s">
        <v>166</v>
      </c>
      <c r="C42" s="111"/>
      <c r="D42" s="143"/>
    </row>
    <row r="43" spans="1:4" x14ac:dyDescent="0.2">
      <c r="A43" s="144"/>
      <c r="B43" s="145"/>
      <c r="C43" s="32" t="s">
        <v>0</v>
      </c>
      <c r="D43" s="143"/>
    </row>
    <row r="44" spans="1:4" ht="33.75" x14ac:dyDescent="0.2">
      <c r="A44" s="144" t="s">
        <v>167</v>
      </c>
      <c r="B44" s="145" t="s">
        <v>168</v>
      </c>
      <c r="C44" s="112"/>
      <c r="D44" s="143"/>
    </row>
    <row r="45" spans="1:4" ht="33.75" x14ac:dyDescent="0.2">
      <c r="A45" s="144" t="s">
        <v>169</v>
      </c>
      <c r="B45" s="145" t="s">
        <v>170</v>
      </c>
      <c r="C45" s="32" t="str">
        <f>IF(C44&lt;&gt;"",IF(C44="SI","NO","SI"),"")</f>
        <v/>
      </c>
      <c r="D45" s="143"/>
    </row>
    <row r="46" spans="1:4" x14ac:dyDescent="0.2">
      <c r="A46" s="144"/>
      <c r="B46" s="145"/>
      <c r="C46" s="32" t="s">
        <v>0</v>
      </c>
      <c r="D46" s="143"/>
    </row>
    <row r="47" spans="1:4" ht="33.75" x14ac:dyDescent="0.2">
      <c r="A47" s="144"/>
      <c r="B47" s="145" t="s">
        <v>171</v>
      </c>
      <c r="C47" s="32" t="s">
        <v>0</v>
      </c>
      <c r="D47" s="143"/>
    </row>
    <row r="48" spans="1:4" x14ac:dyDescent="0.2">
      <c r="A48" s="144" t="s">
        <v>172</v>
      </c>
      <c r="B48" s="145" t="s">
        <v>173</v>
      </c>
      <c r="C48" s="114" t="s">
        <v>0</v>
      </c>
      <c r="D48" s="143"/>
    </row>
    <row r="49" spans="1:4" x14ac:dyDescent="0.2">
      <c r="A49" s="144" t="s">
        <v>174</v>
      </c>
      <c r="B49" s="145" t="s">
        <v>175</v>
      </c>
      <c r="C49" s="114" t="s">
        <v>0</v>
      </c>
      <c r="D49" s="143"/>
    </row>
    <row r="50" spans="1:4" x14ac:dyDescent="0.2">
      <c r="A50" s="144" t="s">
        <v>176</v>
      </c>
      <c r="B50" s="145" t="s">
        <v>177</v>
      </c>
      <c r="C50" s="114" t="s">
        <v>0</v>
      </c>
      <c r="D50" s="143"/>
    </row>
    <row r="51" spans="1:4" x14ac:dyDescent="0.2">
      <c r="A51" s="144" t="s">
        <v>178</v>
      </c>
      <c r="B51" s="145" t="s">
        <v>179</v>
      </c>
      <c r="C51" s="114" t="s">
        <v>0</v>
      </c>
      <c r="D51" s="143"/>
    </row>
    <row r="52" spans="1:4" x14ac:dyDescent="0.2">
      <c r="A52" s="144" t="s">
        <v>180</v>
      </c>
      <c r="B52" s="145" t="s">
        <v>181</v>
      </c>
      <c r="C52" s="114" t="s">
        <v>0</v>
      </c>
      <c r="D52" s="143"/>
    </row>
    <row r="53" spans="1:4" x14ac:dyDescent="0.2">
      <c r="A53" s="144"/>
      <c r="B53" s="145"/>
      <c r="C53" s="32" t="s">
        <v>0</v>
      </c>
      <c r="D53" s="143"/>
    </row>
    <row r="54" spans="1:4" x14ac:dyDescent="0.2">
      <c r="A54" s="150"/>
      <c r="B54" s="151"/>
      <c r="C54" s="34" t="s">
        <v>0</v>
      </c>
      <c r="D54" s="143" t="s">
        <v>0</v>
      </c>
    </row>
    <row r="55" spans="1:4" x14ac:dyDescent="0.2">
      <c r="A55" s="144"/>
      <c r="B55" s="147" t="s">
        <v>182</v>
      </c>
      <c r="C55" s="32" t="s">
        <v>0</v>
      </c>
      <c r="D55" s="143"/>
    </row>
    <row r="56" spans="1:4" x14ac:dyDescent="0.2">
      <c r="A56" s="144"/>
      <c r="B56" s="145"/>
      <c r="C56" s="32" t="s">
        <v>0</v>
      </c>
      <c r="D56" s="143"/>
    </row>
    <row r="57" spans="1:4" ht="22.5" x14ac:dyDescent="0.2">
      <c r="A57" s="144" t="s">
        <v>183</v>
      </c>
      <c r="B57" s="145" t="s">
        <v>5763</v>
      </c>
      <c r="C57" s="111"/>
      <c r="D57" s="143"/>
    </row>
    <row r="58" spans="1:4" x14ac:dyDescent="0.2">
      <c r="A58" s="144" t="s">
        <v>184</v>
      </c>
      <c r="B58" s="145" t="s">
        <v>5764</v>
      </c>
      <c r="C58" s="112"/>
      <c r="D58" s="143"/>
    </row>
    <row r="59" spans="1:4" ht="22.5" x14ac:dyDescent="0.2">
      <c r="A59" s="144" t="s">
        <v>185</v>
      </c>
      <c r="B59" s="145" t="s">
        <v>5765</v>
      </c>
      <c r="C59" s="112"/>
      <c r="D59" s="143"/>
    </row>
    <row r="60" spans="1:4" x14ac:dyDescent="0.2">
      <c r="A60" s="144"/>
      <c r="B60" s="145"/>
      <c r="C60" s="32" t="s">
        <v>0</v>
      </c>
      <c r="D60" s="143"/>
    </row>
    <row r="61" spans="1:4" ht="45" x14ac:dyDescent="0.2">
      <c r="A61" s="144" t="s">
        <v>186</v>
      </c>
      <c r="B61" s="145" t="s">
        <v>5308</v>
      </c>
      <c r="C61" s="112"/>
      <c r="D61" s="143" t="s">
        <v>0</v>
      </c>
    </row>
    <row r="62" spans="1:4" ht="56.25" x14ac:dyDescent="0.2">
      <c r="A62" s="144" t="s">
        <v>187</v>
      </c>
      <c r="B62" s="145" t="s">
        <v>5309</v>
      </c>
      <c r="C62" s="112"/>
      <c r="D62" s="143" t="s">
        <v>0</v>
      </c>
    </row>
    <row r="63" spans="1:4" x14ac:dyDescent="0.2">
      <c r="A63" s="144"/>
      <c r="B63" s="145"/>
      <c r="C63" s="32" t="s">
        <v>0</v>
      </c>
      <c r="D63" s="143" t="s">
        <v>0</v>
      </c>
    </row>
    <row r="64" spans="1:4" ht="45" x14ac:dyDescent="0.2">
      <c r="A64" s="144" t="s">
        <v>188</v>
      </c>
      <c r="B64" s="145" t="s">
        <v>189</v>
      </c>
      <c r="C64" s="112"/>
      <c r="D64" s="143" t="s">
        <v>0</v>
      </c>
    </row>
    <row r="65" spans="1:4" x14ac:dyDescent="0.2">
      <c r="A65" s="144"/>
      <c r="B65" s="145"/>
      <c r="C65" s="32" t="s">
        <v>0</v>
      </c>
      <c r="D65" s="143" t="s">
        <v>0</v>
      </c>
    </row>
    <row r="66" spans="1:4" x14ac:dyDescent="0.2">
      <c r="A66" s="144"/>
      <c r="B66" s="147" t="s">
        <v>190</v>
      </c>
      <c r="C66" s="32" t="s">
        <v>0</v>
      </c>
      <c r="D66" s="143"/>
    </row>
    <row r="67" spans="1:4" x14ac:dyDescent="0.2">
      <c r="A67" s="144"/>
      <c r="B67" s="145"/>
      <c r="C67" s="32" t="s">
        <v>0</v>
      </c>
      <c r="D67" s="143" t="s">
        <v>0</v>
      </c>
    </row>
    <row r="68" spans="1:4" ht="33.75" x14ac:dyDescent="0.2">
      <c r="A68" s="144" t="s">
        <v>191</v>
      </c>
      <c r="B68" s="145" t="s">
        <v>192</v>
      </c>
      <c r="C68" s="112"/>
      <c r="D68" s="143"/>
    </row>
    <row r="69" spans="1:4" x14ac:dyDescent="0.2">
      <c r="A69" s="144" t="s">
        <v>193</v>
      </c>
      <c r="B69" s="145" t="s">
        <v>194</v>
      </c>
      <c r="C69" s="114" t="s">
        <v>0</v>
      </c>
      <c r="D69" s="143"/>
    </row>
    <row r="70" spans="1:4" x14ac:dyDescent="0.2">
      <c r="A70" s="144"/>
      <c r="B70" s="145"/>
      <c r="C70" s="32" t="s">
        <v>0</v>
      </c>
      <c r="D70" s="143"/>
    </row>
    <row r="71" spans="1:4" ht="33.75" x14ac:dyDescent="0.2">
      <c r="A71" s="144" t="s">
        <v>195</v>
      </c>
      <c r="B71" s="145" t="s">
        <v>5766</v>
      </c>
      <c r="C71" s="112"/>
      <c r="D71" s="143"/>
    </row>
    <row r="72" spans="1:4" x14ac:dyDescent="0.2">
      <c r="A72" s="144"/>
      <c r="B72" s="145"/>
      <c r="C72" s="32" t="s">
        <v>0</v>
      </c>
      <c r="D72" s="143"/>
    </row>
    <row r="73" spans="1:4" x14ac:dyDescent="0.2">
      <c r="A73" s="144"/>
      <c r="B73" s="145" t="s">
        <v>196</v>
      </c>
      <c r="C73" s="32" t="s">
        <v>0</v>
      </c>
      <c r="D73" s="143"/>
    </row>
    <row r="74" spans="1:4" x14ac:dyDescent="0.2">
      <c r="A74" s="144" t="s">
        <v>197</v>
      </c>
      <c r="B74" s="145" t="s">
        <v>198</v>
      </c>
      <c r="C74" s="112"/>
      <c r="D74" s="143"/>
    </row>
    <row r="75" spans="1:4" ht="22.5" x14ac:dyDescent="0.2">
      <c r="A75" s="144" t="s">
        <v>199</v>
      </c>
      <c r="B75" s="145" t="s">
        <v>200</v>
      </c>
      <c r="C75" s="112"/>
      <c r="D75" s="143"/>
    </row>
    <row r="76" spans="1:4" x14ac:dyDescent="0.2">
      <c r="A76" s="144" t="s">
        <v>201</v>
      </c>
      <c r="B76" s="145" t="s">
        <v>202</v>
      </c>
      <c r="C76" s="114" t="s">
        <v>0</v>
      </c>
      <c r="D76" s="143"/>
    </row>
    <row r="77" spans="1:4" x14ac:dyDescent="0.2">
      <c r="A77" s="144" t="s">
        <v>203</v>
      </c>
      <c r="B77" s="145" t="s">
        <v>204</v>
      </c>
      <c r="C77" s="114" t="s">
        <v>0</v>
      </c>
      <c r="D77" s="143"/>
    </row>
    <row r="78" spans="1:4" x14ac:dyDescent="0.2">
      <c r="A78" s="144" t="s">
        <v>205</v>
      </c>
      <c r="B78" s="145" t="s">
        <v>206</v>
      </c>
      <c r="C78" s="114" t="s">
        <v>0</v>
      </c>
      <c r="D78" s="143"/>
    </row>
    <row r="79" spans="1:4" x14ac:dyDescent="0.2">
      <c r="A79" s="144" t="s">
        <v>207</v>
      </c>
      <c r="B79" s="145" t="s">
        <v>208</v>
      </c>
      <c r="C79" s="114" t="s">
        <v>0</v>
      </c>
      <c r="D79" s="143"/>
    </row>
    <row r="80" spans="1:4" x14ac:dyDescent="0.2">
      <c r="A80" s="144" t="s">
        <v>209</v>
      </c>
      <c r="B80" s="145" t="s">
        <v>5310</v>
      </c>
      <c r="C80" s="114" t="s">
        <v>0</v>
      </c>
      <c r="D80" s="143"/>
    </row>
    <row r="81" spans="1:4" x14ac:dyDescent="0.2">
      <c r="A81" s="144" t="s">
        <v>210</v>
      </c>
      <c r="B81" s="145" t="s">
        <v>211</v>
      </c>
      <c r="C81" s="114" t="s">
        <v>0</v>
      </c>
      <c r="D81" s="143"/>
    </row>
    <row r="82" spans="1:4" x14ac:dyDescent="0.2">
      <c r="A82" s="144"/>
      <c r="B82" s="145"/>
      <c r="C82" s="32" t="s">
        <v>0</v>
      </c>
      <c r="D82" s="143"/>
    </row>
    <row r="83" spans="1:4" ht="33.75" x14ac:dyDescent="0.2">
      <c r="A83" s="144" t="s">
        <v>212</v>
      </c>
      <c r="B83" s="145" t="s">
        <v>213</v>
      </c>
      <c r="C83" s="112"/>
      <c r="D83" s="143"/>
    </row>
    <row r="84" spans="1:4" x14ac:dyDescent="0.2">
      <c r="A84" s="144" t="s">
        <v>214</v>
      </c>
      <c r="B84" s="145" t="s">
        <v>215</v>
      </c>
      <c r="C84" s="114" t="s">
        <v>0</v>
      </c>
      <c r="D84" s="143"/>
    </row>
    <row r="85" spans="1:4" x14ac:dyDescent="0.2">
      <c r="A85" s="144" t="s">
        <v>216</v>
      </c>
      <c r="B85" s="145" t="s">
        <v>217</v>
      </c>
      <c r="C85" s="114" t="s">
        <v>0</v>
      </c>
      <c r="D85" s="143"/>
    </row>
    <row r="86" spans="1:4" x14ac:dyDescent="0.2">
      <c r="A86" s="144" t="s">
        <v>218</v>
      </c>
      <c r="B86" s="145" t="s">
        <v>219</v>
      </c>
      <c r="C86" s="114" t="s">
        <v>0</v>
      </c>
      <c r="D86" s="143"/>
    </row>
    <row r="87" spans="1:4" x14ac:dyDescent="0.2">
      <c r="A87" s="144" t="s">
        <v>220</v>
      </c>
      <c r="B87" s="145" t="s">
        <v>221</v>
      </c>
      <c r="C87" s="114" t="s">
        <v>0</v>
      </c>
      <c r="D87" s="143"/>
    </row>
    <row r="88" spans="1:4" x14ac:dyDescent="0.2">
      <c r="A88" s="144" t="s">
        <v>222</v>
      </c>
      <c r="B88" s="145" t="s">
        <v>223</v>
      </c>
      <c r="C88" s="114" t="s">
        <v>0</v>
      </c>
      <c r="D88" s="143"/>
    </row>
    <row r="89" spans="1:4" x14ac:dyDescent="0.2">
      <c r="A89" s="144" t="s">
        <v>224</v>
      </c>
      <c r="B89" s="145" t="s">
        <v>225</v>
      </c>
      <c r="C89" s="114" t="s">
        <v>0</v>
      </c>
      <c r="D89" s="143"/>
    </row>
    <row r="90" spans="1:4" x14ac:dyDescent="0.2">
      <c r="A90" s="144"/>
      <c r="B90" s="145"/>
      <c r="C90" s="32" t="s">
        <v>0</v>
      </c>
      <c r="D90" s="143"/>
    </row>
    <row r="91" spans="1:4" ht="22.5" x14ac:dyDescent="0.2">
      <c r="A91" s="144" t="s">
        <v>226</v>
      </c>
      <c r="B91" s="145" t="s">
        <v>227</v>
      </c>
      <c r="C91" s="114" t="s">
        <v>0</v>
      </c>
      <c r="D91" s="143"/>
    </row>
    <row r="92" spans="1:4" ht="22.5" x14ac:dyDescent="0.2">
      <c r="A92" s="144" t="s">
        <v>228</v>
      </c>
      <c r="B92" s="145" t="s">
        <v>229</v>
      </c>
      <c r="C92" s="114" t="s">
        <v>0</v>
      </c>
      <c r="D92" s="143"/>
    </row>
    <row r="93" spans="1:4" x14ac:dyDescent="0.2">
      <c r="A93" s="144"/>
      <c r="B93" s="145"/>
      <c r="C93" s="32" t="s">
        <v>0</v>
      </c>
      <c r="D93" s="143"/>
    </row>
    <row r="94" spans="1:4" x14ac:dyDescent="0.2">
      <c r="A94" s="144"/>
      <c r="B94" s="147" t="s">
        <v>230</v>
      </c>
      <c r="C94" s="32" t="s">
        <v>0</v>
      </c>
      <c r="D94" s="143"/>
    </row>
    <row r="95" spans="1:4" x14ac:dyDescent="0.2">
      <c r="A95" s="144"/>
      <c r="B95" s="145"/>
      <c r="C95" s="32" t="s">
        <v>0</v>
      </c>
      <c r="D95" s="143"/>
    </row>
    <row r="96" spans="1:4" ht="33.75" x14ac:dyDescent="0.2">
      <c r="A96" s="144" t="s">
        <v>231</v>
      </c>
      <c r="B96" s="145" t="s">
        <v>5311</v>
      </c>
      <c r="C96" s="111"/>
      <c r="D96" s="143"/>
    </row>
    <row r="97" spans="1:4" ht="33.75" x14ac:dyDescent="0.2">
      <c r="A97" s="144" t="s">
        <v>232</v>
      </c>
      <c r="B97" s="145" t="s">
        <v>233</v>
      </c>
      <c r="C97" s="111"/>
      <c r="D97" s="143"/>
    </row>
    <row r="98" spans="1:4" ht="78.75" x14ac:dyDescent="0.2">
      <c r="A98" s="144" t="s">
        <v>234</v>
      </c>
      <c r="B98" s="145" t="s">
        <v>5312</v>
      </c>
      <c r="C98" s="112"/>
      <c r="D98" s="143"/>
    </row>
    <row r="99" spans="1:4" ht="146.25" x14ac:dyDescent="0.2">
      <c r="A99" s="144"/>
      <c r="B99" s="146" t="s">
        <v>5313</v>
      </c>
      <c r="C99" s="32" t="s">
        <v>0</v>
      </c>
      <c r="D99" s="143" t="s">
        <v>0</v>
      </c>
    </row>
    <row r="100" spans="1:4" ht="33.75" x14ac:dyDescent="0.2">
      <c r="A100" s="144" t="s">
        <v>235</v>
      </c>
      <c r="B100" s="145" t="s">
        <v>5314</v>
      </c>
      <c r="C100" s="112"/>
      <c r="D100" s="143" t="s">
        <v>0</v>
      </c>
    </row>
    <row r="101" spans="1:4" ht="22.5" x14ac:dyDescent="0.2">
      <c r="A101" s="144" t="s">
        <v>236</v>
      </c>
      <c r="B101" s="145" t="s">
        <v>5315</v>
      </c>
      <c r="C101" s="112"/>
      <c r="D101" s="143" t="s">
        <v>0</v>
      </c>
    </row>
    <row r="102" spans="1:4" x14ac:dyDescent="0.2">
      <c r="A102" s="144"/>
      <c r="B102" s="145"/>
      <c r="C102" s="32" t="s">
        <v>0</v>
      </c>
      <c r="D102" s="143"/>
    </row>
    <row r="103" spans="1:4" x14ac:dyDescent="0.2">
      <c r="A103" s="150"/>
      <c r="B103" s="151"/>
      <c r="C103" s="34" t="s">
        <v>0</v>
      </c>
      <c r="D103" s="143" t="s">
        <v>0</v>
      </c>
    </row>
    <row r="104" spans="1:4" x14ac:dyDescent="0.2">
      <c r="A104" s="144"/>
      <c r="B104" s="147" t="s">
        <v>237</v>
      </c>
      <c r="C104" s="32" t="s">
        <v>0</v>
      </c>
      <c r="D104" s="143"/>
    </row>
    <row r="105" spans="1:4" x14ac:dyDescent="0.2">
      <c r="A105" s="144"/>
      <c r="B105" s="145"/>
      <c r="C105" s="32" t="s">
        <v>0</v>
      </c>
      <c r="D105" s="143"/>
    </row>
    <row r="106" spans="1:4" x14ac:dyDescent="0.2">
      <c r="A106" s="144"/>
      <c r="B106" s="148" t="s">
        <v>238</v>
      </c>
      <c r="C106" s="32" t="s">
        <v>0</v>
      </c>
      <c r="D106" s="143"/>
    </row>
    <row r="107" spans="1:4" x14ac:dyDescent="0.2">
      <c r="A107" s="144"/>
      <c r="B107" s="145"/>
      <c r="C107" s="32" t="s">
        <v>0</v>
      </c>
      <c r="D107" s="143"/>
    </row>
    <row r="108" spans="1:4" ht="22.5" x14ac:dyDescent="0.2">
      <c r="A108" s="144" t="s">
        <v>239</v>
      </c>
      <c r="B108" s="145" t="s">
        <v>240</v>
      </c>
      <c r="C108" s="112"/>
      <c r="D108" s="143"/>
    </row>
    <row r="109" spans="1:4" ht="45" x14ac:dyDescent="0.2">
      <c r="A109" s="144" t="s">
        <v>241</v>
      </c>
      <c r="B109" s="145" t="s">
        <v>242</v>
      </c>
      <c r="C109" s="112"/>
      <c r="D109" s="143"/>
    </row>
    <row r="110" spans="1:4" x14ac:dyDescent="0.2">
      <c r="A110" s="183" t="s">
        <v>243</v>
      </c>
      <c r="B110" s="189" t="s">
        <v>5316</v>
      </c>
      <c r="C110" s="114" t="s">
        <v>0</v>
      </c>
      <c r="D110" s="143" t="s">
        <v>0</v>
      </c>
    </row>
    <row r="111" spans="1:4" x14ac:dyDescent="0.2">
      <c r="A111" s="183" t="s">
        <v>244</v>
      </c>
      <c r="B111" s="189" t="s">
        <v>5316</v>
      </c>
      <c r="C111" s="114" t="s">
        <v>0</v>
      </c>
      <c r="D111" s="143" t="s">
        <v>0</v>
      </c>
    </row>
    <row r="112" spans="1:4" x14ac:dyDescent="0.2">
      <c r="A112" s="183" t="s">
        <v>245</v>
      </c>
      <c r="B112" s="189" t="s">
        <v>5316</v>
      </c>
      <c r="C112" s="114" t="s">
        <v>0</v>
      </c>
      <c r="D112" s="143" t="s">
        <v>0</v>
      </c>
    </row>
    <row r="113" spans="1:4" x14ac:dyDescent="0.2">
      <c r="A113" s="183" t="s">
        <v>246</v>
      </c>
      <c r="B113" s="189" t="s">
        <v>5316</v>
      </c>
      <c r="C113" s="114" t="s">
        <v>0</v>
      </c>
      <c r="D113" s="143" t="s">
        <v>0</v>
      </c>
    </row>
    <row r="114" spans="1:4" x14ac:dyDescent="0.2">
      <c r="A114" s="183" t="s">
        <v>247</v>
      </c>
      <c r="B114" s="189" t="s">
        <v>5316</v>
      </c>
      <c r="C114" s="114" t="s">
        <v>0</v>
      </c>
      <c r="D114" s="143" t="s">
        <v>0</v>
      </c>
    </row>
    <row r="115" spans="1:4" x14ac:dyDescent="0.2">
      <c r="A115" s="144"/>
      <c r="B115" s="145"/>
      <c r="C115" s="33" t="s">
        <v>0</v>
      </c>
      <c r="D115" s="143" t="s">
        <v>0</v>
      </c>
    </row>
    <row r="116" spans="1:4" ht="22.5" x14ac:dyDescent="0.2">
      <c r="A116" s="144" t="s">
        <v>248</v>
      </c>
      <c r="B116" s="145" t="s">
        <v>5317</v>
      </c>
      <c r="C116" s="112"/>
      <c r="D116" s="143"/>
    </row>
    <row r="117" spans="1:4" ht="33.75" x14ac:dyDescent="0.2">
      <c r="A117" s="144" t="s">
        <v>249</v>
      </c>
      <c r="B117" s="145" t="s">
        <v>250</v>
      </c>
      <c r="C117" s="112"/>
      <c r="D117" s="143"/>
    </row>
    <row r="118" spans="1:4" ht="22.5" x14ac:dyDescent="0.2">
      <c r="A118" s="144" t="s">
        <v>251</v>
      </c>
      <c r="B118" s="145" t="s">
        <v>252</v>
      </c>
      <c r="C118" s="112"/>
      <c r="D118" s="143"/>
    </row>
    <row r="119" spans="1:4" ht="33.75" x14ac:dyDescent="0.2">
      <c r="A119" s="144" t="s">
        <v>253</v>
      </c>
      <c r="B119" s="145" t="s">
        <v>254</v>
      </c>
      <c r="C119" s="112"/>
      <c r="D119" s="143"/>
    </row>
    <row r="120" spans="1:4" ht="78.75" x14ac:dyDescent="0.2">
      <c r="A120" s="144" t="s">
        <v>255</v>
      </c>
      <c r="B120" s="145" t="s">
        <v>5318</v>
      </c>
      <c r="C120" s="112"/>
      <c r="D120" s="143"/>
    </row>
    <row r="121" spans="1:4" ht="22.5" x14ac:dyDescent="0.2">
      <c r="A121" s="144" t="s">
        <v>256</v>
      </c>
      <c r="B121" s="145" t="s">
        <v>5319</v>
      </c>
      <c r="C121" s="112"/>
      <c r="D121" s="143"/>
    </row>
    <row r="122" spans="1:4" x14ac:dyDescent="0.2">
      <c r="A122" s="144"/>
      <c r="B122" s="145"/>
      <c r="C122" s="33" t="s">
        <v>0</v>
      </c>
      <c r="D122" s="143" t="s">
        <v>0</v>
      </c>
    </row>
    <row r="123" spans="1:4" x14ac:dyDescent="0.2">
      <c r="A123" s="144" t="s">
        <v>257</v>
      </c>
      <c r="B123" s="145" t="s">
        <v>258</v>
      </c>
      <c r="C123" s="112"/>
      <c r="D123" s="143"/>
    </row>
    <row r="124" spans="1:4" ht="22.5" x14ac:dyDescent="0.2">
      <c r="A124" s="144" t="s">
        <v>259</v>
      </c>
      <c r="B124" s="145" t="s">
        <v>260</v>
      </c>
      <c r="C124" s="112"/>
      <c r="D124" s="143"/>
    </row>
    <row r="125" spans="1:4" ht="33.75" x14ac:dyDescent="0.2">
      <c r="A125" s="144" t="s">
        <v>261</v>
      </c>
      <c r="B125" s="145" t="s">
        <v>5320</v>
      </c>
      <c r="C125" s="112"/>
      <c r="D125" s="143"/>
    </row>
    <row r="126" spans="1:4" ht="22.5" x14ac:dyDescent="0.2">
      <c r="A126" s="144" t="s">
        <v>262</v>
      </c>
      <c r="B126" s="145" t="s">
        <v>263</v>
      </c>
      <c r="C126" s="112"/>
      <c r="D126" s="143"/>
    </row>
    <row r="127" spans="1:4" x14ac:dyDescent="0.2">
      <c r="A127" s="144"/>
      <c r="B127" s="145"/>
      <c r="C127" s="33" t="s">
        <v>0</v>
      </c>
      <c r="D127" s="143" t="s">
        <v>0</v>
      </c>
    </row>
    <row r="128" spans="1:4" x14ac:dyDescent="0.2">
      <c r="A128" s="144" t="s">
        <v>264</v>
      </c>
      <c r="B128" s="145" t="s">
        <v>265</v>
      </c>
      <c r="C128" s="112"/>
      <c r="D128" s="143"/>
    </row>
    <row r="129" spans="1:4" ht="45" x14ac:dyDescent="0.2">
      <c r="A129" s="144" t="s">
        <v>266</v>
      </c>
      <c r="B129" s="145" t="s">
        <v>267</v>
      </c>
      <c r="C129" s="112"/>
      <c r="D129" s="143"/>
    </row>
    <row r="130" spans="1:4" x14ac:dyDescent="0.2">
      <c r="A130" s="144"/>
      <c r="B130" s="145"/>
      <c r="C130" s="32" t="s">
        <v>0</v>
      </c>
      <c r="D130" s="143"/>
    </row>
    <row r="131" spans="1:4" ht="33.75" x14ac:dyDescent="0.2">
      <c r="A131" s="144" t="s">
        <v>268</v>
      </c>
      <c r="B131" s="145" t="s">
        <v>269</v>
      </c>
      <c r="C131" s="112"/>
      <c r="D131" s="143" t="s">
        <v>0</v>
      </c>
    </row>
    <row r="132" spans="1:4" ht="33.75" x14ac:dyDescent="0.2">
      <c r="A132" s="144" t="s">
        <v>270</v>
      </c>
      <c r="B132" s="145" t="s">
        <v>271</v>
      </c>
      <c r="C132" s="112"/>
      <c r="D132" s="143" t="s">
        <v>0</v>
      </c>
    </row>
    <row r="133" spans="1:4" x14ac:dyDescent="0.2">
      <c r="A133" s="144"/>
      <c r="B133" s="145"/>
      <c r="C133" s="32" t="s">
        <v>0</v>
      </c>
      <c r="D133" s="143" t="s">
        <v>0</v>
      </c>
    </row>
    <row r="134" spans="1:4" x14ac:dyDescent="0.2">
      <c r="A134" s="144" t="s">
        <v>272</v>
      </c>
      <c r="B134" s="145" t="s">
        <v>273</v>
      </c>
      <c r="C134" s="112"/>
      <c r="D134" s="143"/>
    </row>
    <row r="135" spans="1:4" x14ac:dyDescent="0.2">
      <c r="A135" s="144"/>
      <c r="B135" s="145"/>
      <c r="C135" s="33" t="s">
        <v>0</v>
      </c>
      <c r="D135" s="143" t="s">
        <v>0</v>
      </c>
    </row>
    <row r="136" spans="1:4" x14ac:dyDescent="0.2">
      <c r="A136" s="144" t="s">
        <v>274</v>
      </c>
      <c r="B136" s="145" t="s">
        <v>275</v>
      </c>
      <c r="C136" s="112"/>
      <c r="D136" s="143"/>
    </row>
    <row r="137" spans="1:4" ht="22.5" x14ac:dyDescent="0.2">
      <c r="A137" s="144"/>
      <c r="B137" s="145" t="s">
        <v>276</v>
      </c>
      <c r="C137" s="32" t="s">
        <v>0</v>
      </c>
      <c r="D137" s="143"/>
    </row>
    <row r="138" spans="1:4" ht="33.75" x14ac:dyDescent="0.2">
      <c r="A138" s="144" t="s">
        <v>277</v>
      </c>
      <c r="B138" s="145" t="s">
        <v>278</v>
      </c>
      <c r="C138" s="112"/>
      <c r="D138" s="143"/>
    </row>
    <row r="139" spans="1:4" ht="22.5" x14ac:dyDescent="0.2">
      <c r="A139" s="144" t="s">
        <v>279</v>
      </c>
      <c r="B139" s="145" t="s">
        <v>280</v>
      </c>
      <c r="C139" s="112"/>
      <c r="D139" s="143"/>
    </row>
    <row r="140" spans="1:4" ht="45" x14ac:dyDescent="0.2">
      <c r="A140" s="144"/>
      <c r="B140" s="146" t="s">
        <v>281</v>
      </c>
      <c r="C140" s="32" t="s">
        <v>0</v>
      </c>
      <c r="D140" s="143"/>
    </row>
    <row r="141" spans="1:4" x14ac:dyDescent="0.2">
      <c r="A141" s="183" t="s">
        <v>282</v>
      </c>
      <c r="B141" s="189" t="s">
        <v>5321</v>
      </c>
      <c r="C141" s="114" t="s">
        <v>0</v>
      </c>
      <c r="D141" s="143" t="s">
        <v>0</v>
      </c>
    </row>
    <row r="142" spans="1:4" x14ac:dyDescent="0.2">
      <c r="A142" s="183" t="s">
        <v>283</v>
      </c>
      <c r="B142" s="189" t="s">
        <v>5321</v>
      </c>
      <c r="C142" s="114" t="s">
        <v>0</v>
      </c>
      <c r="D142" s="143" t="s">
        <v>0</v>
      </c>
    </row>
    <row r="143" spans="1:4" x14ac:dyDescent="0.2">
      <c r="A143" s="183" t="s">
        <v>284</v>
      </c>
      <c r="B143" s="189" t="s">
        <v>5321</v>
      </c>
      <c r="C143" s="114" t="s">
        <v>0</v>
      </c>
      <c r="D143" s="143" t="s">
        <v>0</v>
      </c>
    </row>
    <row r="144" spans="1:4" x14ac:dyDescent="0.2">
      <c r="A144" s="183" t="s">
        <v>285</v>
      </c>
      <c r="B144" s="189" t="s">
        <v>5321</v>
      </c>
      <c r="C144" s="114" t="s">
        <v>0</v>
      </c>
      <c r="D144" s="143" t="s">
        <v>0</v>
      </c>
    </row>
    <row r="145" spans="1:4" x14ac:dyDescent="0.2">
      <c r="A145" s="183" t="s">
        <v>286</v>
      </c>
      <c r="B145" s="189" t="s">
        <v>5321</v>
      </c>
      <c r="C145" s="114" t="s">
        <v>0</v>
      </c>
      <c r="D145" s="143" t="s">
        <v>0</v>
      </c>
    </row>
    <row r="146" spans="1:4" x14ac:dyDescent="0.2">
      <c r="A146" s="144"/>
      <c r="B146" s="145"/>
      <c r="C146" s="32" t="s">
        <v>0</v>
      </c>
      <c r="D146" s="143"/>
    </row>
    <row r="147" spans="1:4" x14ac:dyDescent="0.2">
      <c r="A147" s="144"/>
      <c r="B147" s="145" t="s">
        <v>287</v>
      </c>
      <c r="C147" s="32" t="s">
        <v>0</v>
      </c>
      <c r="D147" s="143"/>
    </row>
    <row r="148" spans="1:4" x14ac:dyDescent="0.2">
      <c r="A148" s="144" t="s">
        <v>288</v>
      </c>
      <c r="B148" s="145" t="s">
        <v>289</v>
      </c>
      <c r="C148" s="112"/>
      <c r="D148" s="143"/>
    </row>
    <row r="149" spans="1:4" x14ac:dyDescent="0.2">
      <c r="A149" s="144" t="s">
        <v>290</v>
      </c>
      <c r="B149" s="145" t="s">
        <v>291</v>
      </c>
      <c r="C149" s="112"/>
      <c r="D149" s="143"/>
    </row>
    <row r="150" spans="1:4" x14ac:dyDescent="0.2">
      <c r="A150" s="144" t="s">
        <v>292</v>
      </c>
      <c r="B150" s="145" t="s">
        <v>293</v>
      </c>
      <c r="C150" s="112"/>
      <c r="D150" s="143"/>
    </row>
    <row r="151" spans="1:4" x14ac:dyDescent="0.2">
      <c r="A151" s="144" t="s">
        <v>294</v>
      </c>
      <c r="B151" s="145" t="s">
        <v>295</v>
      </c>
      <c r="C151" s="112"/>
      <c r="D151" s="143"/>
    </row>
    <row r="152" spans="1:4" x14ac:dyDescent="0.2">
      <c r="A152" s="183" t="s">
        <v>296</v>
      </c>
      <c r="B152" s="189" t="s">
        <v>5322</v>
      </c>
      <c r="C152" s="34" t="s">
        <v>0</v>
      </c>
      <c r="D152" s="143"/>
    </row>
    <row r="153" spans="1:4" x14ac:dyDescent="0.2">
      <c r="A153" s="183" t="s">
        <v>297</v>
      </c>
      <c r="B153" s="189" t="s">
        <v>5322</v>
      </c>
      <c r="C153" s="34" t="s">
        <v>0</v>
      </c>
      <c r="D153" s="143"/>
    </row>
    <row r="154" spans="1:4" x14ac:dyDescent="0.2">
      <c r="A154" s="183" t="s">
        <v>298</v>
      </c>
      <c r="B154" s="189" t="s">
        <v>5322</v>
      </c>
      <c r="C154" s="34" t="s">
        <v>0</v>
      </c>
      <c r="D154" s="143"/>
    </row>
    <row r="155" spans="1:4" x14ac:dyDescent="0.2">
      <c r="A155" s="144"/>
      <c r="B155" s="145"/>
      <c r="C155" s="32" t="s">
        <v>0</v>
      </c>
      <c r="D155" s="143"/>
    </row>
    <row r="156" spans="1:4" ht="22.5" x14ac:dyDescent="0.2">
      <c r="A156" s="144" t="s">
        <v>299</v>
      </c>
      <c r="B156" s="145" t="s">
        <v>300</v>
      </c>
      <c r="C156" s="112"/>
      <c r="D156" s="143" t="s">
        <v>0</v>
      </c>
    </row>
    <row r="157" spans="1:4" x14ac:dyDescent="0.2">
      <c r="A157" s="144"/>
      <c r="B157" s="145"/>
      <c r="C157" s="32" t="s">
        <v>0</v>
      </c>
      <c r="D157" s="143" t="s">
        <v>0</v>
      </c>
    </row>
    <row r="158" spans="1:4" x14ac:dyDescent="0.2">
      <c r="A158" s="144"/>
      <c r="B158" s="147" t="s">
        <v>301</v>
      </c>
      <c r="C158" s="32" t="s">
        <v>0</v>
      </c>
      <c r="D158" s="143" t="s">
        <v>0</v>
      </c>
    </row>
    <row r="159" spans="1:4" x14ac:dyDescent="0.2">
      <c r="A159" s="144"/>
      <c r="B159" s="145"/>
      <c r="C159" s="32" t="s">
        <v>0</v>
      </c>
      <c r="D159" s="143" t="s">
        <v>0</v>
      </c>
    </row>
    <row r="160" spans="1:4" ht="45" x14ac:dyDescent="0.2">
      <c r="A160" s="144" t="s">
        <v>302</v>
      </c>
      <c r="B160" s="145" t="s">
        <v>5323</v>
      </c>
      <c r="C160" s="112"/>
      <c r="D160" s="143" t="s">
        <v>0</v>
      </c>
    </row>
    <row r="161" spans="1:4" x14ac:dyDescent="0.2">
      <c r="A161" s="144"/>
      <c r="B161" s="145"/>
      <c r="C161" s="32" t="s">
        <v>0</v>
      </c>
      <c r="D161" s="143" t="s">
        <v>0</v>
      </c>
    </row>
    <row r="162" spans="1:4" ht="33.75" x14ac:dyDescent="0.2">
      <c r="A162" s="144" t="s">
        <v>303</v>
      </c>
      <c r="B162" s="145" t="s">
        <v>5324</v>
      </c>
      <c r="C162" s="112"/>
      <c r="D162" s="143" t="s">
        <v>0</v>
      </c>
    </row>
    <row r="163" spans="1:4" ht="45" x14ac:dyDescent="0.2">
      <c r="A163" s="144"/>
      <c r="B163" s="146" t="s">
        <v>304</v>
      </c>
      <c r="C163" s="32" t="s">
        <v>0</v>
      </c>
      <c r="D163" s="143" t="s">
        <v>0</v>
      </c>
    </row>
    <row r="164" spans="1:4" x14ac:dyDescent="0.2">
      <c r="A164" s="144"/>
      <c r="B164" s="145"/>
      <c r="C164" s="32" t="s">
        <v>0</v>
      </c>
      <c r="D164" s="143" t="s">
        <v>0</v>
      </c>
    </row>
    <row r="165" spans="1:4" x14ac:dyDescent="0.2">
      <c r="A165" s="144"/>
      <c r="B165" s="146" t="s">
        <v>305</v>
      </c>
      <c r="C165" s="32" t="s">
        <v>0</v>
      </c>
      <c r="D165" s="143" t="s">
        <v>0</v>
      </c>
    </row>
    <row r="166" spans="1:4" ht="56.25" x14ac:dyDescent="0.2">
      <c r="A166" s="144" t="s">
        <v>306</v>
      </c>
      <c r="B166" s="145" t="s">
        <v>5325</v>
      </c>
      <c r="C166" s="112"/>
      <c r="D166" s="143" t="s">
        <v>0</v>
      </c>
    </row>
    <row r="167" spans="1:4" ht="22.5" x14ac:dyDescent="0.2">
      <c r="A167" s="144" t="s">
        <v>307</v>
      </c>
      <c r="B167" s="145" t="s">
        <v>5326</v>
      </c>
      <c r="C167" s="112"/>
      <c r="D167" s="143" t="s">
        <v>0</v>
      </c>
    </row>
    <row r="168" spans="1:4" ht="56.25" x14ac:dyDescent="0.2">
      <c r="A168" s="144" t="s">
        <v>308</v>
      </c>
      <c r="B168" s="145" t="s">
        <v>5327</v>
      </c>
      <c r="C168" s="112"/>
      <c r="D168" s="143" t="s">
        <v>0</v>
      </c>
    </row>
    <row r="169" spans="1:4" ht="56.25" x14ac:dyDescent="0.2">
      <c r="A169" s="144" t="s">
        <v>309</v>
      </c>
      <c r="B169" s="145" t="s">
        <v>5328</v>
      </c>
      <c r="C169" s="112"/>
      <c r="D169" s="143" t="s">
        <v>0</v>
      </c>
    </row>
    <row r="170" spans="1:4" ht="112.5" x14ac:dyDescent="0.2">
      <c r="A170" s="144" t="s">
        <v>310</v>
      </c>
      <c r="B170" s="145" t="s">
        <v>5329</v>
      </c>
      <c r="C170" s="112"/>
      <c r="D170" s="143" t="s">
        <v>0</v>
      </c>
    </row>
    <row r="171" spans="1:4" x14ac:dyDescent="0.2">
      <c r="A171" s="144"/>
      <c r="B171" s="145"/>
      <c r="C171" s="32" t="s">
        <v>0</v>
      </c>
      <c r="D171" s="143" t="s">
        <v>0</v>
      </c>
    </row>
    <row r="172" spans="1:4" x14ac:dyDescent="0.2">
      <c r="A172" s="144"/>
      <c r="B172" s="145" t="s">
        <v>311</v>
      </c>
      <c r="C172" s="32" t="s">
        <v>0</v>
      </c>
      <c r="D172" s="143" t="s">
        <v>0</v>
      </c>
    </row>
    <row r="173" spans="1:4" x14ac:dyDescent="0.2">
      <c r="A173" s="144" t="s">
        <v>312</v>
      </c>
      <c r="B173" s="145" t="s">
        <v>313</v>
      </c>
      <c r="C173" s="112"/>
      <c r="D173" s="143" t="s">
        <v>0</v>
      </c>
    </row>
    <row r="174" spans="1:4" x14ac:dyDescent="0.2">
      <c r="A174" s="144" t="s">
        <v>314</v>
      </c>
      <c r="B174" s="145" t="s">
        <v>315</v>
      </c>
      <c r="C174" s="112"/>
      <c r="D174" s="143" t="s">
        <v>0</v>
      </c>
    </row>
    <row r="175" spans="1:4" x14ac:dyDescent="0.2">
      <c r="A175" s="144" t="s">
        <v>316</v>
      </c>
      <c r="B175" s="145" t="s">
        <v>317</v>
      </c>
      <c r="C175" s="112"/>
      <c r="D175" s="143" t="s">
        <v>0</v>
      </c>
    </row>
    <row r="176" spans="1:4" x14ac:dyDescent="0.2">
      <c r="A176" s="144" t="s">
        <v>318</v>
      </c>
      <c r="B176" s="145" t="s">
        <v>319</v>
      </c>
      <c r="C176" s="112"/>
      <c r="D176" s="143" t="s">
        <v>0</v>
      </c>
    </row>
    <row r="177" spans="1:4" x14ac:dyDescent="0.2">
      <c r="A177" s="144"/>
      <c r="B177" s="145"/>
      <c r="C177" s="32" t="s">
        <v>0</v>
      </c>
      <c r="D177" s="143" t="s">
        <v>0</v>
      </c>
    </row>
    <row r="178" spans="1:4" x14ac:dyDescent="0.2">
      <c r="A178" s="144"/>
      <c r="B178" s="147" t="s">
        <v>320</v>
      </c>
      <c r="C178" s="32" t="s">
        <v>0</v>
      </c>
      <c r="D178" s="143"/>
    </row>
    <row r="179" spans="1:4" x14ac:dyDescent="0.2">
      <c r="A179" s="144"/>
      <c r="B179" s="145"/>
      <c r="C179" s="32" t="s">
        <v>0</v>
      </c>
      <c r="D179" s="143"/>
    </row>
    <row r="180" spans="1:4" ht="22.5" x14ac:dyDescent="0.2">
      <c r="A180" s="144" t="s">
        <v>321</v>
      </c>
      <c r="B180" s="145" t="s">
        <v>322</v>
      </c>
      <c r="C180" s="112"/>
      <c r="D180" s="143"/>
    </row>
    <row r="181" spans="1:4" x14ac:dyDescent="0.2">
      <c r="A181" s="144"/>
      <c r="B181" s="145" t="s">
        <v>196</v>
      </c>
      <c r="C181" s="32" t="s">
        <v>0</v>
      </c>
      <c r="D181" s="143"/>
    </row>
    <row r="182" spans="1:4" x14ac:dyDescent="0.2">
      <c r="A182" s="144" t="s">
        <v>323</v>
      </c>
      <c r="B182" s="145" t="s">
        <v>324</v>
      </c>
      <c r="C182" s="112"/>
      <c r="D182" s="143"/>
    </row>
    <row r="183" spans="1:4" x14ac:dyDescent="0.2">
      <c r="A183" s="144" t="s">
        <v>325</v>
      </c>
      <c r="B183" s="145" t="s">
        <v>326</v>
      </c>
      <c r="C183" s="115"/>
      <c r="D183" s="143"/>
    </row>
    <row r="184" spans="1:4" x14ac:dyDescent="0.2">
      <c r="A184" s="144" t="s">
        <v>327</v>
      </c>
      <c r="B184" s="145" t="s">
        <v>328</v>
      </c>
      <c r="C184" s="115"/>
      <c r="D184" s="143"/>
    </row>
    <row r="185" spans="1:4" x14ac:dyDescent="0.2">
      <c r="A185" s="144"/>
      <c r="B185" s="145"/>
      <c r="C185" s="32" t="s">
        <v>0</v>
      </c>
      <c r="D185" s="143" t="s">
        <v>0</v>
      </c>
    </row>
    <row r="186" spans="1:4" ht="56.25" x14ac:dyDescent="0.2">
      <c r="A186" s="144" t="s">
        <v>329</v>
      </c>
      <c r="B186" s="145" t="s">
        <v>330</v>
      </c>
      <c r="C186" s="112"/>
      <c r="D186" s="143"/>
    </row>
    <row r="187" spans="1:4" ht="45" x14ac:dyDescent="0.2">
      <c r="A187" s="144" t="s">
        <v>331</v>
      </c>
      <c r="B187" s="145" t="s">
        <v>5767</v>
      </c>
      <c r="C187" s="112"/>
      <c r="D187" s="143"/>
    </row>
    <row r="188" spans="1:4" x14ac:dyDescent="0.2">
      <c r="A188" s="144"/>
      <c r="B188" s="145"/>
      <c r="C188" s="33" t="s">
        <v>0</v>
      </c>
      <c r="D188" s="143"/>
    </row>
    <row r="189" spans="1:4" x14ac:dyDescent="0.2">
      <c r="A189" s="144"/>
      <c r="B189" s="145" t="s">
        <v>332</v>
      </c>
      <c r="C189" s="32" t="s">
        <v>0</v>
      </c>
      <c r="D189" s="143"/>
    </row>
    <row r="190" spans="1:4" x14ac:dyDescent="0.2">
      <c r="A190" s="144"/>
      <c r="B190" s="145"/>
      <c r="C190" s="33" t="s">
        <v>0</v>
      </c>
      <c r="D190" s="143" t="s">
        <v>0</v>
      </c>
    </row>
    <row r="191" spans="1:4" ht="33.75" x14ac:dyDescent="0.2">
      <c r="A191" s="144" t="s">
        <v>333</v>
      </c>
      <c r="B191" s="145" t="s">
        <v>5768</v>
      </c>
      <c r="C191" s="112"/>
      <c r="D191" s="143"/>
    </row>
    <row r="192" spans="1:4" ht="45" x14ac:dyDescent="0.2">
      <c r="A192" s="144" t="s">
        <v>334</v>
      </c>
      <c r="B192" s="145" t="s">
        <v>335</v>
      </c>
      <c r="C192" s="112"/>
      <c r="D192" s="143"/>
    </row>
    <row r="193" spans="1:4" ht="45" x14ac:dyDescent="0.2">
      <c r="A193" s="144" t="s">
        <v>336</v>
      </c>
      <c r="B193" s="145" t="s">
        <v>5330</v>
      </c>
      <c r="C193" s="112"/>
      <c r="D193" s="143"/>
    </row>
    <row r="194" spans="1:4" ht="33.75" x14ac:dyDescent="0.2">
      <c r="A194" s="144" t="s">
        <v>337</v>
      </c>
      <c r="B194" s="145" t="s">
        <v>338</v>
      </c>
      <c r="C194" s="112"/>
      <c r="D194" s="143"/>
    </row>
    <row r="195" spans="1:4" ht="56.25" x14ac:dyDescent="0.2">
      <c r="A195" s="144" t="s">
        <v>339</v>
      </c>
      <c r="B195" s="145" t="s">
        <v>340</v>
      </c>
      <c r="C195" s="112"/>
      <c r="D195" s="143"/>
    </row>
    <row r="196" spans="1:4" ht="56.25" x14ac:dyDescent="0.2">
      <c r="A196" s="144" t="s">
        <v>341</v>
      </c>
      <c r="B196" s="145" t="s">
        <v>342</v>
      </c>
      <c r="C196" s="112"/>
      <c r="D196" s="143"/>
    </row>
    <row r="197" spans="1:4" ht="56.25" x14ac:dyDescent="0.2">
      <c r="A197" s="144" t="s">
        <v>343</v>
      </c>
      <c r="B197" s="145" t="s">
        <v>344</v>
      </c>
      <c r="C197" s="112"/>
      <c r="D197" s="143"/>
    </row>
    <row r="198" spans="1:4" ht="67.5" x14ac:dyDescent="0.2">
      <c r="A198" s="144" t="s">
        <v>345</v>
      </c>
      <c r="B198" s="145" t="s">
        <v>346</v>
      </c>
      <c r="C198" s="112"/>
      <c r="D198" s="143"/>
    </row>
    <row r="199" spans="1:4" ht="56.25" x14ac:dyDescent="0.2">
      <c r="A199" s="144" t="s">
        <v>347</v>
      </c>
      <c r="B199" s="145" t="s">
        <v>348</v>
      </c>
      <c r="C199" s="112"/>
      <c r="D199" s="143"/>
    </row>
    <row r="200" spans="1:4" ht="78.75" x14ac:dyDescent="0.2">
      <c r="A200" s="144" t="s">
        <v>349</v>
      </c>
      <c r="B200" s="145" t="s">
        <v>5331</v>
      </c>
      <c r="C200" s="112"/>
      <c r="D200" s="143"/>
    </row>
    <row r="201" spans="1:4" ht="33.75" x14ac:dyDescent="0.2">
      <c r="A201" s="144" t="s">
        <v>350</v>
      </c>
      <c r="B201" s="145" t="s">
        <v>351</v>
      </c>
      <c r="C201" s="111"/>
      <c r="D201" s="143"/>
    </row>
    <row r="202" spans="1:4" x14ac:dyDescent="0.2">
      <c r="A202" s="144"/>
      <c r="B202" s="145"/>
      <c r="C202" s="32" t="s">
        <v>0</v>
      </c>
      <c r="D202" s="143"/>
    </row>
    <row r="203" spans="1:4" x14ac:dyDescent="0.2">
      <c r="A203" s="144"/>
      <c r="B203" s="148" t="s">
        <v>352</v>
      </c>
      <c r="C203" s="32" t="s">
        <v>0</v>
      </c>
      <c r="D203" s="143"/>
    </row>
    <row r="204" spans="1:4" x14ac:dyDescent="0.2">
      <c r="A204" s="144"/>
      <c r="B204" s="145"/>
      <c r="C204" s="33" t="s">
        <v>0</v>
      </c>
      <c r="D204" s="143" t="s">
        <v>0</v>
      </c>
    </row>
    <row r="205" spans="1:4" ht="33.75" x14ac:dyDescent="0.2">
      <c r="A205" s="144" t="s">
        <v>353</v>
      </c>
      <c r="B205" s="145" t="s">
        <v>5332</v>
      </c>
      <c r="C205" s="112"/>
      <c r="D205" s="143"/>
    </row>
    <row r="206" spans="1:4" ht="33.75" x14ac:dyDescent="0.2">
      <c r="A206" s="144" t="s">
        <v>354</v>
      </c>
      <c r="B206" s="145" t="s">
        <v>5333</v>
      </c>
      <c r="C206" s="112"/>
      <c r="D206" s="143"/>
    </row>
    <row r="207" spans="1:4" ht="33.75" x14ac:dyDescent="0.2">
      <c r="A207" s="144" t="s">
        <v>355</v>
      </c>
      <c r="B207" s="145" t="s">
        <v>356</v>
      </c>
      <c r="C207" s="112"/>
      <c r="D207" s="143"/>
    </row>
    <row r="208" spans="1:4" ht="22.5" x14ac:dyDescent="0.2">
      <c r="A208" s="144" t="s">
        <v>357</v>
      </c>
      <c r="B208" s="145" t="s">
        <v>358</v>
      </c>
      <c r="C208" s="112"/>
      <c r="D208" s="143"/>
    </row>
    <row r="209" spans="1:4" ht="22.5" x14ac:dyDescent="0.2">
      <c r="A209" s="144" t="s">
        <v>359</v>
      </c>
      <c r="B209" s="145" t="s">
        <v>360</v>
      </c>
      <c r="C209" s="112"/>
      <c r="D209" s="143"/>
    </row>
    <row r="210" spans="1:4" ht="22.5" x14ac:dyDescent="0.2">
      <c r="A210" s="144" t="s">
        <v>361</v>
      </c>
      <c r="B210" s="145" t="s">
        <v>362</v>
      </c>
      <c r="C210" s="112"/>
      <c r="D210" s="143"/>
    </row>
    <row r="211" spans="1:4" ht="33.75" x14ac:dyDescent="0.2">
      <c r="A211" s="144" t="s">
        <v>363</v>
      </c>
      <c r="B211" s="145" t="s">
        <v>364</v>
      </c>
      <c r="C211" s="112"/>
      <c r="D211" s="143"/>
    </row>
    <row r="212" spans="1:4" ht="45" x14ac:dyDescent="0.2">
      <c r="A212" s="144" t="s">
        <v>365</v>
      </c>
      <c r="B212" s="145" t="s">
        <v>366</v>
      </c>
      <c r="C212" s="112"/>
      <c r="D212" s="143"/>
    </row>
    <row r="213" spans="1:4" ht="33.75" x14ac:dyDescent="0.2">
      <c r="A213" s="144" t="s">
        <v>367</v>
      </c>
      <c r="B213" s="145" t="s">
        <v>368</v>
      </c>
      <c r="C213" s="112"/>
      <c r="D213" s="143"/>
    </row>
    <row r="214" spans="1:4" ht="45" x14ac:dyDescent="0.2">
      <c r="A214" s="144" t="s">
        <v>369</v>
      </c>
      <c r="B214" s="145" t="s">
        <v>370</v>
      </c>
      <c r="C214" s="112"/>
      <c r="D214" s="143"/>
    </row>
    <row r="215" spans="1:4" x14ac:dyDescent="0.2">
      <c r="A215" s="144"/>
      <c r="B215" s="145"/>
      <c r="C215" s="32" t="s">
        <v>0</v>
      </c>
      <c r="D215" s="143"/>
    </row>
    <row r="216" spans="1:4" x14ac:dyDescent="0.2">
      <c r="A216" s="144" t="s">
        <v>371</v>
      </c>
      <c r="B216" s="145" t="s">
        <v>372</v>
      </c>
      <c r="C216" s="112"/>
      <c r="D216" s="143"/>
    </row>
    <row r="217" spans="1:4" x14ac:dyDescent="0.2">
      <c r="A217" s="144"/>
      <c r="B217" s="145"/>
      <c r="C217" s="32" t="s">
        <v>0</v>
      </c>
      <c r="D217" s="143"/>
    </row>
    <row r="218" spans="1:4" x14ac:dyDescent="0.2">
      <c r="A218" s="144"/>
      <c r="B218" s="148" t="s">
        <v>373</v>
      </c>
      <c r="C218" s="32" t="s">
        <v>0</v>
      </c>
      <c r="D218" s="143"/>
    </row>
    <row r="219" spans="1:4" ht="22.5" x14ac:dyDescent="0.2">
      <c r="A219" s="144"/>
      <c r="B219" s="145" t="s">
        <v>374</v>
      </c>
      <c r="C219" s="32" t="s">
        <v>0</v>
      </c>
      <c r="D219" s="143"/>
    </row>
    <row r="220" spans="1:4" x14ac:dyDescent="0.2">
      <c r="A220" s="144"/>
      <c r="B220" s="145"/>
      <c r="C220" s="32" t="s">
        <v>0</v>
      </c>
      <c r="D220" s="143"/>
    </row>
    <row r="221" spans="1:4" ht="56.25" x14ac:dyDescent="0.2">
      <c r="A221" s="144" t="s">
        <v>375</v>
      </c>
      <c r="B221" s="145" t="s">
        <v>376</v>
      </c>
      <c r="C221" s="112"/>
      <c r="D221" s="143"/>
    </row>
    <row r="222" spans="1:4" ht="33.75" x14ac:dyDescent="0.2">
      <c r="A222" s="144" t="s">
        <v>377</v>
      </c>
      <c r="B222" s="145" t="s">
        <v>378</v>
      </c>
      <c r="C222" s="112"/>
      <c r="D222" s="143"/>
    </row>
    <row r="223" spans="1:4" ht="45" x14ac:dyDescent="0.2">
      <c r="A223" s="144" t="s">
        <v>379</v>
      </c>
      <c r="B223" s="145" t="s">
        <v>5334</v>
      </c>
      <c r="C223" s="112"/>
      <c r="D223" s="143"/>
    </row>
    <row r="224" spans="1:4" ht="101.25" x14ac:dyDescent="0.2">
      <c r="A224" s="144" t="s">
        <v>380</v>
      </c>
      <c r="B224" s="145" t="s">
        <v>5335</v>
      </c>
      <c r="C224" s="112"/>
      <c r="D224" s="143"/>
    </row>
    <row r="225" spans="1:4" ht="33.75" x14ac:dyDescent="0.2">
      <c r="A225" s="144" t="s">
        <v>381</v>
      </c>
      <c r="B225" s="145" t="s">
        <v>382</v>
      </c>
      <c r="C225" s="112"/>
      <c r="D225" s="143"/>
    </row>
    <row r="226" spans="1:4" ht="22.5" x14ac:dyDescent="0.2">
      <c r="A226" s="144" t="s">
        <v>383</v>
      </c>
      <c r="B226" s="145" t="s">
        <v>5336</v>
      </c>
      <c r="C226" s="112"/>
      <c r="D226" s="143"/>
    </row>
    <row r="227" spans="1:4" ht="45" x14ac:dyDescent="0.2">
      <c r="A227" s="144" t="s">
        <v>384</v>
      </c>
      <c r="B227" s="145" t="s">
        <v>385</v>
      </c>
      <c r="C227" s="112"/>
      <c r="D227" s="143"/>
    </row>
    <row r="228" spans="1:4" ht="45" x14ac:dyDescent="0.2">
      <c r="A228" s="144" t="s">
        <v>386</v>
      </c>
      <c r="B228" s="145" t="s">
        <v>387</v>
      </c>
      <c r="C228" s="112"/>
      <c r="D228" s="143"/>
    </row>
    <row r="229" spans="1:4" ht="45" x14ac:dyDescent="0.2">
      <c r="A229" s="144" t="s">
        <v>388</v>
      </c>
      <c r="B229" s="145" t="s">
        <v>389</v>
      </c>
      <c r="C229" s="112"/>
      <c r="D229" s="143"/>
    </row>
    <row r="230" spans="1:4" ht="33.75" x14ac:dyDescent="0.2">
      <c r="A230" s="144" t="s">
        <v>390</v>
      </c>
      <c r="B230" s="145" t="s">
        <v>391</v>
      </c>
      <c r="C230" s="112"/>
      <c r="D230" s="143"/>
    </row>
    <row r="231" spans="1:4" ht="67.5" x14ac:dyDescent="0.2">
      <c r="A231" s="144" t="s">
        <v>392</v>
      </c>
      <c r="B231" s="145" t="s">
        <v>5337</v>
      </c>
      <c r="C231" s="112"/>
      <c r="D231" s="143"/>
    </row>
    <row r="232" spans="1:4" ht="67.5" x14ac:dyDescent="0.2">
      <c r="A232" s="144" t="s">
        <v>393</v>
      </c>
      <c r="B232" s="145" t="s">
        <v>394</v>
      </c>
      <c r="C232" s="112"/>
      <c r="D232" s="143"/>
    </row>
    <row r="233" spans="1:4" ht="67.5" x14ac:dyDescent="0.2">
      <c r="A233" s="144" t="s">
        <v>395</v>
      </c>
      <c r="B233" s="145" t="s">
        <v>396</v>
      </c>
      <c r="C233" s="112"/>
      <c r="D233" s="143"/>
    </row>
    <row r="234" spans="1:4" ht="90" x14ac:dyDescent="0.2">
      <c r="A234" s="144" t="s">
        <v>397</v>
      </c>
      <c r="B234" s="145" t="s">
        <v>5338</v>
      </c>
      <c r="C234" s="112"/>
      <c r="D234" s="143"/>
    </row>
    <row r="235" spans="1:4" ht="78.75" x14ac:dyDescent="0.2">
      <c r="A235" s="144" t="s">
        <v>398</v>
      </c>
      <c r="B235" s="145" t="s">
        <v>5339</v>
      </c>
      <c r="C235" s="112"/>
      <c r="D235" s="143"/>
    </row>
    <row r="236" spans="1:4" ht="56.25" x14ac:dyDescent="0.2">
      <c r="A236" s="144" t="s">
        <v>399</v>
      </c>
      <c r="B236" s="145" t="s">
        <v>5340</v>
      </c>
      <c r="C236" s="112"/>
      <c r="D236" s="143"/>
    </row>
    <row r="237" spans="1:4" ht="45" x14ac:dyDescent="0.2">
      <c r="A237" s="144" t="s">
        <v>400</v>
      </c>
      <c r="B237" s="145" t="s">
        <v>401</v>
      </c>
      <c r="C237" s="112"/>
      <c r="D237" s="143"/>
    </row>
    <row r="238" spans="1:4" ht="56.25" x14ac:dyDescent="0.2">
      <c r="A238" s="144" t="s">
        <v>402</v>
      </c>
      <c r="B238" s="145" t="s">
        <v>403</v>
      </c>
      <c r="C238" s="112"/>
      <c r="D238" s="143"/>
    </row>
    <row r="239" spans="1:4" ht="33.75" x14ac:dyDescent="0.2">
      <c r="A239" s="144"/>
      <c r="B239" s="146" t="s">
        <v>404</v>
      </c>
      <c r="C239" s="32" t="s">
        <v>0</v>
      </c>
      <c r="D239" s="143"/>
    </row>
    <row r="240" spans="1:4" ht="78.75" x14ac:dyDescent="0.2">
      <c r="A240" s="144" t="s">
        <v>405</v>
      </c>
      <c r="B240" s="145" t="s">
        <v>5341</v>
      </c>
      <c r="C240" s="112"/>
      <c r="D240" s="143"/>
    </row>
    <row r="241" spans="1:4" ht="67.5" x14ac:dyDescent="0.2">
      <c r="A241" s="144" t="s">
        <v>406</v>
      </c>
      <c r="B241" s="145" t="s">
        <v>407</v>
      </c>
      <c r="C241" s="112"/>
      <c r="D241" s="143"/>
    </row>
    <row r="242" spans="1:4" ht="33.75" x14ac:dyDescent="0.2">
      <c r="A242" s="144" t="s">
        <v>408</v>
      </c>
      <c r="B242" s="145" t="s">
        <v>409</v>
      </c>
      <c r="C242" s="112"/>
      <c r="D242" s="143"/>
    </row>
    <row r="243" spans="1:4" ht="135" x14ac:dyDescent="0.2">
      <c r="A243" s="144" t="s">
        <v>410</v>
      </c>
      <c r="B243" s="145" t="s">
        <v>411</v>
      </c>
      <c r="C243" s="112"/>
      <c r="D243" s="143"/>
    </row>
    <row r="244" spans="1:4" ht="78.75" x14ac:dyDescent="0.2">
      <c r="A244" s="144" t="s">
        <v>412</v>
      </c>
      <c r="B244" s="145" t="s">
        <v>5342</v>
      </c>
      <c r="C244" s="112"/>
      <c r="D244" s="143"/>
    </row>
    <row r="245" spans="1:4" ht="22.5" x14ac:dyDescent="0.2">
      <c r="A245" s="144" t="s">
        <v>413</v>
      </c>
      <c r="B245" s="145" t="s">
        <v>414</v>
      </c>
      <c r="C245" s="112"/>
      <c r="D245" s="143"/>
    </row>
    <row r="246" spans="1:4" ht="45" x14ac:dyDescent="0.2">
      <c r="A246" s="144" t="s">
        <v>415</v>
      </c>
      <c r="B246" s="145" t="s">
        <v>416</v>
      </c>
      <c r="C246" s="111"/>
      <c r="D246" s="143"/>
    </row>
    <row r="247" spans="1:4" ht="45" x14ac:dyDescent="0.2">
      <c r="A247" s="144" t="s">
        <v>417</v>
      </c>
      <c r="B247" s="145" t="s">
        <v>418</v>
      </c>
      <c r="C247" s="111"/>
      <c r="D247" s="143"/>
    </row>
    <row r="248" spans="1:4" ht="67.5" x14ac:dyDescent="0.2">
      <c r="A248" s="144" t="s">
        <v>419</v>
      </c>
      <c r="B248" s="145" t="s">
        <v>420</v>
      </c>
      <c r="C248" s="112"/>
      <c r="D248" s="143"/>
    </row>
    <row r="249" spans="1:4" ht="56.25" x14ac:dyDescent="0.2">
      <c r="A249" s="144" t="s">
        <v>421</v>
      </c>
      <c r="B249" s="145" t="s">
        <v>5769</v>
      </c>
      <c r="C249" s="112"/>
      <c r="D249" s="143"/>
    </row>
    <row r="250" spans="1:4" ht="33.75" x14ac:dyDescent="0.2">
      <c r="A250" s="144" t="s">
        <v>422</v>
      </c>
      <c r="B250" s="145" t="s">
        <v>423</v>
      </c>
      <c r="C250" s="112"/>
      <c r="D250" s="143"/>
    </row>
    <row r="251" spans="1:4" ht="101.25" x14ac:dyDescent="0.2">
      <c r="A251" s="144" t="s">
        <v>424</v>
      </c>
      <c r="B251" s="145" t="s">
        <v>5343</v>
      </c>
      <c r="C251" s="112"/>
      <c r="D251" s="143"/>
    </row>
    <row r="252" spans="1:4" ht="45" x14ac:dyDescent="0.2">
      <c r="A252" s="144" t="s">
        <v>425</v>
      </c>
      <c r="B252" s="145" t="s">
        <v>426</v>
      </c>
      <c r="C252" s="112"/>
      <c r="D252" s="143"/>
    </row>
    <row r="253" spans="1:4" ht="56.25" x14ac:dyDescent="0.2">
      <c r="A253" s="144" t="s">
        <v>427</v>
      </c>
      <c r="B253" s="145" t="s">
        <v>428</v>
      </c>
      <c r="C253" s="112"/>
      <c r="D253" s="143"/>
    </row>
    <row r="254" spans="1:4" ht="33.75" x14ac:dyDescent="0.2">
      <c r="A254" s="144" t="s">
        <v>429</v>
      </c>
      <c r="B254" s="145" t="s">
        <v>430</v>
      </c>
      <c r="C254" s="112"/>
      <c r="D254" s="143"/>
    </row>
    <row r="255" spans="1:4" x14ac:dyDescent="0.2">
      <c r="A255" s="144" t="s">
        <v>431</v>
      </c>
      <c r="B255" s="145" t="s">
        <v>432</v>
      </c>
      <c r="C255" s="112"/>
      <c r="D255" s="143"/>
    </row>
    <row r="256" spans="1:4" x14ac:dyDescent="0.2">
      <c r="A256" s="144"/>
      <c r="B256" s="145"/>
      <c r="C256" s="32" t="s">
        <v>0</v>
      </c>
      <c r="D256" s="143"/>
    </row>
    <row r="257" spans="1:4" x14ac:dyDescent="0.2">
      <c r="A257" s="150"/>
      <c r="B257" s="151"/>
      <c r="C257" s="34" t="s">
        <v>0</v>
      </c>
      <c r="D257" s="143" t="s">
        <v>0</v>
      </c>
    </row>
    <row r="258" spans="1:4" x14ac:dyDescent="0.2">
      <c r="A258" s="144" t="s">
        <v>433</v>
      </c>
      <c r="B258" s="145" t="s">
        <v>5344</v>
      </c>
      <c r="C258" s="112"/>
      <c r="D258" s="143"/>
    </row>
    <row r="259" spans="1:4" x14ac:dyDescent="0.2">
      <c r="A259" s="144"/>
      <c r="B259" s="145" t="s">
        <v>434</v>
      </c>
      <c r="C259" s="32" t="s">
        <v>0</v>
      </c>
      <c r="D259" s="143"/>
    </row>
    <row r="260" spans="1:4" x14ac:dyDescent="0.2">
      <c r="A260" s="144" t="s">
        <v>435</v>
      </c>
      <c r="B260" s="145" t="s">
        <v>436</v>
      </c>
      <c r="C260" s="112"/>
      <c r="D260" s="143"/>
    </row>
    <row r="261" spans="1:4" x14ac:dyDescent="0.2">
      <c r="A261" s="144" t="s">
        <v>437</v>
      </c>
      <c r="B261" s="145" t="s">
        <v>438</v>
      </c>
      <c r="C261" s="112"/>
      <c r="D261" s="143"/>
    </row>
    <row r="262" spans="1:4" x14ac:dyDescent="0.2">
      <c r="A262" s="144"/>
      <c r="B262" s="145"/>
      <c r="C262" s="160"/>
      <c r="D262" s="156"/>
    </row>
    <row r="263" spans="1:4" x14ac:dyDescent="0.2">
      <c r="A263" s="144"/>
      <c r="B263" s="146" t="s">
        <v>5345</v>
      </c>
      <c r="C263" s="160"/>
      <c r="D263" s="156"/>
    </row>
    <row r="264" spans="1:4" x14ac:dyDescent="0.2">
      <c r="A264" s="144" t="s">
        <v>439</v>
      </c>
      <c r="B264" s="145" t="s">
        <v>5346</v>
      </c>
      <c r="C264" s="160"/>
      <c r="D264" s="156"/>
    </row>
    <row r="265" spans="1:4" x14ac:dyDescent="0.2">
      <c r="A265" s="144" t="s">
        <v>441</v>
      </c>
      <c r="B265" s="145" t="s">
        <v>5347</v>
      </c>
      <c r="C265" s="160"/>
      <c r="D265" s="156"/>
    </row>
    <row r="266" spans="1:4" x14ac:dyDescent="0.2">
      <c r="A266" s="144"/>
      <c r="B266" s="145"/>
      <c r="C266" s="160"/>
      <c r="D266" s="156"/>
    </row>
    <row r="267" spans="1:4" x14ac:dyDescent="0.2">
      <c r="A267" s="144"/>
      <c r="B267" s="146" t="s">
        <v>5348</v>
      </c>
      <c r="C267" s="160"/>
      <c r="D267" s="156"/>
    </row>
    <row r="268" spans="1:4" x14ac:dyDescent="0.2">
      <c r="A268" s="144" t="s">
        <v>443</v>
      </c>
      <c r="B268" s="145" t="s">
        <v>5349</v>
      </c>
      <c r="C268" s="160"/>
      <c r="D268" s="156"/>
    </row>
    <row r="269" spans="1:4" x14ac:dyDescent="0.2">
      <c r="A269" s="144" t="s">
        <v>444</v>
      </c>
      <c r="B269" s="145" t="s">
        <v>5350</v>
      </c>
      <c r="C269" s="160"/>
      <c r="D269" s="156"/>
    </row>
    <row r="270" spans="1:4" x14ac:dyDescent="0.2">
      <c r="A270" s="196"/>
      <c r="B270" s="197"/>
      <c r="C270" s="198"/>
      <c r="D270" s="156"/>
    </row>
    <row r="271" spans="1:4" x14ac:dyDescent="0.2">
      <c r="A271" s="144" t="s">
        <v>446</v>
      </c>
      <c r="B271" s="145" t="s">
        <v>5351</v>
      </c>
      <c r="C271" s="160"/>
      <c r="D271" s="156"/>
    </row>
    <row r="272" spans="1:4" x14ac:dyDescent="0.2">
      <c r="A272" s="144" t="s">
        <v>449</v>
      </c>
      <c r="B272" s="145" t="s">
        <v>5352</v>
      </c>
      <c r="C272" s="160"/>
      <c r="D272" s="156"/>
    </row>
    <row r="273" spans="1:4" x14ac:dyDescent="0.2">
      <c r="A273" s="196"/>
      <c r="B273" s="197"/>
      <c r="C273" s="198"/>
      <c r="D273" s="156"/>
    </row>
    <row r="274" spans="1:4" x14ac:dyDescent="0.2">
      <c r="A274" s="144" t="s">
        <v>451</v>
      </c>
      <c r="B274" s="145" t="s">
        <v>5353</v>
      </c>
      <c r="C274" s="160"/>
      <c r="D274" s="156"/>
    </row>
    <row r="275" spans="1:4" x14ac:dyDescent="0.2">
      <c r="A275" s="144" t="s">
        <v>453</v>
      </c>
      <c r="B275" s="145" t="s">
        <v>5354</v>
      </c>
      <c r="C275" s="160"/>
      <c r="D275" s="156"/>
    </row>
    <row r="276" spans="1:4" x14ac:dyDescent="0.2">
      <c r="A276" s="196"/>
      <c r="B276" s="197"/>
      <c r="C276" s="198"/>
      <c r="D276" s="156"/>
    </row>
    <row r="277" spans="1:4" x14ac:dyDescent="0.2">
      <c r="A277" s="144" t="s">
        <v>455</v>
      </c>
      <c r="B277" s="145" t="s">
        <v>5355</v>
      </c>
      <c r="C277" s="160"/>
      <c r="D277" s="156"/>
    </row>
    <row r="278" spans="1:4" x14ac:dyDescent="0.2">
      <c r="A278" s="144" t="s">
        <v>457</v>
      </c>
      <c r="B278" s="145" t="s">
        <v>5356</v>
      </c>
      <c r="C278" s="160"/>
      <c r="D278" s="156"/>
    </row>
    <row r="279" spans="1:4" x14ac:dyDescent="0.2">
      <c r="A279" s="196"/>
      <c r="B279" s="197"/>
      <c r="C279" s="198"/>
      <c r="D279" s="156"/>
    </row>
    <row r="280" spans="1:4" x14ac:dyDescent="0.2">
      <c r="A280" s="144" t="s">
        <v>459</v>
      </c>
      <c r="B280" s="145" t="s">
        <v>5357</v>
      </c>
      <c r="C280" s="160"/>
      <c r="D280" s="156"/>
    </row>
    <row r="281" spans="1:4" x14ac:dyDescent="0.2">
      <c r="A281" s="144" t="s">
        <v>460</v>
      </c>
      <c r="B281" s="145" t="s">
        <v>5358</v>
      </c>
      <c r="C281" s="160"/>
      <c r="D281" s="156"/>
    </row>
    <row r="282" spans="1:4" x14ac:dyDescent="0.2">
      <c r="A282" s="196"/>
      <c r="B282" s="197"/>
      <c r="C282" s="198"/>
      <c r="D282" s="156"/>
    </row>
    <row r="283" spans="1:4" x14ac:dyDescent="0.2">
      <c r="A283" s="144" t="s">
        <v>461</v>
      </c>
      <c r="B283" s="145" t="s">
        <v>5359</v>
      </c>
      <c r="C283" s="160"/>
      <c r="D283" s="156"/>
    </row>
    <row r="284" spans="1:4" x14ac:dyDescent="0.2">
      <c r="A284" s="144" t="s">
        <v>462</v>
      </c>
      <c r="B284" s="145" t="s">
        <v>5360</v>
      </c>
      <c r="C284" s="160"/>
      <c r="D284" s="156"/>
    </row>
    <row r="285" spans="1:4" x14ac:dyDescent="0.2">
      <c r="A285" s="196"/>
      <c r="B285" s="197"/>
      <c r="C285" s="198"/>
      <c r="D285" s="156"/>
    </row>
    <row r="286" spans="1:4" x14ac:dyDescent="0.2">
      <c r="A286" s="144" t="s">
        <v>464</v>
      </c>
      <c r="B286" s="145" t="s">
        <v>5361</v>
      </c>
      <c r="C286" s="160"/>
      <c r="D286" s="156"/>
    </row>
    <row r="287" spans="1:4" x14ac:dyDescent="0.2">
      <c r="A287" s="144" t="s">
        <v>465</v>
      </c>
      <c r="B287" s="145" t="s">
        <v>5362</v>
      </c>
      <c r="C287" s="160"/>
      <c r="D287" s="156"/>
    </row>
    <row r="288" spans="1:4" x14ac:dyDescent="0.2">
      <c r="A288" s="196"/>
      <c r="B288" s="197"/>
      <c r="C288" s="198"/>
      <c r="D288" s="156"/>
    </row>
    <row r="289" spans="1:4" x14ac:dyDescent="0.2">
      <c r="A289" s="144" t="s">
        <v>466</v>
      </c>
      <c r="B289" s="145" t="s">
        <v>5363</v>
      </c>
      <c r="C289" s="160"/>
      <c r="D289" s="156"/>
    </row>
    <row r="290" spans="1:4" x14ac:dyDescent="0.2">
      <c r="A290" s="144" t="s">
        <v>467</v>
      </c>
      <c r="B290" s="145" t="s">
        <v>5364</v>
      </c>
      <c r="C290" s="160"/>
      <c r="D290" s="156"/>
    </row>
    <row r="291" spans="1:4" x14ac:dyDescent="0.2">
      <c r="A291" s="196"/>
      <c r="B291" s="197"/>
      <c r="C291" s="198"/>
      <c r="D291" s="156"/>
    </row>
    <row r="292" spans="1:4" x14ac:dyDescent="0.2">
      <c r="A292" s="144" t="s">
        <v>469</v>
      </c>
      <c r="B292" s="145" t="s">
        <v>5365</v>
      </c>
      <c r="C292" s="160"/>
      <c r="D292" s="156"/>
    </row>
    <row r="293" spans="1:4" x14ac:dyDescent="0.2">
      <c r="A293" s="144" t="s">
        <v>470</v>
      </c>
      <c r="B293" s="145" t="s">
        <v>5366</v>
      </c>
      <c r="C293" s="160"/>
      <c r="D293" s="156"/>
    </row>
    <row r="294" spans="1:4" x14ac:dyDescent="0.2">
      <c r="A294" s="196"/>
      <c r="B294" s="197"/>
      <c r="C294" s="198"/>
      <c r="D294" s="156"/>
    </row>
    <row r="295" spans="1:4" x14ac:dyDescent="0.2">
      <c r="A295" s="144" t="s">
        <v>471</v>
      </c>
      <c r="B295" s="145" t="s">
        <v>5367</v>
      </c>
      <c r="C295" s="160"/>
      <c r="D295" s="156"/>
    </row>
    <row r="296" spans="1:4" x14ac:dyDescent="0.2">
      <c r="A296" s="144" t="s">
        <v>472</v>
      </c>
      <c r="B296" s="145" t="s">
        <v>5368</v>
      </c>
      <c r="C296" s="160"/>
      <c r="D296" s="156"/>
    </row>
    <row r="297" spans="1:4" x14ac:dyDescent="0.2">
      <c r="A297" s="196"/>
      <c r="B297" s="197"/>
      <c r="C297" s="198"/>
      <c r="D297" s="156"/>
    </row>
    <row r="298" spans="1:4" ht="56.25" x14ac:dyDescent="0.2">
      <c r="A298" s="144"/>
      <c r="B298" s="146" t="s">
        <v>5369</v>
      </c>
      <c r="C298" s="32" t="s">
        <v>0</v>
      </c>
      <c r="D298" s="143"/>
    </row>
    <row r="299" spans="1:4" x14ac:dyDescent="0.2">
      <c r="A299" s="144"/>
      <c r="B299" s="145"/>
      <c r="C299" s="32" t="s">
        <v>0</v>
      </c>
      <c r="D299" s="143"/>
    </row>
    <row r="300" spans="1:4" x14ac:dyDescent="0.2">
      <c r="A300" s="144" t="s">
        <v>474</v>
      </c>
      <c r="B300" s="145" t="s">
        <v>440</v>
      </c>
      <c r="C300" s="113" t="s">
        <v>0</v>
      </c>
      <c r="D300" s="143" t="s">
        <v>0</v>
      </c>
    </row>
    <row r="301" spans="1:4" x14ac:dyDescent="0.2">
      <c r="A301" s="144"/>
      <c r="B301" s="145"/>
      <c r="C301" s="33" t="s">
        <v>0</v>
      </c>
      <c r="D301" s="143" t="s">
        <v>0</v>
      </c>
    </row>
    <row r="302" spans="1:4" x14ac:dyDescent="0.2">
      <c r="A302" s="144" t="s">
        <v>475</v>
      </c>
      <c r="B302" s="145" t="s">
        <v>442</v>
      </c>
      <c r="C302" s="112"/>
      <c r="D302" s="143"/>
    </row>
    <row r="303" spans="1:4" x14ac:dyDescent="0.2">
      <c r="A303" s="144"/>
      <c r="B303" s="145" t="s">
        <v>434</v>
      </c>
      <c r="C303" s="32" t="s">
        <v>0</v>
      </c>
      <c r="D303" s="143"/>
    </row>
    <row r="304" spans="1:4" x14ac:dyDescent="0.2">
      <c r="A304" s="144" t="s">
        <v>476</v>
      </c>
      <c r="B304" s="145" t="s">
        <v>5770</v>
      </c>
      <c r="C304" s="112"/>
      <c r="D304" s="143"/>
    </row>
    <row r="305" spans="1:4" x14ac:dyDescent="0.2">
      <c r="A305" s="144" t="s">
        <v>477</v>
      </c>
      <c r="B305" s="145" t="s">
        <v>445</v>
      </c>
      <c r="C305" s="112"/>
      <c r="D305" s="143"/>
    </row>
    <row r="306" spans="1:4" x14ac:dyDescent="0.2">
      <c r="A306" s="144"/>
      <c r="B306" s="145"/>
      <c r="C306" s="32" t="s">
        <v>0</v>
      </c>
      <c r="D306" s="143"/>
    </row>
    <row r="307" spans="1:4" x14ac:dyDescent="0.2">
      <c r="A307" s="144" t="s">
        <v>479</v>
      </c>
      <c r="B307" s="145" t="s">
        <v>447</v>
      </c>
      <c r="C307" s="114" t="s">
        <v>0</v>
      </c>
      <c r="D307" s="143"/>
    </row>
    <row r="308" spans="1:4" x14ac:dyDescent="0.2">
      <c r="A308" s="144"/>
      <c r="B308" s="145"/>
      <c r="C308" s="32" t="s">
        <v>0</v>
      </c>
      <c r="D308" s="143"/>
    </row>
    <row r="309" spans="1:4" ht="22.5" x14ac:dyDescent="0.2">
      <c r="A309" s="144"/>
      <c r="B309" s="145" t="s">
        <v>448</v>
      </c>
      <c r="C309" s="32" t="s">
        <v>0</v>
      </c>
      <c r="D309" s="143"/>
    </row>
    <row r="310" spans="1:4" x14ac:dyDescent="0.2">
      <c r="A310" s="144"/>
      <c r="B310" s="145"/>
      <c r="C310" s="32" t="s">
        <v>0</v>
      </c>
      <c r="D310" s="143"/>
    </row>
    <row r="311" spans="1:4" x14ac:dyDescent="0.2">
      <c r="A311" s="144" t="s">
        <v>480</v>
      </c>
      <c r="B311" s="145" t="s">
        <v>450</v>
      </c>
      <c r="C311" s="113" t="s">
        <v>0</v>
      </c>
      <c r="D311" s="143"/>
    </row>
    <row r="312" spans="1:4" x14ac:dyDescent="0.2">
      <c r="A312" s="144" t="s">
        <v>481</v>
      </c>
      <c r="B312" s="145" t="s">
        <v>452</v>
      </c>
      <c r="C312" s="115"/>
      <c r="D312" s="143" t="s">
        <v>0</v>
      </c>
    </row>
    <row r="313" spans="1:4" x14ac:dyDescent="0.2">
      <c r="A313" s="144" t="s">
        <v>482</v>
      </c>
      <c r="B313" s="145" t="s">
        <v>454</v>
      </c>
      <c r="C313" s="115"/>
      <c r="D313" s="143" t="s">
        <v>0</v>
      </c>
    </row>
    <row r="314" spans="1:4" x14ac:dyDescent="0.2">
      <c r="A314" s="144" t="s">
        <v>484</v>
      </c>
      <c r="B314" s="145" t="s">
        <v>456</v>
      </c>
      <c r="C314" s="115"/>
      <c r="D314" s="143" t="s">
        <v>0</v>
      </c>
    </row>
    <row r="315" spans="1:4" x14ac:dyDescent="0.2">
      <c r="A315" s="144"/>
      <c r="B315" s="145"/>
      <c r="C315" s="32" t="s">
        <v>0</v>
      </c>
      <c r="D315" s="143" t="s">
        <v>0</v>
      </c>
    </row>
    <row r="316" spans="1:4" x14ac:dyDescent="0.2">
      <c r="A316" s="144" t="s">
        <v>485</v>
      </c>
      <c r="B316" s="145" t="s">
        <v>458</v>
      </c>
      <c r="C316" s="114" t="s">
        <v>0</v>
      </c>
      <c r="D316" s="143" t="s">
        <v>0</v>
      </c>
    </row>
    <row r="317" spans="1:4" x14ac:dyDescent="0.2">
      <c r="A317" s="144" t="s">
        <v>486</v>
      </c>
      <c r="B317" s="145" t="s">
        <v>452</v>
      </c>
      <c r="C317" s="115"/>
      <c r="D317" s="143" t="s">
        <v>0</v>
      </c>
    </row>
    <row r="318" spans="1:4" x14ac:dyDescent="0.2">
      <c r="A318" s="144" t="s">
        <v>487</v>
      </c>
      <c r="B318" s="145" t="s">
        <v>454</v>
      </c>
      <c r="C318" s="115"/>
      <c r="D318" s="143" t="s">
        <v>0</v>
      </c>
    </row>
    <row r="319" spans="1:4" x14ac:dyDescent="0.2">
      <c r="A319" s="144" t="s">
        <v>489</v>
      </c>
      <c r="B319" s="145" t="s">
        <v>456</v>
      </c>
      <c r="C319" s="115"/>
      <c r="D319" s="143" t="s">
        <v>0</v>
      </c>
    </row>
    <row r="320" spans="1:4" x14ac:dyDescent="0.2">
      <c r="A320" s="144"/>
      <c r="B320" s="145"/>
      <c r="C320" s="32" t="s">
        <v>0</v>
      </c>
      <c r="D320" s="143" t="s">
        <v>0</v>
      </c>
    </row>
    <row r="321" spans="1:4" x14ac:dyDescent="0.2">
      <c r="A321" s="144" t="s">
        <v>490</v>
      </c>
      <c r="B321" s="145" t="s">
        <v>463</v>
      </c>
      <c r="C321" s="114" t="s">
        <v>0</v>
      </c>
      <c r="D321" s="143" t="s">
        <v>0</v>
      </c>
    </row>
    <row r="322" spans="1:4" x14ac:dyDescent="0.2">
      <c r="A322" s="144" t="s">
        <v>491</v>
      </c>
      <c r="B322" s="145" t="s">
        <v>452</v>
      </c>
      <c r="C322" s="115"/>
      <c r="D322" s="143" t="s">
        <v>0</v>
      </c>
    </row>
    <row r="323" spans="1:4" x14ac:dyDescent="0.2">
      <c r="A323" s="144" t="s">
        <v>492</v>
      </c>
      <c r="B323" s="145" t="s">
        <v>454</v>
      </c>
      <c r="C323" s="115"/>
      <c r="D323" s="143" t="s">
        <v>0</v>
      </c>
    </row>
    <row r="324" spans="1:4" x14ac:dyDescent="0.2">
      <c r="A324" s="144" t="s">
        <v>494</v>
      </c>
      <c r="B324" s="145" t="s">
        <v>456</v>
      </c>
      <c r="C324" s="115"/>
      <c r="D324" s="143" t="s">
        <v>0</v>
      </c>
    </row>
    <row r="325" spans="1:4" x14ac:dyDescent="0.2">
      <c r="A325" s="144"/>
      <c r="B325" s="145"/>
      <c r="C325" s="32" t="s">
        <v>0</v>
      </c>
      <c r="D325" s="143" t="s">
        <v>0</v>
      </c>
    </row>
    <row r="326" spans="1:4" x14ac:dyDescent="0.2">
      <c r="A326" s="144" t="s">
        <v>495</v>
      </c>
      <c r="B326" s="145" t="s">
        <v>468</v>
      </c>
      <c r="C326" s="113" t="s">
        <v>0</v>
      </c>
      <c r="D326" s="143"/>
    </row>
    <row r="327" spans="1:4" x14ac:dyDescent="0.2">
      <c r="A327" s="144" t="s">
        <v>496</v>
      </c>
      <c r="B327" s="145" t="s">
        <v>452</v>
      </c>
      <c r="C327" s="36"/>
      <c r="D327" s="143"/>
    </row>
    <row r="328" spans="1:4" x14ac:dyDescent="0.2">
      <c r="A328" s="144" t="s">
        <v>497</v>
      </c>
      <c r="B328" s="145" t="s">
        <v>454</v>
      </c>
      <c r="C328" s="36"/>
      <c r="D328" s="143"/>
    </row>
    <row r="329" spans="1:4" x14ac:dyDescent="0.2">
      <c r="A329" s="144" t="s">
        <v>499</v>
      </c>
      <c r="B329" s="145" t="s">
        <v>456</v>
      </c>
      <c r="C329" s="36"/>
      <c r="D329" s="143"/>
    </row>
    <row r="330" spans="1:4" x14ac:dyDescent="0.2">
      <c r="A330" s="144"/>
      <c r="B330" s="145"/>
      <c r="C330" s="32" t="s">
        <v>0</v>
      </c>
      <c r="D330" s="143" t="s">
        <v>0</v>
      </c>
    </row>
    <row r="331" spans="1:4" x14ac:dyDescent="0.2">
      <c r="A331" s="144" t="s">
        <v>500</v>
      </c>
      <c r="B331" s="145" t="s">
        <v>473</v>
      </c>
      <c r="C331" s="113" t="s">
        <v>0</v>
      </c>
      <c r="D331" s="143"/>
    </row>
    <row r="332" spans="1:4" x14ac:dyDescent="0.2">
      <c r="A332" s="144" t="s">
        <v>501</v>
      </c>
      <c r="B332" s="145" t="s">
        <v>452</v>
      </c>
      <c r="C332" s="36"/>
      <c r="D332" s="143"/>
    </row>
    <row r="333" spans="1:4" x14ac:dyDescent="0.2">
      <c r="A333" s="144" t="s">
        <v>502</v>
      </c>
      <c r="B333" s="145" t="s">
        <v>454</v>
      </c>
      <c r="C333" s="36"/>
      <c r="D333" s="143"/>
    </row>
    <row r="334" spans="1:4" x14ac:dyDescent="0.2">
      <c r="A334" s="144" t="s">
        <v>504</v>
      </c>
      <c r="B334" s="145" t="s">
        <v>456</v>
      </c>
      <c r="C334" s="36"/>
      <c r="D334" s="143"/>
    </row>
    <row r="335" spans="1:4" x14ac:dyDescent="0.2">
      <c r="A335" s="144"/>
      <c r="B335" s="145"/>
      <c r="C335" s="32" t="s">
        <v>0</v>
      </c>
      <c r="D335" s="143" t="s">
        <v>0</v>
      </c>
    </row>
    <row r="336" spans="1:4" x14ac:dyDescent="0.2">
      <c r="A336" s="144" t="s">
        <v>505</v>
      </c>
      <c r="B336" s="145" t="s">
        <v>478</v>
      </c>
      <c r="C336" s="114" t="s">
        <v>0</v>
      </c>
      <c r="D336" s="143" t="s">
        <v>0</v>
      </c>
    </row>
    <row r="337" spans="1:4" x14ac:dyDescent="0.2">
      <c r="A337" s="144" t="s">
        <v>506</v>
      </c>
      <c r="B337" s="145" t="s">
        <v>452</v>
      </c>
      <c r="C337" s="115"/>
      <c r="D337" s="143" t="s">
        <v>0</v>
      </c>
    </row>
    <row r="338" spans="1:4" x14ac:dyDescent="0.2">
      <c r="A338" s="144" t="s">
        <v>508</v>
      </c>
      <c r="B338" s="145" t="s">
        <v>454</v>
      </c>
      <c r="C338" s="115"/>
      <c r="D338" s="143" t="s">
        <v>0</v>
      </c>
    </row>
    <row r="339" spans="1:4" x14ac:dyDescent="0.2">
      <c r="A339" s="144" t="s">
        <v>511</v>
      </c>
      <c r="B339" s="145" t="s">
        <v>456</v>
      </c>
      <c r="C339" s="115"/>
      <c r="D339" s="143" t="s">
        <v>0</v>
      </c>
    </row>
    <row r="340" spans="1:4" x14ac:dyDescent="0.2">
      <c r="A340" s="144"/>
      <c r="B340" s="145"/>
      <c r="C340" s="32" t="s">
        <v>0</v>
      </c>
      <c r="D340" s="143" t="s">
        <v>0</v>
      </c>
    </row>
    <row r="341" spans="1:4" x14ac:dyDescent="0.2">
      <c r="A341" s="144" t="s">
        <v>512</v>
      </c>
      <c r="B341" s="145" t="s">
        <v>483</v>
      </c>
      <c r="C341" s="114" t="s">
        <v>0</v>
      </c>
      <c r="D341" s="143" t="s">
        <v>0</v>
      </c>
    </row>
    <row r="342" spans="1:4" x14ac:dyDescent="0.2">
      <c r="A342" s="144" t="s">
        <v>513</v>
      </c>
      <c r="B342" s="145" t="s">
        <v>452</v>
      </c>
      <c r="C342" s="115"/>
      <c r="D342" s="143" t="s">
        <v>0</v>
      </c>
    </row>
    <row r="343" spans="1:4" x14ac:dyDescent="0.2">
      <c r="A343" s="144" t="s">
        <v>514</v>
      </c>
      <c r="B343" s="145" t="s">
        <v>454</v>
      </c>
      <c r="C343" s="115"/>
      <c r="D343" s="143" t="s">
        <v>0</v>
      </c>
    </row>
    <row r="344" spans="1:4" x14ac:dyDescent="0.2">
      <c r="A344" s="144" t="s">
        <v>516</v>
      </c>
      <c r="B344" s="145" t="s">
        <v>456</v>
      </c>
      <c r="C344" s="115"/>
      <c r="D344" s="143" t="s">
        <v>0</v>
      </c>
    </row>
    <row r="345" spans="1:4" x14ac:dyDescent="0.2">
      <c r="A345" s="144"/>
      <c r="B345" s="145"/>
      <c r="C345" s="32" t="s">
        <v>0</v>
      </c>
      <c r="D345" s="143" t="s">
        <v>0</v>
      </c>
    </row>
    <row r="346" spans="1:4" x14ac:dyDescent="0.2">
      <c r="A346" s="144" t="s">
        <v>518</v>
      </c>
      <c r="B346" s="145" t="s">
        <v>488</v>
      </c>
      <c r="C346" s="114" t="s">
        <v>0</v>
      </c>
      <c r="D346" s="143" t="s">
        <v>0</v>
      </c>
    </row>
    <row r="347" spans="1:4" x14ac:dyDescent="0.2">
      <c r="A347" s="144" t="s">
        <v>520</v>
      </c>
      <c r="B347" s="145" t="s">
        <v>452</v>
      </c>
      <c r="C347" s="115"/>
      <c r="D347" s="143" t="s">
        <v>0</v>
      </c>
    </row>
    <row r="348" spans="1:4" x14ac:dyDescent="0.2">
      <c r="A348" s="144" t="s">
        <v>522</v>
      </c>
      <c r="B348" s="145" t="s">
        <v>454</v>
      </c>
      <c r="C348" s="115"/>
      <c r="D348" s="143" t="s">
        <v>0</v>
      </c>
    </row>
    <row r="349" spans="1:4" x14ac:dyDescent="0.2">
      <c r="A349" s="144" t="s">
        <v>524</v>
      </c>
      <c r="B349" s="145" t="s">
        <v>456</v>
      </c>
      <c r="C349" s="115"/>
      <c r="D349" s="143" t="s">
        <v>0</v>
      </c>
    </row>
    <row r="350" spans="1:4" x14ac:dyDescent="0.2">
      <c r="A350" s="144"/>
      <c r="B350" s="145"/>
      <c r="C350" s="32" t="s">
        <v>0</v>
      </c>
      <c r="D350" s="143" t="s">
        <v>0</v>
      </c>
    </row>
    <row r="351" spans="1:4" x14ac:dyDescent="0.2">
      <c r="A351" s="144" t="s">
        <v>527</v>
      </c>
      <c r="B351" s="145" t="s">
        <v>493</v>
      </c>
      <c r="C351" s="114" t="s">
        <v>0</v>
      </c>
      <c r="D351" s="143" t="s">
        <v>0</v>
      </c>
    </row>
    <row r="352" spans="1:4" x14ac:dyDescent="0.2">
      <c r="A352" s="144" t="s">
        <v>530</v>
      </c>
      <c r="B352" s="145" t="s">
        <v>452</v>
      </c>
      <c r="C352" s="115"/>
      <c r="D352" s="143" t="s">
        <v>0</v>
      </c>
    </row>
    <row r="353" spans="1:4" x14ac:dyDescent="0.2">
      <c r="A353" s="144" t="s">
        <v>532</v>
      </c>
      <c r="B353" s="145" t="s">
        <v>454</v>
      </c>
      <c r="C353" s="115"/>
      <c r="D353" s="143" t="s">
        <v>0</v>
      </c>
    </row>
    <row r="354" spans="1:4" x14ac:dyDescent="0.2">
      <c r="A354" s="144" t="s">
        <v>534</v>
      </c>
      <c r="B354" s="145" t="s">
        <v>456</v>
      </c>
      <c r="C354" s="115"/>
      <c r="D354" s="143" t="s">
        <v>0</v>
      </c>
    </row>
    <row r="355" spans="1:4" x14ac:dyDescent="0.2">
      <c r="A355" s="144"/>
      <c r="B355" s="145"/>
      <c r="C355" s="32" t="s">
        <v>0</v>
      </c>
      <c r="D355" s="143" t="s">
        <v>0</v>
      </c>
    </row>
    <row r="356" spans="1:4" x14ac:dyDescent="0.2">
      <c r="A356" s="144" t="s">
        <v>537</v>
      </c>
      <c r="B356" s="145" t="s">
        <v>498</v>
      </c>
      <c r="C356" s="114" t="s">
        <v>0</v>
      </c>
      <c r="D356" s="143" t="s">
        <v>0</v>
      </c>
    </row>
    <row r="357" spans="1:4" x14ac:dyDescent="0.2">
      <c r="A357" s="144" t="s">
        <v>539</v>
      </c>
      <c r="B357" s="145" t="s">
        <v>452</v>
      </c>
      <c r="C357" s="115"/>
      <c r="D357" s="143" t="s">
        <v>0</v>
      </c>
    </row>
    <row r="358" spans="1:4" x14ac:dyDescent="0.2">
      <c r="A358" s="144" t="s">
        <v>541</v>
      </c>
      <c r="B358" s="145" t="s">
        <v>454</v>
      </c>
      <c r="C358" s="115"/>
      <c r="D358" s="143" t="s">
        <v>0</v>
      </c>
    </row>
    <row r="359" spans="1:4" x14ac:dyDescent="0.2">
      <c r="A359" s="144" t="s">
        <v>545</v>
      </c>
      <c r="B359" s="145" t="s">
        <v>456</v>
      </c>
      <c r="C359" s="115"/>
      <c r="D359" s="143" t="s">
        <v>0</v>
      </c>
    </row>
    <row r="360" spans="1:4" x14ac:dyDescent="0.2">
      <c r="A360" s="144"/>
      <c r="B360" s="145"/>
      <c r="C360" s="32" t="s">
        <v>0</v>
      </c>
      <c r="D360" s="143" t="s">
        <v>0</v>
      </c>
    </row>
    <row r="361" spans="1:4" x14ac:dyDescent="0.2">
      <c r="A361" s="144" t="s">
        <v>546</v>
      </c>
      <c r="B361" s="145" t="s">
        <v>503</v>
      </c>
      <c r="C361" s="114" t="s">
        <v>0</v>
      </c>
      <c r="D361" s="143" t="s">
        <v>0</v>
      </c>
    </row>
    <row r="362" spans="1:4" x14ac:dyDescent="0.2">
      <c r="A362" s="144" t="s">
        <v>548</v>
      </c>
      <c r="B362" s="145" t="s">
        <v>452</v>
      </c>
      <c r="C362" s="115"/>
      <c r="D362" s="143" t="s">
        <v>0</v>
      </c>
    </row>
    <row r="363" spans="1:4" x14ac:dyDescent="0.2">
      <c r="A363" s="144" t="s">
        <v>550</v>
      </c>
      <c r="B363" s="145" t="s">
        <v>454</v>
      </c>
      <c r="C363" s="115"/>
      <c r="D363" s="143" t="s">
        <v>0</v>
      </c>
    </row>
    <row r="364" spans="1:4" x14ac:dyDescent="0.2">
      <c r="A364" s="144" t="s">
        <v>552</v>
      </c>
      <c r="B364" s="145" t="s">
        <v>456</v>
      </c>
      <c r="C364" s="115"/>
      <c r="D364" s="143" t="s">
        <v>0</v>
      </c>
    </row>
    <row r="365" spans="1:4" x14ac:dyDescent="0.2">
      <c r="A365" s="144"/>
      <c r="B365" s="145"/>
      <c r="C365" s="32" t="s">
        <v>0</v>
      </c>
      <c r="D365" s="143" t="s">
        <v>0</v>
      </c>
    </row>
    <row r="366" spans="1:4" x14ac:dyDescent="0.2">
      <c r="A366" s="144"/>
      <c r="B366" s="145" t="s">
        <v>507</v>
      </c>
      <c r="C366" s="32" t="s">
        <v>0</v>
      </c>
      <c r="D366" s="143" t="s">
        <v>0</v>
      </c>
    </row>
    <row r="367" spans="1:4" x14ac:dyDescent="0.2">
      <c r="A367" s="144" t="s">
        <v>553</v>
      </c>
      <c r="B367" s="145" t="s">
        <v>509</v>
      </c>
      <c r="C367" s="113" t="s">
        <v>0</v>
      </c>
      <c r="D367" s="143" t="s">
        <v>0</v>
      </c>
    </row>
    <row r="368" spans="1:4" x14ac:dyDescent="0.2">
      <c r="A368" s="144"/>
      <c r="B368" s="145"/>
      <c r="C368" s="33" t="s">
        <v>0</v>
      </c>
      <c r="D368" s="143" t="s">
        <v>0</v>
      </c>
    </row>
    <row r="369" spans="1:4" ht="22.5" x14ac:dyDescent="0.2">
      <c r="A369" s="144"/>
      <c r="B369" s="145" t="s">
        <v>510</v>
      </c>
      <c r="C369" s="33" t="s">
        <v>0</v>
      </c>
      <c r="D369" s="143" t="s">
        <v>0</v>
      </c>
    </row>
    <row r="370" spans="1:4" x14ac:dyDescent="0.2">
      <c r="A370" s="144"/>
      <c r="B370" s="145"/>
      <c r="C370" s="33" t="s">
        <v>0</v>
      </c>
      <c r="D370" s="143" t="s">
        <v>0</v>
      </c>
    </row>
    <row r="371" spans="1:4" ht="22.5" x14ac:dyDescent="0.2">
      <c r="A371" s="183" t="s">
        <v>557</v>
      </c>
      <c r="B371" s="189" t="s">
        <v>5370</v>
      </c>
      <c r="C371" s="113" t="s">
        <v>0</v>
      </c>
      <c r="D371" s="143" t="s">
        <v>0</v>
      </c>
    </row>
    <row r="372" spans="1:4" ht="22.5" x14ac:dyDescent="0.2">
      <c r="A372" s="183" t="s">
        <v>558</v>
      </c>
      <c r="B372" s="189" t="s">
        <v>5371</v>
      </c>
      <c r="C372" s="113" t="s">
        <v>0</v>
      </c>
      <c r="D372" s="143" t="s">
        <v>0</v>
      </c>
    </row>
    <row r="373" spans="1:4" ht="22.5" x14ac:dyDescent="0.2">
      <c r="A373" s="183" t="s">
        <v>560</v>
      </c>
      <c r="B373" s="189" t="s">
        <v>5372</v>
      </c>
      <c r="C373" s="113" t="s">
        <v>0</v>
      </c>
      <c r="D373" s="143" t="s">
        <v>0</v>
      </c>
    </row>
    <row r="374" spans="1:4" x14ac:dyDescent="0.2">
      <c r="A374" s="144"/>
      <c r="B374" s="145"/>
      <c r="C374" s="32" t="s">
        <v>0</v>
      </c>
      <c r="D374" s="143" t="s">
        <v>0</v>
      </c>
    </row>
    <row r="375" spans="1:4" x14ac:dyDescent="0.2">
      <c r="A375" s="161"/>
      <c r="B375" s="161"/>
      <c r="C375" s="34" t="s">
        <v>0</v>
      </c>
      <c r="D375" s="143" t="s">
        <v>0</v>
      </c>
    </row>
    <row r="376" spans="1:4" ht="22.5" x14ac:dyDescent="0.2">
      <c r="A376" s="144" t="s">
        <v>562</v>
      </c>
      <c r="B376" s="145" t="s">
        <v>515</v>
      </c>
      <c r="C376" s="111"/>
      <c r="D376" s="143"/>
    </row>
    <row r="377" spans="1:4" ht="22.5" x14ac:dyDescent="0.2">
      <c r="A377" s="144" t="s">
        <v>564</v>
      </c>
      <c r="B377" s="145" t="s">
        <v>517</v>
      </c>
      <c r="C377" s="112"/>
      <c r="D377" s="143"/>
    </row>
    <row r="378" spans="1:4" ht="22.5" x14ac:dyDescent="0.2">
      <c r="A378" s="144" t="s">
        <v>566</v>
      </c>
      <c r="B378" s="145" t="s">
        <v>519</v>
      </c>
      <c r="C378" s="112"/>
      <c r="D378" s="143"/>
    </row>
    <row r="379" spans="1:4" ht="22.5" x14ac:dyDescent="0.2">
      <c r="A379" s="144" t="s">
        <v>567</v>
      </c>
      <c r="B379" s="145" t="s">
        <v>517</v>
      </c>
      <c r="C379" s="112"/>
      <c r="D379" s="143"/>
    </row>
    <row r="380" spans="1:4" x14ac:dyDescent="0.2">
      <c r="A380" s="144"/>
      <c r="B380" s="145"/>
      <c r="C380" s="32" t="s">
        <v>0</v>
      </c>
      <c r="D380" s="143"/>
    </row>
    <row r="381" spans="1:4" x14ac:dyDescent="0.2">
      <c r="A381" s="144"/>
      <c r="B381" s="147" t="s">
        <v>521</v>
      </c>
      <c r="C381" s="32" t="s">
        <v>0</v>
      </c>
      <c r="D381" s="143"/>
    </row>
    <row r="382" spans="1:4" x14ac:dyDescent="0.2">
      <c r="A382" s="144"/>
      <c r="B382" s="145"/>
      <c r="C382" s="32" t="s">
        <v>0</v>
      </c>
      <c r="D382" s="143"/>
    </row>
    <row r="383" spans="1:4" ht="22.5" x14ac:dyDescent="0.2">
      <c r="A383" s="144" t="s">
        <v>569</v>
      </c>
      <c r="B383" s="145" t="s">
        <v>523</v>
      </c>
      <c r="C383" s="112"/>
      <c r="D383" s="143"/>
    </row>
    <row r="384" spans="1:4" ht="22.5" x14ac:dyDescent="0.2">
      <c r="A384" s="144" t="s">
        <v>571</v>
      </c>
      <c r="B384" s="145" t="s">
        <v>525</v>
      </c>
      <c r="C384" s="112"/>
      <c r="D384" s="143"/>
    </row>
    <row r="385" spans="1:4" x14ac:dyDescent="0.2">
      <c r="A385" s="144"/>
      <c r="B385" s="145"/>
      <c r="C385" s="32" t="s">
        <v>0</v>
      </c>
      <c r="D385" s="143"/>
    </row>
    <row r="386" spans="1:4" x14ac:dyDescent="0.2">
      <c r="A386" s="144"/>
      <c r="B386" s="147" t="s">
        <v>526</v>
      </c>
      <c r="C386" s="32" t="s">
        <v>0</v>
      </c>
      <c r="D386" s="143"/>
    </row>
    <row r="387" spans="1:4" x14ac:dyDescent="0.2">
      <c r="A387" s="144"/>
      <c r="B387" s="145"/>
      <c r="C387" s="32" t="s">
        <v>0</v>
      </c>
      <c r="D387" s="143"/>
    </row>
    <row r="388" spans="1:4" ht="45" x14ac:dyDescent="0.2">
      <c r="A388" s="144" t="s">
        <v>572</v>
      </c>
      <c r="B388" s="145" t="s">
        <v>528</v>
      </c>
      <c r="C388" s="112"/>
      <c r="D388" s="143"/>
    </row>
    <row r="389" spans="1:4" x14ac:dyDescent="0.2">
      <c r="A389" s="144"/>
      <c r="B389" s="145"/>
      <c r="C389" s="32" t="s">
        <v>0</v>
      </c>
      <c r="D389" s="143"/>
    </row>
    <row r="390" spans="1:4" x14ac:dyDescent="0.2">
      <c r="A390" s="144"/>
      <c r="B390" s="147" t="s">
        <v>529</v>
      </c>
      <c r="C390" s="32" t="s">
        <v>0</v>
      </c>
      <c r="D390" s="143"/>
    </row>
    <row r="391" spans="1:4" x14ac:dyDescent="0.2">
      <c r="A391" s="144"/>
      <c r="B391" s="145"/>
      <c r="C391" s="32" t="s">
        <v>0</v>
      </c>
      <c r="D391" s="143"/>
    </row>
    <row r="392" spans="1:4" ht="45" x14ac:dyDescent="0.2">
      <c r="A392" s="144" t="s">
        <v>573</v>
      </c>
      <c r="B392" s="145" t="s">
        <v>531</v>
      </c>
      <c r="C392" s="112"/>
      <c r="D392" s="143"/>
    </row>
    <row r="393" spans="1:4" ht="33.75" x14ac:dyDescent="0.2">
      <c r="A393" s="144" t="s">
        <v>574</v>
      </c>
      <c r="B393" s="145" t="s">
        <v>533</v>
      </c>
      <c r="C393" s="112"/>
      <c r="D393" s="143"/>
    </row>
    <row r="394" spans="1:4" x14ac:dyDescent="0.2">
      <c r="A394" s="144" t="s">
        <v>575</v>
      </c>
      <c r="B394" s="145" t="s">
        <v>535</v>
      </c>
      <c r="C394" s="112"/>
      <c r="D394" s="143"/>
    </row>
    <row r="395" spans="1:4" x14ac:dyDescent="0.2">
      <c r="A395" s="144"/>
      <c r="B395" s="145" t="s">
        <v>536</v>
      </c>
      <c r="C395" s="32" t="s">
        <v>0</v>
      </c>
      <c r="D395" s="143"/>
    </row>
    <row r="396" spans="1:4" ht="33.75" x14ac:dyDescent="0.2">
      <c r="A396" s="144" t="s">
        <v>577</v>
      </c>
      <c r="B396" s="145" t="s">
        <v>538</v>
      </c>
      <c r="C396" s="112"/>
      <c r="D396" s="143"/>
    </row>
    <row r="397" spans="1:4" ht="22.5" x14ac:dyDescent="0.2">
      <c r="A397" s="144" t="s">
        <v>580</v>
      </c>
      <c r="B397" s="145" t="s">
        <v>540</v>
      </c>
      <c r="C397" s="112"/>
      <c r="D397" s="143"/>
    </row>
    <row r="398" spans="1:4" ht="33.75" x14ac:dyDescent="0.2">
      <c r="A398" s="144" t="s">
        <v>581</v>
      </c>
      <c r="B398" s="145" t="s">
        <v>542</v>
      </c>
      <c r="C398" s="111"/>
      <c r="D398" s="143"/>
    </row>
    <row r="399" spans="1:4" x14ac:dyDescent="0.2">
      <c r="A399" s="144"/>
      <c r="B399" s="145"/>
      <c r="C399" s="32" t="s">
        <v>0</v>
      </c>
      <c r="D399" s="143"/>
    </row>
    <row r="400" spans="1:4" x14ac:dyDescent="0.2">
      <c r="A400" s="144"/>
      <c r="B400" s="147" t="s">
        <v>543</v>
      </c>
      <c r="C400" s="32" t="s">
        <v>0</v>
      </c>
      <c r="D400" s="143"/>
    </row>
    <row r="401" spans="1:4" x14ac:dyDescent="0.2">
      <c r="A401" s="144"/>
      <c r="B401" s="145"/>
      <c r="C401" s="32" t="s">
        <v>0</v>
      </c>
      <c r="D401" s="143"/>
    </row>
    <row r="402" spans="1:4" x14ac:dyDescent="0.2">
      <c r="A402" s="144"/>
      <c r="B402" s="148" t="s">
        <v>544</v>
      </c>
      <c r="C402" s="32" t="s">
        <v>0</v>
      </c>
      <c r="D402" s="143"/>
    </row>
    <row r="403" spans="1:4" x14ac:dyDescent="0.2">
      <c r="A403" s="144"/>
      <c r="B403" s="145"/>
      <c r="C403" s="33" t="s">
        <v>0</v>
      </c>
      <c r="D403" s="143" t="s">
        <v>0</v>
      </c>
    </row>
    <row r="404" spans="1:4" ht="101.25" x14ac:dyDescent="0.2">
      <c r="A404" s="144" t="s">
        <v>584</v>
      </c>
      <c r="B404" s="145" t="s">
        <v>5373</v>
      </c>
      <c r="C404" s="112"/>
      <c r="D404" s="143"/>
    </row>
    <row r="405" spans="1:4" ht="33.75" x14ac:dyDescent="0.2">
      <c r="A405" s="144" t="s">
        <v>5374</v>
      </c>
      <c r="B405" s="145" t="s">
        <v>547</v>
      </c>
      <c r="C405" s="112"/>
      <c r="D405" s="143"/>
    </row>
    <row r="406" spans="1:4" ht="90" x14ac:dyDescent="0.2">
      <c r="A406" s="144" t="s">
        <v>5375</v>
      </c>
      <c r="B406" s="145" t="s">
        <v>5376</v>
      </c>
      <c r="C406" s="112"/>
      <c r="D406" s="143"/>
    </row>
    <row r="407" spans="1:4" ht="22.5" x14ac:dyDescent="0.2">
      <c r="A407" s="144"/>
      <c r="B407" s="145" t="s">
        <v>549</v>
      </c>
      <c r="C407" s="32" t="s">
        <v>0</v>
      </c>
      <c r="D407" s="143"/>
    </row>
    <row r="408" spans="1:4" ht="33.75" x14ac:dyDescent="0.2">
      <c r="A408" s="144" t="s">
        <v>5377</v>
      </c>
      <c r="B408" s="145" t="s">
        <v>551</v>
      </c>
      <c r="C408" s="112"/>
      <c r="D408" s="143"/>
    </row>
    <row r="409" spans="1:4" ht="45" x14ac:dyDescent="0.2">
      <c r="A409" s="144" t="s">
        <v>5378</v>
      </c>
      <c r="B409" s="145" t="s">
        <v>5379</v>
      </c>
      <c r="C409" s="112"/>
      <c r="D409" s="143"/>
    </row>
    <row r="410" spans="1:4" x14ac:dyDescent="0.2">
      <c r="A410" s="144"/>
      <c r="B410" s="145"/>
      <c r="C410" s="32" t="s">
        <v>0</v>
      </c>
      <c r="D410" s="143"/>
    </row>
    <row r="411" spans="1:4" ht="56.25" x14ac:dyDescent="0.2">
      <c r="A411" s="144" t="s">
        <v>5380</v>
      </c>
      <c r="B411" s="145" t="s">
        <v>554</v>
      </c>
      <c r="C411" s="112"/>
      <c r="D411" s="143"/>
    </row>
    <row r="412" spans="1:4" x14ac:dyDescent="0.2">
      <c r="A412" s="144"/>
      <c r="B412" s="145"/>
      <c r="C412" s="32" t="s">
        <v>0</v>
      </c>
      <c r="D412" s="143"/>
    </row>
    <row r="413" spans="1:4" x14ac:dyDescent="0.2">
      <c r="A413" s="144"/>
      <c r="B413" s="148" t="s">
        <v>555</v>
      </c>
      <c r="C413" s="32" t="s">
        <v>0</v>
      </c>
      <c r="D413" s="143"/>
    </row>
    <row r="414" spans="1:4" x14ac:dyDescent="0.2">
      <c r="A414" s="144"/>
      <c r="B414" s="145"/>
      <c r="C414" s="33" t="s">
        <v>0</v>
      </c>
      <c r="D414" s="143" t="s">
        <v>0</v>
      </c>
    </row>
    <row r="415" spans="1:4" ht="22.5" x14ac:dyDescent="0.2">
      <c r="A415" s="144"/>
      <c r="B415" s="145" t="s">
        <v>556</v>
      </c>
      <c r="C415" s="33" t="s">
        <v>0</v>
      </c>
      <c r="D415" s="143"/>
    </row>
    <row r="416" spans="1:4" x14ac:dyDescent="0.2">
      <c r="A416" s="144"/>
      <c r="B416" s="145"/>
      <c r="C416" s="33" t="s">
        <v>0</v>
      </c>
      <c r="D416" s="143" t="s">
        <v>0</v>
      </c>
    </row>
    <row r="417" spans="1:4" ht="33.75" x14ac:dyDescent="0.2">
      <c r="A417" s="144" t="s">
        <v>5381</v>
      </c>
      <c r="B417" s="145" t="s">
        <v>5382</v>
      </c>
      <c r="C417" s="112"/>
      <c r="D417" s="143"/>
    </row>
    <row r="418" spans="1:4" ht="90" x14ac:dyDescent="0.2">
      <c r="A418" s="144" t="s">
        <v>5383</v>
      </c>
      <c r="B418" s="145" t="s">
        <v>559</v>
      </c>
      <c r="C418" s="112"/>
      <c r="D418" s="143"/>
    </row>
    <row r="419" spans="1:4" ht="33.75" x14ac:dyDescent="0.2">
      <c r="A419" s="144" t="s">
        <v>5384</v>
      </c>
      <c r="B419" s="145" t="s">
        <v>561</v>
      </c>
      <c r="C419" s="112"/>
      <c r="D419" s="143"/>
    </row>
    <row r="420" spans="1:4" ht="33.75" x14ac:dyDescent="0.2">
      <c r="A420" s="144" t="s">
        <v>5385</v>
      </c>
      <c r="B420" s="145" t="s">
        <v>563</v>
      </c>
      <c r="C420" s="112"/>
      <c r="D420" s="143"/>
    </row>
    <row r="421" spans="1:4" ht="56.25" x14ac:dyDescent="0.2">
      <c r="A421" s="144" t="s">
        <v>5386</v>
      </c>
      <c r="B421" s="145" t="s">
        <v>565</v>
      </c>
      <c r="C421" s="112"/>
      <c r="D421" s="143"/>
    </row>
    <row r="422" spans="1:4" ht="45" x14ac:dyDescent="0.2">
      <c r="A422" s="144" t="s">
        <v>5387</v>
      </c>
      <c r="B422" s="145" t="s">
        <v>5388</v>
      </c>
      <c r="C422" s="112"/>
      <c r="D422" s="143"/>
    </row>
    <row r="423" spans="1:4" ht="56.25" x14ac:dyDescent="0.2">
      <c r="A423" s="144" t="s">
        <v>5389</v>
      </c>
      <c r="B423" s="145" t="s">
        <v>568</v>
      </c>
      <c r="C423" s="112"/>
      <c r="D423" s="143"/>
    </row>
    <row r="424" spans="1:4" ht="56.25" x14ac:dyDescent="0.2">
      <c r="A424" s="144" t="s">
        <v>5390</v>
      </c>
      <c r="B424" s="145" t="s">
        <v>570</v>
      </c>
      <c r="C424" s="112"/>
      <c r="D424" s="143"/>
    </row>
    <row r="425" spans="1:4" ht="135" x14ac:dyDescent="0.2">
      <c r="A425" s="144" t="s">
        <v>5391</v>
      </c>
      <c r="B425" s="145" t="s">
        <v>5392</v>
      </c>
      <c r="C425" s="112"/>
      <c r="D425" s="143"/>
    </row>
    <row r="426" spans="1:4" ht="78.75" x14ac:dyDescent="0.2">
      <c r="A426" s="144" t="s">
        <v>5393</v>
      </c>
      <c r="B426" s="145" t="s">
        <v>5394</v>
      </c>
      <c r="C426" s="112"/>
      <c r="D426" s="143"/>
    </row>
    <row r="427" spans="1:4" ht="45" x14ac:dyDescent="0.2">
      <c r="A427" s="144" t="s">
        <v>5395</v>
      </c>
      <c r="B427" s="145" t="s">
        <v>5396</v>
      </c>
      <c r="C427" s="112"/>
      <c r="D427" s="143"/>
    </row>
    <row r="428" spans="1:4" ht="135" x14ac:dyDescent="0.2">
      <c r="A428" s="144" t="s">
        <v>5397</v>
      </c>
      <c r="B428" s="145" t="s">
        <v>5398</v>
      </c>
      <c r="C428" s="112"/>
      <c r="D428" s="143"/>
    </row>
    <row r="429" spans="1:4" ht="45" x14ac:dyDescent="0.2">
      <c r="A429" s="144" t="s">
        <v>5399</v>
      </c>
      <c r="B429" s="145" t="s">
        <v>576</v>
      </c>
      <c r="C429" s="112"/>
      <c r="D429" s="143"/>
    </row>
    <row r="430" spans="1:4" ht="33.75" x14ac:dyDescent="0.2">
      <c r="A430" s="144" t="s">
        <v>5400</v>
      </c>
      <c r="B430" s="145" t="s">
        <v>578</v>
      </c>
      <c r="C430" s="112"/>
      <c r="D430" s="143"/>
    </row>
    <row r="431" spans="1:4" x14ac:dyDescent="0.2">
      <c r="A431" s="144"/>
      <c r="B431" s="145"/>
      <c r="C431" s="32" t="s">
        <v>0</v>
      </c>
      <c r="D431" s="143"/>
    </row>
    <row r="432" spans="1:4" x14ac:dyDescent="0.2">
      <c r="A432" s="144"/>
      <c r="B432" s="147" t="s">
        <v>579</v>
      </c>
      <c r="C432" s="32" t="s">
        <v>0</v>
      </c>
      <c r="D432" s="143"/>
    </row>
    <row r="433" spans="1:4" x14ac:dyDescent="0.2">
      <c r="A433" s="144"/>
      <c r="B433" s="145"/>
      <c r="C433" s="32" t="s">
        <v>0</v>
      </c>
      <c r="D433" s="143"/>
    </row>
    <row r="434" spans="1:4" ht="33.75" x14ac:dyDescent="0.2">
      <c r="A434" s="144" t="s">
        <v>5401</v>
      </c>
      <c r="B434" s="145" t="s">
        <v>5402</v>
      </c>
      <c r="C434" s="112"/>
      <c r="D434" s="143"/>
    </row>
    <row r="435" spans="1:4" ht="33.75" x14ac:dyDescent="0.2">
      <c r="A435" s="144" t="s">
        <v>5403</v>
      </c>
      <c r="B435" s="145" t="s">
        <v>582</v>
      </c>
      <c r="C435" s="112"/>
      <c r="D435" s="143"/>
    </row>
    <row r="436" spans="1:4" x14ac:dyDescent="0.2">
      <c r="A436" s="144"/>
      <c r="B436" s="145"/>
      <c r="C436" s="32" t="s">
        <v>0</v>
      </c>
      <c r="D436" s="143"/>
    </row>
    <row r="437" spans="1:4" x14ac:dyDescent="0.2">
      <c r="A437" s="144"/>
      <c r="B437" s="147" t="s">
        <v>583</v>
      </c>
      <c r="C437" s="32" t="s">
        <v>0</v>
      </c>
      <c r="D437" s="143"/>
    </row>
    <row r="438" spans="1:4" x14ac:dyDescent="0.2">
      <c r="A438" s="144"/>
      <c r="B438" s="145"/>
      <c r="C438" s="32" t="s">
        <v>0</v>
      </c>
      <c r="D438" s="143"/>
    </row>
    <row r="439" spans="1:4" x14ac:dyDescent="0.2">
      <c r="A439" s="144" t="s">
        <v>5404</v>
      </c>
      <c r="B439" s="145" t="s">
        <v>585</v>
      </c>
      <c r="C439" s="112"/>
      <c r="D439" s="143"/>
    </row>
    <row r="440" spans="1:4" ht="8.1" customHeight="1" x14ac:dyDescent="0.2">
      <c r="A440" s="38" t="s">
        <v>0</v>
      </c>
      <c r="B440" s="157"/>
      <c r="C440" s="39"/>
      <c r="D440" s="143"/>
    </row>
  </sheetData>
  <sheetProtection password="C9D6" sheet="1" objects="1" scenarios="1" formatCells="0" formatColumns="0" formatRows="0" autoFilter="0"/>
  <dataConsolidate/>
  <dataValidations count="10">
    <dataValidation type="list" allowBlank="1" showInputMessage="1" showErrorMessage="1" errorTitle="SAT" error="El valor seleccionado no existe en la lista, por favor selecione una opción Válida" promptTitle="Seleccione un valor de la lista" prompt="SAT" sqref="C182">
      <formula1>CATALOGCOLUMNFILTERED40</formula1>
    </dataValidation>
    <dataValidation type="list" allowBlank="1" showInputMessage="1" showErrorMessage="1" errorTitle="SAT" error="El valor seleccionado no existe en la lista, por favor selecione una opción Válida" promptTitle="Seleccione un valor de la lista" prompt="SAT" sqref="C75 C434:C435 C424:C430 C411 C408:C409 C405 C396:C398 C392:C394 C388 C383:C384 C304:C305 C260:C261 C255 C242:C253 C229:C238 C227 C222 C205:C214 C192:C201 C187 C166:C170 C138 C131:C132">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74">
      <formula1>CATALOGCOLUMNFILTERED39</formula1>
    </dataValidation>
    <dataValidation type="list" allowBlank="1" showInputMessage="1" showErrorMessage="1" errorTitle="SAT" error="El valor seleccionado no existe en la lista, por favor selecione una opción Válida" promptTitle="Seleccione un valor de la lista" prompt="SAT" sqref="C42">
      <formula1>CATALOGCOLUMNFILTERED14</formula1>
    </dataValidation>
    <dataValidation type="list" allowBlank="1" showInputMessage="1" showErrorMessage="1" errorTitle="SAT" error="El valor seleccionado no existe en la lista, por favor selecione una opción Válida" promptTitle="Seleccione un valor de la lista" prompt="SAT" sqref="C34">
      <formula1>CATALOGCOLUMNFILTERED16</formula1>
    </dataValidation>
    <dataValidation type="list" allowBlank="1" showInputMessage="1" showErrorMessage="1" errorTitle="SAT" error="El valor seleccionado no existe en la lista, por favor selecione una opción Válida" promptTitle="Seleccione un valor de la lista" prompt="SAT" sqref="C21:C22">
      <formula1>CATALOGCOLUMNFILTERED11</formula1>
    </dataValidation>
    <dataValidation type="list" allowBlank="1" showInputMessage="1" showErrorMessage="1" errorTitle="SAT" error="El valor seleccionado no existe en la lista, por favor selecione una opción Válida" promptTitle="Seleccione un valor de la lista" prompt="SAT" sqref="C439 C417:C423 C406 C404 C376:C379 C302 C258 C254 C240:C241 C228 C223:C226 C221 C216 C191 C186 C180 C173:C176 C162 C160 C156 C148:C151 C139 C136 C134 C128:C129 C123:C126 C116:C121 C108:C109 C100:C101 C96:C98 C83 C71 C68 C64 C61:C62 C57:C59 C44 C23:C26 C15:C20 C9:C11">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3">
      <formula1>CATALOGCOLUMNFILTERED9</formula1>
    </dataValidation>
    <dataValidation type="list" allowBlank="1" showInputMessage="1" showErrorMessage="1" sqref="C7">
      <formula1>INDIRECT(IFERROR(VLOOKUP(C5,ADMIN_CAT,2,FALSE),""))</formula1>
    </dataValidation>
    <dataValidation type="list" allowBlank="1" showInputMessage="1" showErrorMessage="1" sqref="C5">
      <formula1>IF(X1=1,SEDE_GRANDES,IF(X1=2,CATALOGCOLUMN141,IF(X1=3,SEDE_HIDROCARBUROS)))</formula1>
    </dataValidation>
  </dataValidations>
  <pageMargins left="0.7" right="0.7" top="0.75" bottom="0.75" header="0.3" footer="0.3"/>
  <pageSetup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44"/>
  <sheetViews>
    <sheetView zoomScaleNormal="100" workbookViewId="0"/>
  </sheetViews>
  <sheetFormatPr defaultColWidth="11.5703125" defaultRowHeight="15" x14ac:dyDescent="0.25"/>
  <cols>
    <col min="1" max="1" width="14.28515625" style="107" customWidth="1"/>
    <col min="2" max="2" width="35.7109375" style="107" customWidth="1"/>
    <col min="3" max="13" width="18.7109375" style="107" customWidth="1"/>
    <col min="14" max="14" width="1.7109375" style="107" customWidth="1"/>
    <col min="15" max="16384" width="11.5703125" style="107"/>
  </cols>
  <sheetData>
    <row r="1" spans="1:14" ht="23.25" x14ac:dyDescent="0.25">
      <c r="A1" s="42" t="s">
        <v>0</v>
      </c>
      <c r="B1" s="41" t="s">
        <v>5602</v>
      </c>
      <c r="C1" s="41"/>
      <c r="D1" s="41"/>
      <c r="E1" s="41" t="s">
        <v>0</v>
      </c>
      <c r="F1" s="41" t="s">
        <v>0</v>
      </c>
      <c r="G1" s="41" t="s">
        <v>0</v>
      </c>
      <c r="H1" s="41" t="s">
        <v>0</v>
      </c>
      <c r="I1" s="41" t="s">
        <v>0</v>
      </c>
      <c r="J1" s="42" t="s">
        <v>0</v>
      </c>
      <c r="K1" s="42" t="s">
        <v>0</v>
      </c>
      <c r="L1" s="42" t="s">
        <v>0</v>
      </c>
      <c r="M1" s="42" t="s">
        <v>0</v>
      </c>
      <c r="N1" s="69" t="s">
        <v>0</v>
      </c>
    </row>
    <row r="2" spans="1:14" ht="90" x14ac:dyDescent="0.25">
      <c r="A2" s="121" t="s">
        <v>5597</v>
      </c>
      <c r="B2" s="121" t="s">
        <v>5598</v>
      </c>
      <c r="C2" s="45">
        <v>2017</v>
      </c>
      <c r="D2" s="45">
        <v>2016</v>
      </c>
      <c r="E2" s="44" t="s">
        <v>1208</v>
      </c>
      <c r="F2" s="44" t="s">
        <v>1209</v>
      </c>
      <c r="G2" s="44" t="s">
        <v>1210</v>
      </c>
      <c r="H2" s="44" t="s">
        <v>591</v>
      </c>
      <c r="I2" s="45" t="s">
        <v>1211</v>
      </c>
      <c r="J2" s="45" t="s">
        <v>5665</v>
      </c>
      <c r="K2" s="45" t="s">
        <v>5666</v>
      </c>
      <c r="L2" s="45" t="s">
        <v>5667</v>
      </c>
      <c r="M2" s="45" t="s">
        <v>5668</v>
      </c>
      <c r="N2" s="69" t="s">
        <v>0</v>
      </c>
    </row>
    <row r="3" spans="1:14" x14ac:dyDescent="0.25">
      <c r="A3" s="163"/>
      <c r="B3" s="160"/>
      <c r="C3" s="47"/>
      <c r="D3" s="47"/>
      <c r="E3" s="47"/>
      <c r="F3" s="47"/>
      <c r="G3" s="47"/>
      <c r="H3" s="47"/>
      <c r="I3" s="47"/>
      <c r="J3" s="47"/>
      <c r="K3" s="47"/>
      <c r="L3" s="47"/>
      <c r="M3" s="47"/>
      <c r="N3" s="69"/>
    </row>
    <row r="4" spans="1:14" x14ac:dyDescent="0.25">
      <c r="A4" s="163"/>
      <c r="B4" s="51" t="s">
        <v>5626</v>
      </c>
      <c r="C4" s="49"/>
      <c r="D4" s="49"/>
      <c r="E4" s="49"/>
      <c r="F4" s="49"/>
      <c r="G4" s="49"/>
      <c r="H4" s="49"/>
      <c r="I4" s="49"/>
      <c r="J4" s="47"/>
      <c r="K4" s="47"/>
      <c r="L4" s="47"/>
      <c r="M4" s="47"/>
      <c r="N4" s="69"/>
    </row>
    <row r="5" spans="1:14" x14ac:dyDescent="0.25">
      <c r="A5" s="163"/>
      <c r="B5" s="160"/>
      <c r="C5" s="47"/>
      <c r="D5" s="47"/>
      <c r="E5" s="71"/>
      <c r="F5" s="71"/>
      <c r="G5" s="71"/>
      <c r="H5" s="71"/>
      <c r="I5" s="47"/>
      <c r="J5" s="47"/>
      <c r="K5" s="47"/>
      <c r="L5" s="47"/>
      <c r="M5" s="47"/>
      <c r="N5" s="69"/>
    </row>
    <row r="6" spans="1:14" ht="22.5" x14ac:dyDescent="0.25">
      <c r="A6" s="162" t="s">
        <v>1212</v>
      </c>
      <c r="B6" s="153" t="s">
        <v>1213</v>
      </c>
      <c r="C6" s="116">
        <f>J6+K6</f>
        <v>0</v>
      </c>
      <c r="D6" s="116">
        <f>L6+M6</f>
        <v>0</v>
      </c>
      <c r="E6" s="59" t="str">
        <f>IFERROR(TRUNC(IF(C6&lt;&gt;0,C6/$C$43,"")*100,2),"")</f>
        <v/>
      </c>
      <c r="F6" s="59" t="str">
        <f>IFERROR(TRUNC(IF(D6&lt;&gt;0,D6/$D$43,"")*100,2),"")</f>
        <v/>
      </c>
      <c r="G6" s="60" t="str">
        <f>IF(OR(C6&lt;&gt;0,D6&lt;&gt;0),C6-D6,"")</f>
        <v/>
      </c>
      <c r="H6" s="59" t="str">
        <f>IFERROR(ABS(IF(G6&lt;&gt;0,IF(D6&lt;&gt;0,TRUNC(G6/D6*100,2),IF(C6&lt;&gt;0,TRUNC(G6/C6*100,2),"")),"")),"")</f>
        <v/>
      </c>
      <c r="I6" s="108" t="str">
        <f>IF(AND($C$43=0,$D$43=0),"",IF(OR(N(E6)&lt;&gt;0,N(F6)&lt;&gt;0),IF(OR(N(E6)&gt;4,N(F6)&gt;4),IF(N(H6)&gt;14,"SI","NO"),"NO"),"NO"))</f>
        <v/>
      </c>
      <c r="J6" s="116"/>
      <c r="K6" s="116"/>
      <c r="L6" s="116"/>
      <c r="M6" s="117"/>
      <c r="N6" s="69"/>
    </row>
    <row r="7" spans="1:14" ht="22.5" x14ac:dyDescent="0.25">
      <c r="A7" s="162" t="s">
        <v>1214</v>
      </c>
      <c r="B7" s="153" t="s">
        <v>5696</v>
      </c>
      <c r="C7" s="116">
        <f>J7+K7</f>
        <v>0</v>
      </c>
      <c r="D7" s="116">
        <f>L7+M7</f>
        <v>0</v>
      </c>
      <c r="E7" s="55" t="str">
        <f>IFERROR(TRUNC(IF(C7&lt;&gt;0,C7/$C$43,"")*100,2),"")</f>
        <v/>
      </c>
      <c r="F7" s="55" t="str">
        <f>IFERROR(TRUNC(IF(D7&lt;&gt;0,D7/$D$43,"")*100,2),"")</f>
        <v/>
      </c>
      <c r="G7" s="56" t="str">
        <f>IF(OR(C7&lt;&gt;0,D7&lt;&gt;0),C7-D7,"")</f>
        <v/>
      </c>
      <c r="H7" s="55" t="str">
        <f>IFERROR(ABS(IF(G7&lt;&gt;0,IF(D7&lt;&gt;0,TRUNC(G7/D7*100,2),IF(C7&lt;&gt;0,TRUNC(G7/C7*100,2),"")),"")),"")</f>
        <v/>
      </c>
      <c r="I7" s="108" t="str">
        <f>IF(AND($C$43=0,$D$43=0),"",IF(OR(N(E7)&lt;&gt;0,N(F7)&lt;&gt;0),IF(OR(N(E7)&gt;4,N(F7)&gt;4),IF(N(H7)&gt;14,"SI","NO"),"NO"),"NO"))</f>
        <v/>
      </c>
      <c r="J7" s="116"/>
      <c r="K7" s="116"/>
      <c r="L7" s="116"/>
      <c r="M7" s="117"/>
      <c r="N7" s="69"/>
    </row>
    <row r="8" spans="1:14" ht="22.5" x14ac:dyDescent="0.25">
      <c r="A8" s="162" t="s">
        <v>1215</v>
      </c>
      <c r="B8" s="153" t="s">
        <v>1216</v>
      </c>
      <c r="C8" s="54">
        <f>ROUND(SUM(C6:C7),0)</f>
        <v>0</v>
      </c>
      <c r="D8" s="54">
        <f>ROUND(SUM(D6:D7),0)</f>
        <v>0</v>
      </c>
      <c r="E8" s="29"/>
      <c r="F8" s="29"/>
      <c r="G8" s="29"/>
      <c r="H8" s="29"/>
      <c r="I8" s="29"/>
      <c r="J8" s="54">
        <f>ROUND(SUM(J6:J7),0)</f>
        <v>0</v>
      </c>
      <c r="K8" s="54">
        <f>ROUND(SUM(K6:K7),0)</f>
        <v>0</v>
      </c>
      <c r="L8" s="54">
        <f>ROUND(SUM(L6:L7),0)</f>
        <v>0</v>
      </c>
      <c r="M8" s="54">
        <f>ROUND(SUM(M6:M7),0)</f>
        <v>0</v>
      </c>
      <c r="N8" s="69"/>
    </row>
    <row r="9" spans="1:14" x14ac:dyDescent="0.25">
      <c r="A9" s="162"/>
      <c r="B9" s="153"/>
      <c r="C9" s="18"/>
      <c r="D9" s="18"/>
      <c r="E9" s="18"/>
      <c r="F9" s="18"/>
      <c r="G9" s="18"/>
      <c r="H9" s="18"/>
      <c r="I9" s="18"/>
      <c r="J9" s="18"/>
      <c r="K9" s="18"/>
      <c r="L9" s="18"/>
      <c r="M9" s="18"/>
      <c r="N9" s="69"/>
    </row>
    <row r="10" spans="1:14" ht="33.75" x14ac:dyDescent="0.25">
      <c r="A10" s="162" t="s">
        <v>1217</v>
      </c>
      <c r="B10" s="153" t="s">
        <v>1218</v>
      </c>
      <c r="C10" s="116">
        <f>J10+K10</f>
        <v>0</v>
      </c>
      <c r="D10" s="116">
        <f>L10+M10</f>
        <v>0</v>
      </c>
      <c r="E10" s="55" t="str">
        <f>IFERROR(TRUNC(IF(C10&lt;&gt;0,C10/$C$43,"")*100,2),"")</f>
        <v/>
      </c>
      <c r="F10" s="55" t="str">
        <f>IFERROR(TRUNC(IF(D10&lt;&gt;0,D10/$D$43,"")*100,2),"")</f>
        <v/>
      </c>
      <c r="G10" s="56" t="str">
        <f>IF(OR(C10&lt;&gt;0,D10&lt;&gt;0),C10-D10,"")</f>
        <v/>
      </c>
      <c r="H10" s="55" t="str">
        <f>IFERROR(ABS(IF(G10&lt;&gt;0,IF(D10&lt;&gt;0,TRUNC(G10/D10*100,2),IF(C10&lt;&gt;0,TRUNC(G10/C10*100,2),"")),"")),"")</f>
        <v/>
      </c>
      <c r="I10" s="108" t="str">
        <f>IF(AND($C$43=0,$D$43=0),"",IF(OR(N(E10)&lt;&gt;0,N(F10)&lt;&gt;0),IF(OR(N(E10)&gt;4,N(F10)&gt;4),IF(N(H10)&gt;14,"SI","NO"),"NO"),"NO"))</f>
        <v/>
      </c>
      <c r="J10" s="116"/>
      <c r="K10" s="116"/>
      <c r="L10" s="116"/>
      <c r="M10" s="117"/>
      <c r="N10" s="69"/>
    </row>
    <row r="11" spans="1:14" ht="33.75" x14ac:dyDescent="0.25">
      <c r="A11" s="162" t="s">
        <v>1219</v>
      </c>
      <c r="B11" s="153" t="s">
        <v>5697</v>
      </c>
      <c r="C11" s="116">
        <f>J11+K11</f>
        <v>0</v>
      </c>
      <c r="D11" s="116">
        <f>L11+M11</f>
        <v>0</v>
      </c>
      <c r="E11" s="55" t="str">
        <f>IFERROR(TRUNC(IF(C11&lt;&gt;0,C11/$C$43,"")*100,2),"")</f>
        <v/>
      </c>
      <c r="F11" s="55" t="str">
        <f>IFERROR(TRUNC(IF(D11&lt;&gt;0,D11/$D$43,"")*100,2),"")</f>
        <v/>
      </c>
      <c r="G11" s="56" t="str">
        <f>IF(OR(C11&lt;&gt;0,D11&lt;&gt;0),C11-D11,"")</f>
        <v/>
      </c>
      <c r="H11" s="55" t="str">
        <f>IFERROR(ABS(IF(G11&lt;&gt;0,IF(D11&lt;&gt;0,TRUNC(G11/D11*100,2),IF(C11&lt;&gt;0,TRUNC(G11/C11*100,2),"")),"")),"")</f>
        <v/>
      </c>
      <c r="I11" s="108" t="str">
        <f>IF(AND($C$43=0,$D$43=0),"",IF(OR(N(E11)&lt;&gt;0,N(F11)&lt;&gt;0),IF(OR(N(E11)&gt;4,N(F11)&gt;4),IF(N(H11)&gt;14,"SI","NO"),"NO"),"NO"))</f>
        <v/>
      </c>
      <c r="J11" s="116"/>
      <c r="K11" s="116"/>
      <c r="L11" s="116"/>
      <c r="M11" s="117"/>
      <c r="N11" s="69"/>
    </row>
    <row r="12" spans="1:14" ht="22.5" x14ac:dyDescent="0.25">
      <c r="A12" s="162" t="s">
        <v>1220</v>
      </c>
      <c r="B12" s="153" t="s">
        <v>1221</v>
      </c>
      <c r="C12" s="54">
        <f>ROUND(SUM(C10:C11),0)</f>
        <v>0</v>
      </c>
      <c r="D12" s="54">
        <f>ROUND(SUM(D10:D11),0)</f>
        <v>0</v>
      </c>
      <c r="E12" s="29"/>
      <c r="F12" s="29"/>
      <c r="G12" s="29"/>
      <c r="H12" s="29"/>
      <c r="I12" s="29"/>
      <c r="J12" s="54">
        <f>ROUND(SUM(J10:J11),0)</f>
        <v>0</v>
      </c>
      <c r="K12" s="54">
        <f>ROUND(SUM(K10:K11),0)</f>
        <v>0</v>
      </c>
      <c r="L12" s="54">
        <f>ROUND(SUM(L10:L11),0)</f>
        <v>0</v>
      </c>
      <c r="M12" s="54">
        <f>ROUND(SUM(M10:M11),0)</f>
        <v>0</v>
      </c>
      <c r="N12" s="69"/>
    </row>
    <row r="13" spans="1:14" x14ac:dyDescent="0.25">
      <c r="A13" s="162"/>
      <c r="B13" s="153"/>
      <c r="C13" s="18"/>
      <c r="D13" s="18"/>
      <c r="E13" s="18"/>
      <c r="F13" s="18"/>
      <c r="G13" s="18"/>
      <c r="H13" s="18"/>
      <c r="I13" s="18"/>
      <c r="J13" s="18"/>
      <c r="K13" s="18"/>
      <c r="L13" s="18"/>
      <c r="M13" s="18"/>
      <c r="N13" s="69"/>
    </row>
    <row r="14" spans="1:14" ht="22.5" x14ac:dyDescent="0.25">
      <c r="A14" s="164" t="s">
        <v>1222</v>
      </c>
      <c r="B14" s="153" t="s">
        <v>1223</v>
      </c>
      <c r="C14" s="116">
        <f>J14+K14</f>
        <v>0</v>
      </c>
      <c r="D14" s="116">
        <f>L14+M14</f>
        <v>0</v>
      </c>
      <c r="E14" s="55" t="str">
        <f>IFERROR(TRUNC(IF(C14&lt;&gt;0,C14/$C$43,"")*100,2),"")</f>
        <v/>
      </c>
      <c r="F14" s="55" t="str">
        <f>IFERROR(TRUNC(IF(D14&lt;&gt;0,D14/$D$43,"")*100,2),"")</f>
        <v/>
      </c>
      <c r="G14" s="56" t="str">
        <f>IF(OR(C14&lt;&gt;0,D14&lt;&gt;0),C14-D14,"")</f>
        <v/>
      </c>
      <c r="H14" s="55" t="str">
        <f>IFERROR(ABS(IF(G14&lt;&gt;0,IF(D14&lt;&gt;0,TRUNC(G14/D14*100,2),IF(C14&lt;&gt;0,TRUNC(G14/C14*100,2),"")),"")),"")</f>
        <v/>
      </c>
      <c r="I14" s="108" t="str">
        <f>IF(AND($C$43=0,$D$43=0),"",IF(OR(N(E14)&lt;&gt;0,N(F14)&lt;&gt;0),IF(OR(N(E14)&gt;4,N(F14)&gt;4),IF(N(H14)&gt;14,"SI","NO"),"NO"),"NO"))</f>
        <v/>
      </c>
      <c r="J14" s="116"/>
      <c r="K14" s="116"/>
      <c r="L14" s="116"/>
      <c r="M14" s="117"/>
      <c r="N14" s="69"/>
    </row>
    <row r="15" spans="1:14" ht="22.5" x14ac:dyDescent="0.25">
      <c r="A15" s="164" t="s">
        <v>1224</v>
      </c>
      <c r="B15" s="153" t="s">
        <v>1225</v>
      </c>
      <c r="C15" s="116">
        <f>J15+K15</f>
        <v>0</v>
      </c>
      <c r="D15" s="116">
        <f>L15+M15</f>
        <v>0</v>
      </c>
      <c r="E15" s="55" t="str">
        <f>IFERROR(TRUNC(IF(C15&lt;&gt;0,C15/$C$43,"")*100,2),"")</f>
        <v/>
      </c>
      <c r="F15" s="55" t="str">
        <f>IFERROR(TRUNC(IF(D15&lt;&gt;0,D15/$D$43,"")*100,2),"")</f>
        <v/>
      </c>
      <c r="G15" s="56" t="str">
        <f>IF(OR(C15&lt;&gt;0,D15&lt;&gt;0),C15-D15,"")</f>
        <v/>
      </c>
      <c r="H15" s="55" t="str">
        <f>IFERROR(ABS(IF(G15&lt;&gt;0,IF(D15&lt;&gt;0,TRUNC(G15/D15*100,2),IF(C15&lt;&gt;0,TRUNC(G15/C15*100,2),"")),"")),"")</f>
        <v/>
      </c>
      <c r="I15" s="108" t="str">
        <f>IF(AND($C$43=0,$D$43=0),"",IF(OR(N(E15)&lt;&gt;0,N(F15)&lt;&gt;0),IF(OR(N(E15)&gt;4,N(F15)&gt;4),IF(N(H15)&gt;14,"SI","NO"),"NO"),"NO"))</f>
        <v/>
      </c>
      <c r="J15" s="116"/>
      <c r="K15" s="116"/>
      <c r="L15" s="116"/>
      <c r="M15" s="117"/>
      <c r="N15" s="69"/>
    </row>
    <row r="16" spans="1:14" x14ac:dyDescent="0.25">
      <c r="A16" s="162"/>
      <c r="B16" s="153"/>
      <c r="C16" s="18"/>
      <c r="D16" s="18"/>
      <c r="E16" s="18"/>
      <c r="F16" s="18"/>
      <c r="G16" s="18"/>
      <c r="H16" s="18"/>
      <c r="I16" s="18"/>
      <c r="J16" s="18"/>
      <c r="K16" s="18"/>
      <c r="L16" s="18"/>
      <c r="M16" s="20"/>
      <c r="N16" s="69"/>
    </row>
    <row r="17" spans="1:14" x14ac:dyDescent="0.25">
      <c r="A17" s="162" t="s">
        <v>1226</v>
      </c>
      <c r="B17" s="153" t="s">
        <v>1227</v>
      </c>
      <c r="C17" s="116">
        <f>ROUND(C8+C12-C14-C15,0)</f>
        <v>0</v>
      </c>
      <c r="D17" s="116">
        <f>ROUND(D8+D12-D14-D15,0)</f>
        <v>0</v>
      </c>
      <c r="E17" s="29"/>
      <c r="F17" s="29"/>
      <c r="G17" s="29"/>
      <c r="H17" s="29"/>
      <c r="I17" s="29"/>
      <c r="J17" s="116">
        <f>ROUND(J8+J12-J14-J15,0)</f>
        <v>0</v>
      </c>
      <c r="K17" s="116">
        <f>ROUND(K8+K12-K14-K15,0)</f>
        <v>0</v>
      </c>
      <c r="L17" s="116">
        <f>ROUND(L8+L12-L14-L15,0)</f>
        <v>0</v>
      </c>
      <c r="M17" s="117">
        <f>ROUND(M8+M12-M14-M15,0)</f>
        <v>0</v>
      </c>
      <c r="N17" s="69"/>
    </row>
    <row r="18" spans="1:14" x14ac:dyDescent="0.25">
      <c r="A18" s="162"/>
      <c r="B18" s="154"/>
      <c r="C18" s="18"/>
      <c r="D18" s="18"/>
      <c r="E18" s="18"/>
      <c r="F18" s="18"/>
      <c r="G18" s="18"/>
      <c r="H18" s="18"/>
      <c r="I18" s="18"/>
      <c r="J18" s="18"/>
      <c r="K18" s="18"/>
      <c r="L18" s="18"/>
      <c r="M18" s="18"/>
      <c r="N18" s="69"/>
    </row>
    <row r="19" spans="1:14" x14ac:dyDescent="0.25">
      <c r="A19" s="162"/>
      <c r="B19" s="153" t="s">
        <v>1228</v>
      </c>
      <c r="C19" s="18"/>
      <c r="D19" s="18"/>
      <c r="E19" s="18"/>
      <c r="F19" s="18"/>
      <c r="G19" s="18"/>
      <c r="H19" s="18"/>
      <c r="I19" s="18"/>
      <c r="J19" s="18"/>
      <c r="K19" s="18"/>
      <c r="L19" s="18"/>
      <c r="M19" s="18"/>
      <c r="N19" s="69"/>
    </row>
    <row r="20" spans="1:14" x14ac:dyDescent="0.25">
      <c r="A20" s="162"/>
      <c r="B20" s="153"/>
      <c r="C20" s="18"/>
      <c r="D20" s="18"/>
      <c r="E20" s="18"/>
      <c r="F20" s="18"/>
      <c r="G20" s="18"/>
      <c r="H20" s="18"/>
      <c r="I20" s="18"/>
      <c r="J20" s="18"/>
      <c r="K20" s="18"/>
      <c r="L20" s="18"/>
      <c r="M20" s="18"/>
      <c r="N20" s="69"/>
    </row>
    <row r="21" spans="1:14" x14ac:dyDescent="0.25">
      <c r="A21" s="162" t="s">
        <v>1229</v>
      </c>
      <c r="B21" s="153" t="s">
        <v>1230</v>
      </c>
      <c r="C21" s="116">
        <f t="shared" ref="C21:C35" si="0">J21+K21</f>
        <v>0</v>
      </c>
      <c r="D21" s="116">
        <f t="shared" ref="D21:D35" si="1">L21+M21</f>
        <v>0</v>
      </c>
      <c r="E21" s="55" t="str">
        <f t="shared" ref="E21:E35" si="2">IFERROR(TRUNC(IF(C21&lt;&gt;0,C21/$C$43,"")*100,2),"")</f>
        <v/>
      </c>
      <c r="F21" s="55" t="str">
        <f t="shared" ref="F21:F35" si="3">IFERROR(TRUNC(IF(D21&lt;&gt;0,D21/$D$43,"")*100,2),"")</f>
        <v/>
      </c>
      <c r="G21" s="56" t="str">
        <f t="shared" ref="G21:G35" si="4">IF(OR(C21&lt;&gt;0,D21&lt;&gt;0),C21-D21,"")</f>
        <v/>
      </c>
      <c r="H21" s="55" t="str">
        <f t="shared" ref="H21:H35" si="5">IFERROR(ABS(IF(G21&lt;&gt;0,IF(D21&lt;&gt;0,TRUNC(G21/D21*100,2),IF(C21&lt;&gt;0,TRUNC(G21/C21*100,2),"")),"")),"")</f>
        <v/>
      </c>
      <c r="I21" s="108" t="str">
        <f t="shared" ref="I21:I35" si="6">IF(AND($C$43=0,$D$43=0),"",IF(OR(N(E21)&lt;&gt;0,N(F21)&lt;&gt;0),IF(OR(N(E21)&gt;4,N(F21)&gt;4),IF(N(H21)&gt;14,"SI","NO"),"NO"),"NO"))</f>
        <v/>
      </c>
      <c r="J21" s="116"/>
      <c r="K21" s="116"/>
      <c r="L21" s="116"/>
      <c r="M21" s="117"/>
      <c r="N21" s="69"/>
    </row>
    <row r="22" spans="1:14" x14ac:dyDescent="0.25">
      <c r="A22" s="162" t="s">
        <v>1231</v>
      </c>
      <c r="B22" s="153" t="s">
        <v>1232</v>
      </c>
      <c r="C22" s="116">
        <f t="shared" si="0"/>
        <v>0</v>
      </c>
      <c r="D22" s="116">
        <f t="shared" si="1"/>
        <v>0</v>
      </c>
      <c r="E22" s="55" t="str">
        <f t="shared" si="2"/>
        <v/>
      </c>
      <c r="F22" s="55" t="str">
        <f t="shared" si="3"/>
        <v/>
      </c>
      <c r="G22" s="56" t="str">
        <f t="shared" si="4"/>
        <v/>
      </c>
      <c r="H22" s="55" t="str">
        <f t="shared" si="5"/>
        <v/>
      </c>
      <c r="I22" s="108" t="str">
        <f t="shared" si="6"/>
        <v/>
      </c>
      <c r="J22" s="116"/>
      <c r="K22" s="116"/>
      <c r="L22" s="116"/>
      <c r="M22" s="117"/>
      <c r="N22" s="69"/>
    </row>
    <row r="23" spans="1:14" x14ac:dyDescent="0.25">
      <c r="A23" s="162" t="s">
        <v>1233</v>
      </c>
      <c r="B23" s="153" t="s">
        <v>1234</v>
      </c>
      <c r="C23" s="116">
        <f t="shared" si="0"/>
        <v>0</v>
      </c>
      <c r="D23" s="116">
        <f t="shared" si="1"/>
        <v>0</v>
      </c>
      <c r="E23" s="55" t="str">
        <f t="shared" si="2"/>
        <v/>
      </c>
      <c r="F23" s="55" t="str">
        <f t="shared" si="3"/>
        <v/>
      </c>
      <c r="G23" s="56" t="str">
        <f t="shared" si="4"/>
        <v/>
      </c>
      <c r="H23" s="55" t="str">
        <f t="shared" si="5"/>
        <v/>
      </c>
      <c r="I23" s="108" t="str">
        <f t="shared" si="6"/>
        <v/>
      </c>
      <c r="J23" s="116"/>
      <c r="K23" s="116"/>
      <c r="L23" s="116"/>
      <c r="M23" s="117"/>
      <c r="N23" s="69"/>
    </row>
    <row r="24" spans="1:14" x14ac:dyDescent="0.25">
      <c r="A24" s="162" t="s">
        <v>1235</v>
      </c>
      <c r="B24" s="153" t="s">
        <v>1236</v>
      </c>
      <c r="C24" s="116">
        <f t="shared" si="0"/>
        <v>0</v>
      </c>
      <c r="D24" s="116">
        <f t="shared" si="1"/>
        <v>0</v>
      </c>
      <c r="E24" s="55" t="str">
        <f t="shared" si="2"/>
        <v/>
      </c>
      <c r="F24" s="55" t="str">
        <f t="shared" si="3"/>
        <v/>
      </c>
      <c r="G24" s="56" t="str">
        <f t="shared" si="4"/>
        <v/>
      </c>
      <c r="H24" s="55" t="str">
        <f t="shared" si="5"/>
        <v/>
      </c>
      <c r="I24" s="108" t="str">
        <f t="shared" si="6"/>
        <v/>
      </c>
      <c r="J24" s="116"/>
      <c r="K24" s="116"/>
      <c r="L24" s="116"/>
      <c r="M24" s="117"/>
      <c r="N24" s="69"/>
    </row>
    <row r="25" spans="1:14" x14ac:dyDescent="0.25">
      <c r="A25" s="162" t="s">
        <v>1237</v>
      </c>
      <c r="B25" s="153" t="s">
        <v>1238</v>
      </c>
      <c r="C25" s="116">
        <f t="shared" si="0"/>
        <v>0</v>
      </c>
      <c r="D25" s="116">
        <f t="shared" si="1"/>
        <v>0</v>
      </c>
      <c r="E25" s="55" t="str">
        <f t="shared" si="2"/>
        <v/>
      </c>
      <c r="F25" s="55" t="str">
        <f t="shared" si="3"/>
        <v/>
      </c>
      <c r="G25" s="56" t="str">
        <f t="shared" si="4"/>
        <v/>
      </c>
      <c r="H25" s="55" t="str">
        <f t="shared" si="5"/>
        <v/>
      </c>
      <c r="I25" s="108" t="str">
        <f t="shared" si="6"/>
        <v/>
      </c>
      <c r="J25" s="116"/>
      <c r="K25" s="116"/>
      <c r="L25" s="116"/>
      <c r="M25" s="117"/>
      <c r="N25" s="69"/>
    </row>
    <row r="26" spans="1:14" x14ac:dyDescent="0.25">
      <c r="A26" s="162" t="s">
        <v>1239</v>
      </c>
      <c r="B26" s="153" t="s">
        <v>1240</v>
      </c>
      <c r="C26" s="116">
        <f t="shared" si="0"/>
        <v>0</v>
      </c>
      <c r="D26" s="116">
        <f t="shared" si="1"/>
        <v>0</v>
      </c>
      <c r="E26" s="55" t="str">
        <f t="shared" si="2"/>
        <v/>
      </c>
      <c r="F26" s="55" t="str">
        <f t="shared" si="3"/>
        <v/>
      </c>
      <c r="G26" s="56" t="str">
        <f t="shared" si="4"/>
        <v/>
      </c>
      <c r="H26" s="55" t="str">
        <f t="shared" si="5"/>
        <v/>
      </c>
      <c r="I26" s="108" t="str">
        <f t="shared" si="6"/>
        <v/>
      </c>
      <c r="J26" s="116"/>
      <c r="K26" s="116"/>
      <c r="L26" s="116"/>
      <c r="M26" s="117"/>
      <c r="N26" s="69"/>
    </row>
    <row r="27" spans="1:14" x14ac:dyDescent="0.25">
      <c r="A27" s="162" t="s">
        <v>1241</v>
      </c>
      <c r="B27" s="153" t="s">
        <v>1242</v>
      </c>
      <c r="C27" s="116">
        <f t="shared" si="0"/>
        <v>0</v>
      </c>
      <c r="D27" s="116">
        <f t="shared" si="1"/>
        <v>0</v>
      </c>
      <c r="E27" s="55" t="str">
        <f t="shared" si="2"/>
        <v/>
      </c>
      <c r="F27" s="55" t="str">
        <f t="shared" si="3"/>
        <v/>
      </c>
      <c r="G27" s="56" t="str">
        <f t="shared" si="4"/>
        <v/>
      </c>
      <c r="H27" s="55" t="str">
        <f t="shared" si="5"/>
        <v/>
      </c>
      <c r="I27" s="108" t="str">
        <f t="shared" si="6"/>
        <v/>
      </c>
      <c r="J27" s="116"/>
      <c r="K27" s="116"/>
      <c r="L27" s="116"/>
      <c r="M27" s="117"/>
      <c r="N27" s="69"/>
    </row>
    <row r="28" spans="1:14" x14ac:dyDescent="0.25">
      <c r="A28" s="162" t="s">
        <v>1243</v>
      </c>
      <c r="B28" s="153" t="s">
        <v>1244</v>
      </c>
      <c r="C28" s="116">
        <f t="shared" si="0"/>
        <v>0</v>
      </c>
      <c r="D28" s="116">
        <f t="shared" si="1"/>
        <v>0</v>
      </c>
      <c r="E28" s="55" t="str">
        <f t="shared" si="2"/>
        <v/>
      </c>
      <c r="F28" s="55" t="str">
        <f t="shared" si="3"/>
        <v/>
      </c>
      <c r="G28" s="56" t="str">
        <f t="shared" si="4"/>
        <v/>
      </c>
      <c r="H28" s="55" t="str">
        <f t="shared" si="5"/>
        <v/>
      </c>
      <c r="I28" s="108" t="str">
        <f t="shared" si="6"/>
        <v/>
      </c>
      <c r="J28" s="116"/>
      <c r="K28" s="116"/>
      <c r="L28" s="116"/>
      <c r="M28" s="117"/>
      <c r="N28" s="69"/>
    </row>
    <row r="29" spans="1:14" x14ac:dyDescent="0.25">
      <c r="A29" s="162" t="s">
        <v>1245</v>
      </c>
      <c r="B29" s="154" t="s">
        <v>1246</v>
      </c>
      <c r="C29" s="116">
        <f t="shared" si="0"/>
        <v>0</v>
      </c>
      <c r="D29" s="116">
        <f t="shared" si="1"/>
        <v>0</v>
      </c>
      <c r="E29" s="55" t="str">
        <f t="shared" si="2"/>
        <v/>
      </c>
      <c r="F29" s="55" t="str">
        <f t="shared" si="3"/>
        <v/>
      </c>
      <c r="G29" s="56" t="str">
        <f t="shared" si="4"/>
        <v/>
      </c>
      <c r="H29" s="55" t="str">
        <f t="shared" si="5"/>
        <v/>
      </c>
      <c r="I29" s="108" t="str">
        <f t="shared" si="6"/>
        <v/>
      </c>
      <c r="J29" s="116"/>
      <c r="K29" s="116"/>
      <c r="L29" s="116"/>
      <c r="M29" s="117"/>
      <c r="N29" s="69"/>
    </row>
    <row r="30" spans="1:14" x14ac:dyDescent="0.25">
      <c r="A30" s="162" t="s">
        <v>1247</v>
      </c>
      <c r="B30" s="153" t="s">
        <v>5698</v>
      </c>
      <c r="C30" s="116">
        <f t="shared" si="0"/>
        <v>0</v>
      </c>
      <c r="D30" s="116">
        <f t="shared" si="1"/>
        <v>0</v>
      </c>
      <c r="E30" s="55" t="str">
        <f t="shared" si="2"/>
        <v/>
      </c>
      <c r="F30" s="55" t="str">
        <f t="shared" si="3"/>
        <v/>
      </c>
      <c r="G30" s="56" t="str">
        <f t="shared" si="4"/>
        <v/>
      </c>
      <c r="H30" s="55" t="str">
        <f t="shared" si="5"/>
        <v/>
      </c>
      <c r="I30" s="108" t="str">
        <f t="shared" si="6"/>
        <v/>
      </c>
      <c r="J30" s="116"/>
      <c r="K30" s="116"/>
      <c r="L30" s="116"/>
      <c r="M30" s="117"/>
      <c r="N30" s="69"/>
    </row>
    <row r="31" spans="1:14" x14ac:dyDescent="0.25">
      <c r="A31" s="162" t="s">
        <v>1248</v>
      </c>
      <c r="B31" s="153" t="s">
        <v>5699</v>
      </c>
      <c r="C31" s="116">
        <f t="shared" si="0"/>
        <v>0</v>
      </c>
      <c r="D31" s="116">
        <f t="shared" si="1"/>
        <v>0</v>
      </c>
      <c r="E31" s="55" t="str">
        <f t="shared" si="2"/>
        <v/>
      </c>
      <c r="F31" s="55" t="str">
        <f t="shared" si="3"/>
        <v/>
      </c>
      <c r="G31" s="56" t="str">
        <f t="shared" si="4"/>
        <v/>
      </c>
      <c r="H31" s="55" t="str">
        <f t="shared" si="5"/>
        <v/>
      </c>
      <c r="I31" s="108" t="str">
        <f t="shared" si="6"/>
        <v/>
      </c>
      <c r="J31" s="116"/>
      <c r="K31" s="116"/>
      <c r="L31" s="116"/>
      <c r="M31" s="116"/>
      <c r="N31" s="69"/>
    </row>
    <row r="32" spans="1:14" x14ac:dyDescent="0.25">
      <c r="A32" s="162" t="s">
        <v>1249</v>
      </c>
      <c r="B32" s="153" t="s">
        <v>1250</v>
      </c>
      <c r="C32" s="116">
        <f t="shared" si="0"/>
        <v>0</v>
      </c>
      <c r="D32" s="116">
        <f t="shared" si="1"/>
        <v>0</v>
      </c>
      <c r="E32" s="55" t="str">
        <f t="shared" si="2"/>
        <v/>
      </c>
      <c r="F32" s="55" t="str">
        <f t="shared" si="3"/>
        <v/>
      </c>
      <c r="G32" s="56" t="str">
        <f t="shared" si="4"/>
        <v/>
      </c>
      <c r="H32" s="55" t="str">
        <f t="shared" si="5"/>
        <v/>
      </c>
      <c r="I32" s="108" t="str">
        <f t="shared" si="6"/>
        <v/>
      </c>
      <c r="J32" s="116"/>
      <c r="K32" s="116"/>
      <c r="L32" s="116"/>
      <c r="M32" s="117"/>
      <c r="N32" s="69"/>
    </row>
    <row r="33" spans="1:14" x14ac:dyDescent="0.25">
      <c r="A33" s="162" t="s">
        <v>1251</v>
      </c>
      <c r="B33" s="153" t="s">
        <v>1252</v>
      </c>
      <c r="C33" s="116">
        <f t="shared" si="0"/>
        <v>0</v>
      </c>
      <c r="D33" s="116">
        <f t="shared" si="1"/>
        <v>0</v>
      </c>
      <c r="E33" s="55" t="str">
        <f t="shared" si="2"/>
        <v/>
      </c>
      <c r="F33" s="55" t="str">
        <f t="shared" si="3"/>
        <v/>
      </c>
      <c r="G33" s="56" t="str">
        <f t="shared" si="4"/>
        <v/>
      </c>
      <c r="H33" s="55" t="str">
        <f t="shared" si="5"/>
        <v/>
      </c>
      <c r="I33" s="108" t="str">
        <f t="shared" si="6"/>
        <v/>
      </c>
      <c r="J33" s="116"/>
      <c r="K33" s="116"/>
      <c r="L33" s="116"/>
      <c r="M33" s="117"/>
      <c r="N33" s="69"/>
    </row>
    <row r="34" spans="1:14" ht="22.5" x14ac:dyDescent="0.25">
      <c r="A34" s="162" t="s">
        <v>1253</v>
      </c>
      <c r="B34" s="153" t="s">
        <v>1254</v>
      </c>
      <c r="C34" s="116">
        <f t="shared" si="0"/>
        <v>0</v>
      </c>
      <c r="D34" s="116">
        <f t="shared" si="1"/>
        <v>0</v>
      </c>
      <c r="E34" s="55" t="str">
        <f t="shared" si="2"/>
        <v/>
      </c>
      <c r="F34" s="55" t="str">
        <f t="shared" si="3"/>
        <v/>
      </c>
      <c r="G34" s="56" t="str">
        <f t="shared" si="4"/>
        <v/>
      </c>
      <c r="H34" s="55" t="str">
        <f t="shared" si="5"/>
        <v/>
      </c>
      <c r="I34" s="108" t="str">
        <f t="shared" si="6"/>
        <v/>
      </c>
      <c r="J34" s="116"/>
      <c r="K34" s="116"/>
      <c r="L34" s="116"/>
      <c r="M34" s="117"/>
      <c r="N34" s="69"/>
    </row>
    <row r="35" spans="1:14" ht="22.5" x14ac:dyDescent="0.25">
      <c r="A35" s="162" t="s">
        <v>1255</v>
      </c>
      <c r="B35" s="153" t="s">
        <v>1256</v>
      </c>
      <c r="C35" s="116">
        <f t="shared" si="0"/>
        <v>0</v>
      </c>
      <c r="D35" s="116">
        <f t="shared" si="1"/>
        <v>0</v>
      </c>
      <c r="E35" s="55" t="str">
        <f t="shared" si="2"/>
        <v/>
      </c>
      <c r="F35" s="55" t="str">
        <f t="shared" si="3"/>
        <v/>
      </c>
      <c r="G35" s="56" t="str">
        <f t="shared" si="4"/>
        <v/>
      </c>
      <c r="H35" s="55" t="str">
        <f t="shared" si="5"/>
        <v/>
      </c>
      <c r="I35" s="108" t="str">
        <f t="shared" si="6"/>
        <v/>
      </c>
      <c r="J35" s="116"/>
      <c r="K35" s="116"/>
      <c r="L35" s="116"/>
      <c r="M35" s="117"/>
      <c r="N35" s="69"/>
    </row>
    <row r="36" spans="1:14" x14ac:dyDescent="0.25">
      <c r="A36" s="162" t="s">
        <v>1257</v>
      </c>
      <c r="B36" s="153" t="s">
        <v>638</v>
      </c>
      <c r="C36" s="52"/>
      <c r="D36" s="52"/>
      <c r="E36" s="57"/>
      <c r="F36" s="57"/>
      <c r="G36" s="52"/>
      <c r="H36" s="57"/>
      <c r="I36" s="58"/>
      <c r="J36" s="52"/>
      <c r="K36" s="52"/>
      <c r="L36" s="52"/>
      <c r="M36" s="52"/>
      <c r="N36" s="69"/>
    </row>
    <row r="37" spans="1:14" x14ac:dyDescent="0.25">
      <c r="A37" s="162" t="s">
        <v>1258</v>
      </c>
      <c r="B37" s="153" t="s">
        <v>1259</v>
      </c>
      <c r="C37" s="54">
        <f>ROUND(SUM(C21:C35)+C36,0)</f>
        <v>0</v>
      </c>
      <c r="D37" s="54">
        <f>ROUND(SUM(D21:D35)+D36,0)</f>
        <v>0</v>
      </c>
      <c r="E37" s="29"/>
      <c r="F37" s="29"/>
      <c r="G37" s="29"/>
      <c r="H37" s="29"/>
      <c r="I37" s="29"/>
      <c r="J37" s="54">
        <f>ROUND(SUM(J21:J35)+J36,0)</f>
        <v>0</v>
      </c>
      <c r="K37" s="54">
        <f>ROUND(SUM(K21:K35)+K36,0)</f>
        <v>0</v>
      </c>
      <c r="L37" s="54">
        <f>ROUND(SUM(L21:L35)+L36,0)</f>
        <v>0</v>
      </c>
      <c r="M37" s="54">
        <f>ROUND(SUM(M21:M35)+M36,0)</f>
        <v>0</v>
      </c>
      <c r="N37" s="69"/>
    </row>
    <row r="38" spans="1:14" x14ac:dyDescent="0.25">
      <c r="A38" s="162"/>
      <c r="B38" s="153"/>
      <c r="C38" s="18"/>
      <c r="D38" s="18"/>
      <c r="E38" s="18"/>
      <c r="F38" s="18"/>
      <c r="G38" s="18"/>
      <c r="H38" s="18"/>
      <c r="I38" s="18"/>
      <c r="J38" s="18"/>
      <c r="K38" s="18"/>
      <c r="L38" s="18"/>
      <c r="M38" s="18"/>
      <c r="N38" s="69"/>
    </row>
    <row r="39" spans="1:14" x14ac:dyDescent="0.25">
      <c r="A39" s="162" t="s">
        <v>1260</v>
      </c>
      <c r="B39" s="153" t="s">
        <v>889</v>
      </c>
      <c r="C39" s="116">
        <f>ROUND(C17+C37,0)</f>
        <v>0</v>
      </c>
      <c r="D39" s="116">
        <f>ROUND(D17+D37,0)</f>
        <v>0</v>
      </c>
      <c r="E39" s="29"/>
      <c r="F39" s="29"/>
      <c r="G39" s="29"/>
      <c r="H39" s="29"/>
      <c r="I39" s="29"/>
      <c r="J39" s="116">
        <f>ROUND(J17+J37,0)</f>
        <v>0</v>
      </c>
      <c r="K39" s="116">
        <f>ROUND(K17+K37,0)</f>
        <v>0</v>
      </c>
      <c r="L39" s="116">
        <f>ROUND(L17+L37,0)</f>
        <v>0</v>
      </c>
      <c r="M39" s="117">
        <f>ROUND(M17+M37,0)</f>
        <v>0</v>
      </c>
      <c r="N39" s="69"/>
    </row>
    <row r="40" spans="1:14" x14ac:dyDescent="0.25">
      <c r="A40" s="162"/>
      <c r="B40" s="153"/>
      <c r="C40" s="18"/>
      <c r="D40" s="18"/>
      <c r="E40" s="18"/>
      <c r="F40" s="18"/>
      <c r="G40" s="18"/>
      <c r="H40" s="18"/>
      <c r="I40" s="18"/>
      <c r="J40" s="18"/>
      <c r="K40" s="18"/>
      <c r="L40" s="18"/>
      <c r="M40" s="20"/>
      <c r="N40" s="69"/>
    </row>
    <row r="41" spans="1:14" x14ac:dyDescent="0.25">
      <c r="A41" s="162" t="s">
        <v>1261</v>
      </c>
      <c r="B41" s="153" t="s">
        <v>1262</v>
      </c>
      <c r="C41" s="116">
        <f>J41+K41</f>
        <v>0</v>
      </c>
      <c r="D41" s="116">
        <f>L41+M41</f>
        <v>0</v>
      </c>
      <c r="E41" s="29"/>
      <c r="F41" s="29"/>
      <c r="G41" s="29"/>
      <c r="H41" s="29"/>
      <c r="I41" s="29"/>
      <c r="J41" s="116"/>
      <c r="K41" s="116"/>
      <c r="L41" s="116"/>
      <c r="M41" s="117"/>
      <c r="N41" s="69"/>
    </row>
    <row r="42" spans="1:14" x14ac:dyDescent="0.25">
      <c r="A42" s="162"/>
      <c r="B42" s="153"/>
      <c r="C42" s="18"/>
      <c r="D42" s="18"/>
      <c r="E42" s="18"/>
      <c r="F42" s="18"/>
      <c r="G42" s="18"/>
      <c r="H42" s="18"/>
      <c r="I42" s="18"/>
      <c r="J42" s="18"/>
      <c r="K42" s="18"/>
      <c r="L42" s="18"/>
      <c r="M42" s="20"/>
      <c r="N42" s="69"/>
    </row>
    <row r="43" spans="1:14" ht="22.5" x14ac:dyDescent="0.25">
      <c r="A43" s="162" t="s">
        <v>1263</v>
      </c>
      <c r="B43" s="153" t="s">
        <v>1264</v>
      </c>
      <c r="C43" s="73">
        <f>ROUND(C39+C41,0)</f>
        <v>0</v>
      </c>
      <c r="D43" s="117">
        <f>ROUND(D39+D41,0)</f>
        <v>0</v>
      </c>
      <c r="E43" s="29"/>
      <c r="F43" s="29"/>
      <c r="G43" s="29"/>
      <c r="H43" s="29"/>
      <c r="I43" s="29"/>
      <c r="J43" s="117">
        <f>ROUND(J39+J41,0)</f>
        <v>0</v>
      </c>
      <c r="K43" s="117">
        <f>ROUND(K39+K41,0)</f>
        <v>0</v>
      </c>
      <c r="L43" s="117">
        <f>ROUND(L39+L41,0)</f>
        <v>0</v>
      </c>
      <c r="M43" s="117">
        <f>ROUND(M39+M41,0)</f>
        <v>0</v>
      </c>
      <c r="N43" s="69"/>
    </row>
    <row r="44" spans="1:14" ht="8.1" customHeight="1" x14ac:dyDescent="0.25">
      <c r="A44" s="70" t="s">
        <v>0</v>
      </c>
      <c r="B44" s="152"/>
      <c r="C44" s="70"/>
      <c r="D44" s="70"/>
      <c r="E44" s="70"/>
      <c r="F44" s="70"/>
      <c r="G44" s="70"/>
      <c r="H44" s="70"/>
      <c r="I44" s="70"/>
      <c r="J44" s="70"/>
      <c r="K44" s="70"/>
      <c r="L44" s="70"/>
      <c r="M44" s="70"/>
      <c r="N44"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K123"/>
  <sheetViews>
    <sheetView zoomScaleNormal="100" workbookViewId="0"/>
  </sheetViews>
  <sheetFormatPr defaultColWidth="11.5703125" defaultRowHeight="15" x14ac:dyDescent="0.25"/>
  <cols>
    <col min="1" max="1" width="14.28515625" style="167" customWidth="1"/>
    <col min="2" max="2" width="35.7109375" style="107" customWidth="1"/>
    <col min="3" max="36" width="18.7109375" style="107" customWidth="1"/>
    <col min="37" max="37" width="1.7109375" style="107" customWidth="1"/>
    <col min="38" max="16384" width="11.5703125" style="107"/>
  </cols>
  <sheetData>
    <row r="1" spans="1:37" ht="23.25" x14ac:dyDescent="0.25">
      <c r="A1" s="165" t="s">
        <v>0</v>
      </c>
      <c r="B1" s="41" t="s">
        <v>5603</v>
      </c>
      <c r="C1" s="41"/>
      <c r="D1" s="42"/>
      <c r="E1" s="42" t="s">
        <v>0</v>
      </c>
      <c r="F1" s="42" t="s">
        <v>0</v>
      </c>
      <c r="G1" s="42" t="s">
        <v>0</v>
      </c>
      <c r="H1" s="42" t="s">
        <v>0</v>
      </c>
      <c r="I1" s="42" t="s">
        <v>0</v>
      </c>
      <c r="J1" s="42" t="s">
        <v>0</v>
      </c>
      <c r="K1" s="42" t="s">
        <v>0</v>
      </c>
      <c r="L1" s="42" t="s">
        <v>0</v>
      </c>
      <c r="M1" s="42" t="s">
        <v>0</v>
      </c>
      <c r="N1" s="42" t="s">
        <v>0</v>
      </c>
      <c r="O1" s="42" t="s">
        <v>0</v>
      </c>
      <c r="P1" s="42" t="s">
        <v>0</v>
      </c>
      <c r="Q1" s="42" t="s">
        <v>0</v>
      </c>
      <c r="R1" s="42" t="s">
        <v>0</v>
      </c>
      <c r="S1" s="42" t="s">
        <v>0</v>
      </c>
      <c r="T1" s="42" t="s">
        <v>0</v>
      </c>
      <c r="U1" s="42" t="s">
        <v>0</v>
      </c>
      <c r="V1" s="42" t="s">
        <v>0</v>
      </c>
      <c r="W1" s="42" t="s">
        <v>0</v>
      </c>
      <c r="X1" s="42" t="s">
        <v>0</v>
      </c>
      <c r="Y1" s="42" t="s">
        <v>0</v>
      </c>
      <c r="Z1" s="42" t="s">
        <v>0</v>
      </c>
      <c r="AA1" s="42" t="s">
        <v>0</v>
      </c>
      <c r="AB1" s="42" t="s">
        <v>0</v>
      </c>
      <c r="AC1" s="42" t="s">
        <v>0</v>
      </c>
      <c r="AD1" s="42" t="s">
        <v>0</v>
      </c>
      <c r="AE1" s="42" t="s">
        <v>0</v>
      </c>
      <c r="AF1" s="42" t="s">
        <v>0</v>
      </c>
      <c r="AG1" s="42" t="s">
        <v>0</v>
      </c>
      <c r="AH1" s="42" t="s">
        <v>0</v>
      </c>
      <c r="AI1" s="42" t="s">
        <v>0</v>
      </c>
      <c r="AJ1" s="42" t="s">
        <v>0</v>
      </c>
      <c r="AK1" s="69" t="s">
        <v>0</v>
      </c>
    </row>
    <row r="2" spans="1:37" ht="90" x14ac:dyDescent="0.25">
      <c r="A2" s="121" t="s">
        <v>5597</v>
      </c>
      <c r="B2" s="121" t="s">
        <v>5598</v>
      </c>
      <c r="C2" s="45" t="s">
        <v>5669</v>
      </c>
      <c r="D2" s="45" t="s">
        <v>5676</v>
      </c>
      <c r="E2" s="45" t="s">
        <v>1337</v>
      </c>
      <c r="F2" s="45" t="s">
        <v>1338</v>
      </c>
      <c r="G2" s="44" t="s">
        <v>1339</v>
      </c>
      <c r="H2" s="44" t="s">
        <v>1340</v>
      </c>
      <c r="I2" s="45" t="s">
        <v>1341</v>
      </c>
      <c r="J2" s="45" t="s">
        <v>5670</v>
      </c>
      <c r="K2" s="45" t="s">
        <v>5677</v>
      </c>
      <c r="L2" s="45" t="s">
        <v>1342</v>
      </c>
      <c r="M2" s="45" t="s">
        <v>1343</v>
      </c>
      <c r="N2" s="44" t="s">
        <v>1344</v>
      </c>
      <c r="O2" s="44" t="s">
        <v>1345</v>
      </c>
      <c r="P2" s="45" t="s">
        <v>1346</v>
      </c>
      <c r="Q2" s="45" t="s">
        <v>5671</v>
      </c>
      <c r="R2" s="45" t="s">
        <v>5678</v>
      </c>
      <c r="S2" s="45" t="s">
        <v>1347</v>
      </c>
      <c r="T2" s="45" t="s">
        <v>1348</v>
      </c>
      <c r="U2" s="44" t="s">
        <v>1349</v>
      </c>
      <c r="V2" s="44" t="s">
        <v>1350</v>
      </c>
      <c r="W2" s="45" t="s">
        <v>1351</v>
      </c>
      <c r="X2" s="45" t="s">
        <v>5672</v>
      </c>
      <c r="Y2" s="45" t="s">
        <v>5679</v>
      </c>
      <c r="Z2" s="45" t="s">
        <v>1352</v>
      </c>
      <c r="AA2" s="45" t="s">
        <v>1353</v>
      </c>
      <c r="AB2" s="44" t="s">
        <v>1354</v>
      </c>
      <c r="AC2" s="44" t="s">
        <v>1355</v>
      </c>
      <c r="AD2" s="45" t="s">
        <v>1356</v>
      </c>
      <c r="AE2" s="45" t="s">
        <v>5673</v>
      </c>
      <c r="AF2" s="45" t="s">
        <v>1357</v>
      </c>
      <c r="AG2" s="45" t="s">
        <v>5674</v>
      </c>
      <c r="AH2" s="45" t="s">
        <v>5680</v>
      </c>
      <c r="AI2" s="45" t="s">
        <v>5675</v>
      </c>
      <c r="AJ2" s="45" t="s">
        <v>5681</v>
      </c>
      <c r="AK2" s="69" t="s">
        <v>0</v>
      </c>
    </row>
    <row r="3" spans="1:37" x14ac:dyDescent="0.25">
      <c r="A3" s="163"/>
      <c r="B3" s="160"/>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71"/>
      <c r="AG3" s="47"/>
      <c r="AH3" s="47"/>
      <c r="AI3" s="47"/>
      <c r="AJ3" s="47"/>
      <c r="AK3" s="69"/>
    </row>
    <row r="4" spans="1:37" x14ac:dyDescent="0.25">
      <c r="A4" s="163"/>
      <c r="B4" s="51" t="s">
        <v>5626</v>
      </c>
      <c r="C4" s="49"/>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69"/>
    </row>
    <row r="5" spans="1:37" x14ac:dyDescent="0.25">
      <c r="A5" s="163"/>
      <c r="B5" s="51" t="s">
        <v>0</v>
      </c>
      <c r="C5" s="49"/>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69"/>
    </row>
    <row r="6" spans="1:37" x14ac:dyDescent="0.25">
      <c r="A6" s="163"/>
      <c r="B6" s="49" t="s">
        <v>5627</v>
      </c>
      <c r="C6" s="49"/>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69"/>
    </row>
    <row r="7" spans="1:37" x14ac:dyDescent="0.25">
      <c r="A7" s="163"/>
      <c r="B7" s="160"/>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69"/>
    </row>
    <row r="8" spans="1:37" x14ac:dyDescent="0.25">
      <c r="A8" s="162" t="s">
        <v>1358</v>
      </c>
      <c r="B8" s="153" t="s">
        <v>1359</v>
      </c>
      <c r="C8" s="116"/>
      <c r="D8" s="116"/>
      <c r="E8" s="55" t="str">
        <f t="shared" ref="E8:E16" si="0">IFERROR(TRUNC(IF(C8&lt;&gt;0,C8/$C$121,"")*100,2),"")</f>
        <v/>
      </c>
      <c r="F8" s="55" t="str">
        <f t="shared" ref="F8:F16" si="1">IFERROR(TRUNC(IF(D8&lt;&gt;0,D8/$D$121,"")*100,2),"")</f>
        <v/>
      </c>
      <c r="G8" s="56" t="str">
        <f t="shared" ref="G8:G16" si="2">IF(OR(C8&lt;&gt;0,D8&lt;&gt;0),C8-D8,"")</f>
        <v/>
      </c>
      <c r="H8" s="55" t="str">
        <f t="shared" ref="H8:H16" si="3">IFERROR(ABS(IF(G8&lt;&gt;0,IF(D8&lt;&gt;0,TRUNC(G8/D8*100,2),IF(C8&lt;&gt;0,TRUNC(G8/C8*100,2),"")),"")),"")</f>
        <v/>
      </c>
      <c r="I8" s="108" t="str">
        <f t="shared" ref="I8:I16" si="4">IF(AND(AE$121=0,AF$121=0),"",IF(OR(N(E8)&lt;&gt;0,N(F8)&lt;&gt;0),IF(OR(N(E8)&gt;4,N(F8)&gt;4),IF(N(H8)&gt;14,"SI","NO"),"NO"),"NO"))</f>
        <v/>
      </c>
      <c r="J8" s="116"/>
      <c r="K8" s="116"/>
      <c r="L8" s="55" t="str">
        <f t="shared" ref="L8:L16" si="5">IFERROR(TRUNC(IF(J8&lt;&gt;0,J8/$J$121,"")*100,2),"")</f>
        <v/>
      </c>
      <c r="M8" s="55" t="str">
        <f t="shared" ref="M8:M16" si="6">IFERROR(TRUNC(IF(K8&lt;&gt;0,K8/$K$121,"")*100,2),"")</f>
        <v/>
      </c>
      <c r="N8" s="56" t="str">
        <f t="shared" ref="N8:N16" si="7">IF(OR(J8&lt;&gt;0,K8&lt;&gt;0),J8-K8,"")</f>
        <v/>
      </c>
      <c r="O8" s="55" t="str">
        <f t="shared" ref="O8:O16" si="8">IFERROR(ABS(IF(N8&lt;&gt;0,IF(K8&lt;&gt;0,TRUNC(N8/K8*100,2),IF(J8&lt;&gt;0,TRUNC(N8/J8*100,2),"")),"")),"")</f>
        <v/>
      </c>
      <c r="P8" s="108" t="str">
        <f t="shared" ref="P8:P16" si="9">IF(AND(AE$121=0,AF$121=0),"",IF(OR(N(L8)&lt;&gt;0,N(M8)&lt;&gt;0),IF(OR(N(L8)&gt;4,N(M8)&gt;4),IF(N(O8)&gt;14,"SI","NO"),"NO"),"NO"))</f>
        <v/>
      </c>
      <c r="Q8" s="116"/>
      <c r="R8" s="116"/>
      <c r="S8" s="55" t="str">
        <f t="shared" ref="S8:S16" si="10">IFERROR(TRUNC(IF(Q8&lt;&gt;0,Q8/$Q$121,"")*100,2),"")</f>
        <v/>
      </c>
      <c r="T8" s="55" t="str">
        <f t="shared" ref="T8:T16" si="11">IFERROR(TRUNC(IF(R8&lt;&gt;0,R8/$R$121,"")*100,2),"")</f>
        <v/>
      </c>
      <c r="U8" s="56" t="str">
        <f t="shared" ref="U8:U16" si="12">IF(OR(Q8&lt;&gt;0,R8&lt;&gt;0),Q8-R8,"")</f>
        <v/>
      </c>
      <c r="V8" s="55" t="str">
        <f t="shared" ref="V8:V16" si="13">IFERROR(ABS(IF(U8&lt;&gt;0,IF(R8&lt;&gt;0,TRUNC(U8/R8*100,2),IF(Q8&lt;&gt;0,TRUNC(U8/Q8*100,2),"")),"")),"")</f>
        <v/>
      </c>
      <c r="W8" s="108" t="str">
        <f t="shared" ref="W8:W16" si="14">IF(AND(AE$121=0,AF$121=0),"",IF(OR(N(S8)&lt;&gt;0,N(T8)&lt;&gt;0),IF(OR(N(S8)&gt;4,N(T8)&gt;4),IF(N(V8)&gt;14,"SI","NO"),"NO"),"NO"))</f>
        <v/>
      </c>
      <c r="X8" s="116"/>
      <c r="Y8" s="116"/>
      <c r="Z8" s="55" t="str">
        <f t="shared" ref="Z8:Z16" si="15">IFERROR(TRUNC(IF(X8&lt;&gt;0,X8/$X$121,"")*100,2),"")</f>
        <v/>
      </c>
      <c r="AA8" s="55" t="str">
        <f t="shared" ref="AA8:AA16" si="16">IFERROR(TRUNC(IF(Y8&lt;&gt;0,Y8/$Y$121,"")*100,2),"")</f>
        <v/>
      </c>
      <c r="AB8" s="56" t="str">
        <f t="shared" ref="AB8:AB16" si="17">IF(OR(X8&lt;&gt;0,Y8&lt;&gt;0),X8-Y8,"")</f>
        <v/>
      </c>
      <c r="AC8" s="55" t="str">
        <f t="shared" ref="AC8:AC16" si="18">IFERROR(ABS(IF(AB8&lt;&gt;0,IF(Y8&lt;&gt;0,TRUNC(AB8/Y8*100,2),IF(X8&lt;&gt;0,TRUNC(AB8/X8*100,2),"")),"")),"")</f>
        <v/>
      </c>
      <c r="AD8" s="108" t="str">
        <f t="shared" ref="AD8:AD16" si="19">IF(AND(AE$121=0,AF$121=0),"",IF(OR(N(Z8)&lt;&gt;0,N(AA8)&lt;&gt;0),IF(OR(N(Z8)&gt;4,N(AA8)&gt;4),IF(N(AC8)&gt;14,"SI","NO"),"NO"),"NO"))</f>
        <v/>
      </c>
      <c r="AE8" s="116">
        <f t="shared" ref="AE8:AE16" si="20">ROUND(C8+J8+Q8+X8,0)</f>
        <v>0</v>
      </c>
      <c r="AF8" s="117">
        <f t="shared" ref="AF8:AF16" si="21">ROUND(D8+K8+R8+Y8,0)</f>
        <v>0</v>
      </c>
      <c r="AG8" s="117">
        <f t="shared" ref="AG8:AH14" si="22">AE8-AI8</f>
        <v>0</v>
      </c>
      <c r="AH8" s="116">
        <f t="shared" si="22"/>
        <v>0</v>
      </c>
      <c r="AI8" s="116"/>
      <c r="AJ8" s="116"/>
      <c r="AK8" s="69"/>
    </row>
    <row r="9" spans="1:37" x14ac:dyDescent="0.25">
      <c r="A9" s="162" t="s">
        <v>1360</v>
      </c>
      <c r="B9" s="153" t="s">
        <v>1361</v>
      </c>
      <c r="C9" s="116"/>
      <c r="D9" s="116"/>
      <c r="E9" s="55" t="str">
        <f t="shared" si="0"/>
        <v/>
      </c>
      <c r="F9" s="55" t="str">
        <f t="shared" si="1"/>
        <v/>
      </c>
      <c r="G9" s="56" t="str">
        <f t="shared" si="2"/>
        <v/>
      </c>
      <c r="H9" s="55" t="str">
        <f t="shared" si="3"/>
        <v/>
      </c>
      <c r="I9" s="108" t="str">
        <f t="shared" si="4"/>
        <v/>
      </c>
      <c r="J9" s="116"/>
      <c r="K9" s="116"/>
      <c r="L9" s="55" t="str">
        <f t="shared" si="5"/>
        <v/>
      </c>
      <c r="M9" s="55" t="str">
        <f t="shared" si="6"/>
        <v/>
      </c>
      <c r="N9" s="56" t="str">
        <f t="shared" si="7"/>
        <v/>
      </c>
      <c r="O9" s="55" t="str">
        <f t="shared" si="8"/>
        <v/>
      </c>
      <c r="P9" s="108" t="str">
        <f t="shared" si="9"/>
        <v/>
      </c>
      <c r="Q9" s="116"/>
      <c r="R9" s="116"/>
      <c r="S9" s="55" t="str">
        <f t="shared" si="10"/>
        <v/>
      </c>
      <c r="T9" s="55" t="str">
        <f t="shared" si="11"/>
        <v/>
      </c>
      <c r="U9" s="56" t="str">
        <f t="shared" si="12"/>
        <v/>
      </c>
      <c r="V9" s="55" t="str">
        <f t="shared" si="13"/>
        <v/>
      </c>
      <c r="W9" s="108" t="str">
        <f t="shared" si="14"/>
        <v/>
      </c>
      <c r="X9" s="116"/>
      <c r="Y9" s="116"/>
      <c r="Z9" s="55" t="str">
        <f t="shared" si="15"/>
        <v/>
      </c>
      <c r="AA9" s="55" t="str">
        <f t="shared" si="16"/>
        <v/>
      </c>
      <c r="AB9" s="56" t="str">
        <f t="shared" si="17"/>
        <v/>
      </c>
      <c r="AC9" s="55" t="str">
        <f t="shared" si="18"/>
        <v/>
      </c>
      <c r="AD9" s="108" t="str">
        <f t="shared" si="19"/>
        <v/>
      </c>
      <c r="AE9" s="116">
        <f t="shared" si="20"/>
        <v>0</v>
      </c>
      <c r="AF9" s="117">
        <f t="shared" si="21"/>
        <v>0</v>
      </c>
      <c r="AG9" s="117">
        <f t="shared" si="22"/>
        <v>0</v>
      </c>
      <c r="AH9" s="116">
        <f t="shared" si="22"/>
        <v>0</v>
      </c>
      <c r="AI9" s="116"/>
      <c r="AJ9" s="116"/>
      <c r="AK9" s="69"/>
    </row>
    <row r="10" spans="1:37" x14ac:dyDescent="0.25">
      <c r="A10" s="162" t="s">
        <v>1362</v>
      </c>
      <c r="B10" s="153" t="s">
        <v>1363</v>
      </c>
      <c r="C10" s="116"/>
      <c r="D10" s="116"/>
      <c r="E10" s="55" t="str">
        <f t="shared" si="0"/>
        <v/>
      </c>
      <c r="F10" s="55" t="str">
        <f t="shared" si="1"/>
        <v/>
      </c>
      <c r="G10" s="56" t="str">
        <f t="shared" si="2"/>
        <v/>
      </c>
      <c r="H10" s="55" t="str">
        <f t="shared" si="3"/>
        <v/>
      </c>
      <c r="I10" s="108" t="str">
        <f t="shared" si="4"/>
        <v/>
      </c>
      <c r="J10" s="116"/>
      <c r="K10" s="116"/>
      <c r="L10" s="55" t="str">
        <f t="shared" si="5"/>
        <v/>
      </c>
      <c r="M10" s="55" t="str">
        <f t="shared" si="6"/>
        <v/>
      </c>
      <c r="N10" s="56" t="str">
        <f t="shared" si="7"/>
        <v/>
      </c>
      <c r="O10" s="55" t="str">
        <f t="shared" si="8"/>
        <v/>
      </c>
      <c r="P10" s="108" t="str">
        <f t="shared" si="9"/>
        <v/>
      </c>
      <c r="Q10" s="116"/>
      <c r="R10" s="116"/>
      <c r="S10" s="55" t="str">
        <f t="shared" si="10"/>
        <v/>
      </c>
      <c r="T10" s="55" t="str">
        <f t="shared" si="11"/>
        <v/>
      </c>
      <c r="U10" s="56" t="str">
        <f t="shared" si="12"/>
        <v/>
      </c>
      <c r="V10" s="55" t="str">
        <f t="shared" si="13"/>
        <v/>
      </c>
      <c r="W10" s="108" t="str">
        <f t="shared" si="14"/>
        <v/>
      </c>
      <c r="X10" s="116"/>
      <c r="Y10" s="116"/>
      <c r="Z10" s="55" t="str">
        <f t="shared" si="15"/>
        <v/>
      </c>
      <c r="AA10" s="55" t="str">
        <f t="shared" si="16"/>
        <v/>
      </c>
      <c r="AB10" s="56" t="str">
        <f t="shared" si="17"/>
        <v/>
      </c>
      <c r="AC10" s="55" t="str">
        <f t="shared" si="18"/>
        <v/>
      </c>
      <c r="AD10" s="108" t="str">
        <f t="shared" si="19"/>
        <v/>
      </c>
      <c r="AE10" s="116">
        <f t="shared" si="20"/>
        <v>0</v>
      </c>
      <c r="AF10" s="117">
        <f t="shared" si="21"/>
        <v>0</v>
      </c>
      <c r="AG10" s="117">
        <f t="shared" si="22"/>
        <v>0</v>
      </c>
      <c r="AH10" s="116">
        <f t="shared" si="22"/>
        <v>0</v>
      </c>
      <c r="AI10" s="116"/>
      <c r="AJ10" s="116"/>
      <c r="AK10" s="69"/>
    </row>
    <row r="11" spans="1:37" x14ac:dyDescent="0.25">
      <c r="A11" s="162" t="s">
        <v>1364</v>
      </c>
      <c r="B11" s="153" t="s">
        <v>1365</v>
      </c>
      <c r="C11" s="116"/>
      <c r="D11" s="116"/>
      <c r="E11" s="55" t="str">
        <f t="shared" si="0"/>
        <v/>
      </c>
      <c r="F11" s="55" t="str">
        <f t="shared" si="1"/>
        <v/>
      </c>
      <c r="G11" s="56" t="str">
        <f t="shared" si="2"/>
        <v/>
      </c>
      <c r="H11" s="55" t="str">
        <f t="shared" si="3"/>
        <v/>
      </c>
      <c r="I11" s="108" t="str">
        <f t="shared" si="4"/>
        <v/>
      </c>
      <c r="J11" s="116"/>
      <c r="K11" s="116"/>
      <c r="L11" s="55" t="str">
        <f t="shared" si="5"/>
        <v/>
      </c>
      <c r="M11" s="55" t="str">
        <f t="shared" si="6"/>
        <v/>
      </c>
      <c r="N11" s="56" t="str">
        <f t="shared" si="7"/>
        <v/>
      </c>
      <c r="O11" s="55" t="str">
        <f t="shared" si="8"/>
        <v/>
      </c>
      <c r="P11" s="108" t="str">
        <f t="shared" si="9"/>
        <v/>
      </c>
      <c r="Q11" s="116"/>
      <c r="R11" s="116"/>
      <c r="S11" s="55" t="str">
        <f t="shared" si="10"/>
        <v/>
      </c>
      <c r="T11" s="55" t="str">
        <f t="shared" si="11"/>
        <v/>
      </c>
      <c r="U11" s="56" t="str">
        <f t="shared" si="12"/>
        <v/>
      </c>
      <c r="V11" s="55" t="str">
        <f t="shared" si="13"/>
        <v/>
      </c>
      <c r="W11" s="108" t="str">
        <f t="shared" si="14"/>
        <v/>
      </c>
      <c r="X11" s="116"/>
      <c r="Y11" s="116"/>
      <c r="Z11" s="55" t="str">
        <f t="shared" si="15"/>
        <v/>
      </c>
      <c r="AA11" s="55" t="str">
        <f t="shared" si="16"/>
        <v/>
      </c>
      <c r="AB11" s="56" t="str">
        <f t="shared" si="17"/>
        <v/>
      </c>
      <c r="AC11" s="55" t="str">
        <f t="shared" si="18"/>
        <v/>
      </c>
      <c r="AD11" s="108" t="str">
        <f t="shared" si="19"/>
        <v/>
      </c>
      <c r="AE11" s="116">
        <f t="shared" si="20"/>
        <v>0</v>
      </c>
      <c r="AF11" s="117">
        <f t="shared" si="21"/>
        <v>0</v>
      </c>
      <c r="AG11" s="117">
        <f t="shared" si="22"/>
        <v>0</v>
      </c>
      <c r="AH11" s="116">
        <f t="shared" si="22"/>
        <v>0</v>
      </c>
      <c r="AI11" s="116"/>
      <c r="AJ11" s="116"/>
      <c r="AK11" s="69"/>
    </row>
    <row r="12" spans="1:37" x14ac:dyDescent="0.25">
      <c r="A12" s="162" t="s">
        <v>1366</v>
      </c>
      <c r="B12" s="153" t="s">
        <v>1367</v>
      </c>
      <c r="C12" s="116"/>
      <c r="D12" s="116"/>
      <c r="E12" s="55" t="str">
        <f t="shared" si="0"/>
        <v/>
      </c>
      <c r="F12" s="55" t="str">
        <f t="shared" si="1"/>
        <v/>
      </c>
      <c r="G12" s="56" t="str">
        <f t="shared" si="2"/>
        <v/>
      </c>
      <c r="H12" s="55" t="str">
        <f t="shared" si="3"/>
        <v/>
      </c>
      <c r="I12" s="108" t="str">
        <f t="shared" si="4"/>
        <v/>
      </c>
      <c r="J12" s="116"/>
      <c r="K12" s="116"/>
      <c r="L12" s="55" t="str">
        <f t="shared" si="5"/>
        <v/>
      </c>
      <c r="M12" s="55" t="str">
        <f t="shared" si="6"/>
        <v/>
      </c>
      <c r="N12" s="56" t="str">
        <f t="shared" si="7"/>
        <v/>
      </c>
      <c r="O12" s="55" t="str">
        <f t="shared" si="8"/>
        <v/>
      </c>
      <c r="P12" s="108" t="str">
        <f t="shared" si="9"/>
        <v/>
      </c>
      <c r="Q12" s="116"/>
      <c r="R12" s="116"/>
      <c r="S12" s="55" t="str">
        <f t="shared" si="10"/>
        <v/>
      </c>
      <c r="T12" s="55" t="str">
        <f t="shared" si="11"/>
        <v/>
      </c>
      <c r="U12" s="56" t="str">
        <f t="shared" si="12"/>
        <v/>
      </c>
      <c r="V12" s="55" t="str">
        <f t="shared" si="13"/>
        <v/>
      </c>
      <c r="W12" s="108" t="str">
        <f t="shared" si="14"/>
        <v/>
      </c>
      <c r="X12" s="116"/>
      <c r="Y12" s="116"/>
      <c r="Z12" s="55" t="str">
        <f t="shared" si="15"/>
        <v/>
      </c>
      <c r="AA12" s="55" t="str">
        <f t="shared" si="16"/>
        <v/>
      </c>
      <c r="AB12" s="56" t="str">
        <f t="shared" si="17"/>
        <v/>
      </c>
      <c r="AC12" s="55" t="str">
        <f t="shared" si="18"/>
        <v/>
      </c>
      <c r="AD12" s="108" t="str">
        <f t="shared" si="19"/>
        <v/>
      </c>
      <c r="AE12" s="116">
        <f t="shared" si="20"/>
        <v>0</v>
      </c>
      <c r="AF12" s="117">
        <f t="shared" si="21"/>
        <v>0</v>
      </c>
      <c r="AG12" s="117">
        <f t="shared" si="22"/>
        <v>0</v>
      </c>
      <c r="AH12" s="116">
        <f t="shared" si="22"/>
        <v>0</v>
      </c>
      <c r="AI12" s="116"/>
      <c r="AJ12" s="116"/>
      <c r="AK12" s="69"/>
    </row>
    <row r="13" spans="1:37" x14ac:dyDescent="0.25">
      <c r="A13" s="162" t="s">
        <v>1368</v>
      </c>
      <c r="B13" s="153" t="s">
        <v>1369</v>
      </c>
      <c r="C13" s="116"/>
      <c r="D13" s="116"/>
      <c r="E13" s="55" t="str">
        <f t="shared" si="0"/>
        <v/>
      </c>
      <c r="F13" s="55" t="str">
        <f t="shared" si="1"/>
        <v/>
      </c>
      <c r="G13" s="56" t="str">
        <f t="shared" si="2"/>
        <v/>
      </c>
      <c r="H13" s="55" t="str">
        <f t="shared" si="3"/>
        <v/>
      </c>
      <c r="I13" s="108" t="str">
        <f t="shared" si="4"/>
        <v/>
      </c>
      <c r="J13" s="116"/>
      <c r="K13" s="116"/>
      <c r="L13" s="55" t="str">
        <f t="shared" si="5"/>
        <v/>
      </c>
      <c r="M13" s="55" t="str">
        <f t="shared" si="6"/>
        <v/>
      </c>
      <c r="N13" s="56" t="str">
        <f t="shared" si="7"/>
        <v/>
      </c>
      <c r="O13" s="55" t="str">
        <f t="shared" si="8"/>
        <v/>
      </c>
      <c r="P13" s="108" t="str">
        <f t="shared" si="9"/>
        <v/>
      </c>
      <c r="Q13" s="116"/>
      <c r="R13" s="116"/>
      <c r="S13" s="55" t="str">
        <f t="shared" si="10"/>
        <v/>
      </c>
      <c r="T13" s="55" t="str">
        <f t="shared" si="11"/>
        <v/>
      </c>
      <c r="U13" s="56" t="str">
        <f t="shared" si="12"/>
        <v/>
      </c>
      <c r="V13" s="55" t="str">
        <f t="shared" si="13"/>
        <v/>
      </c>
      <c r="W13" s="108" t="str">
        <f t="shared" si="14"/>
        <v/>
      </c>
      <c r="X13" s="116"/>
      <c r="Y13" s="116"/>
      <c r="Z13" s="55" t="str">
        <f t="shared" si="15"/>
        <v/>
      </c>
      <c r="AA13" s="55" t="str">
        <f t="shared" si="16"/>
        <v/>
      </c>
      <c r="AB13" s="56" t="str">
        <f t="shared" si="17"/>
        <v/>
      </c>
      <c r="AC13" s="55" t="str">
        <f t="shared" si="18"/>
        <v/>
      </c>
      <c r="AD13" s="108" t="str">
        <f t="shared" si="19"/>
        <v/>
      </c>
      <c r="AE13" s="116">
        <f t="shared" si="20"/>
        <v>0</v>
      </c>
      <c r="AF13" s="117">
        <f t="shared" si="21"/>
        <v>0</v>
      </c>
      <c r="AG13" s="117">
        <f t="shared" si="22"/>
        <v>0</v>
      </c>
      <c r="AH13" s="116">
        <f t="shared" si="22"/>
        <v>0</v>
      </c>
      <c r="AI13" s="116"/>
      <c r="AJ13" s="116"/>
      <c r="AK13" s="69"/>
    </row>
    <row r="14" spans="1:37" x14ac:dyDescent="0.25">
      <c r="A14" s="162" t="s">
        <v>1370</v>
      </c>
      <c r="B14" s="153" t="s">
        <v>1371</v>
      </c>
      <c r="C14" s="116"/>
      <c r="D14" s="116"/>
      <c r="E14" s="55" t="str">
        <f t="shared" si="0"/>
        <v/>
      </c>
      <c r="F14" s="55" t="str">
        <f t="shared" si="1"/>
        <v/>
      </c>
      <c r="G14" s="56" t="str">
        <f t="shared" si="2"/>
        <v/>
      </c>
      <c r="H14" s="55" t="str">
        <f t="shared" si="3"/>
        <v/>
      </c>
      <c r="I14" s="108" t="str">
        <f t="shared" si="4"/>
        <v/>
      </c>
      <c r="J14" s="116"/>
      <c r="K14" s="116"/>
      <c r="L14" s="55" t="str">
        <f t="shared" si="5"/>
        <v/>
      </c>
      <c r="M14" s="55" t="str">
        <f t="shared" si="6"/>
        <v/>
      </c>
      <c r="N14" s="56" t="str">
        <f t="shared" si="7"/>
        <v/>
      </c>
      <c r="O14" s="55" t="str">
        <f t="shared" si="8"/>
        <v/>
      </c>
      <c r="P14" s="108" t="str">
        <f t="shared" si="9"/>
        <v/>
      </c>
      <c r="Q14" s="116"/>
      <c r="R14" s="116"/>
      <c r="S14" s="55" t="str">
        <f t="shared" si="10"/>
        <v/>
      </c>
      <c r="T14" s="55" t="str">
        <f t="shared" si="11"/>
        <v/>
      </c>
      <c r="U14" s="56" t="str">
        <f t="shared" si="12"/>
        <v/>
      </c>
      <c r="V14" s="55" t="str">
        <f t="shared" si="13"/>
        <v/>
      </c>
      <c r="W14" s="108" t="str">
        <f t="shared" si="14"/>
        <v/>
      </c>
      <c r="X14" s="116"/>
      <c r="Y14" s="116"/>
      <c r="Z14" s="55" t="str">
        <f t="shared" si="15"/>
        <v/>
      </c>
      <c r="AA14" s="55" t="str">
        <f t="shared" si="16"/>
        <v/>
      </c>
      <c r="AB14" s="56" t="str">
        <f t="shared" si="17"/>
        <v/>
      </c>
      <c r="AC14" s="55" t="str">
        <f t="shared" si="18"/>
        <v/>
      </c>
      <c r="AD14" s="108" t="str">
        <f t="shared" si="19"/>
        <v/>
      </c>
      <c r="AE14" s="116">
        <f t="shared" si="20"/>
        <v>0</v>
      </c>
      <c r="AF14" s="117">
        <f t="shared" si="21"/>
        <v>0</v>
      </c>
      <c r="AG14" s="117">
        <f t="shared" si="22"/>
        <v>0</v>
      </c>
      <c r="AH14" s="116">
        <f t="shared" si="22"/>
        <v>0</v>
      </c>
      <c r="AI14" s="116"/>
      <c r="AJ14" s="116"/>
      <c r="AK14" s="69"/>
    </row>
    <row r="15" spans="1:37" ht="22.5" x14ac:dyDescent="0.25">
      <c r="A15" s="162" t="s">
        <v>1372</v>
      </c>
      <c r="B15" s="153" t="s">
        <v>1373</v>
      </c>
      <c r="C15" s="116"/>
      <c r="D15" s="116"/>
      <c r="E15" s="55" t="str">
        <f t="shared" si="0"/>
        <v/>
      </c>
      <c r="F15" s="55" t="str">
        <f t="shared" si="1"/>
        <v/>
      </c>
      <c r="G15" s="56" t="str">
        <f t="shared" si="2"/>
        <v/>
      </c>
      <c r="H15" s="55" t="str">
        <f t="shared" si="3"/>
        <v/>
      </c>
      <c r="I15" s="108" t="str">
        <f t="shared" si="4"/>
        <v/>
      </c>
      <c r="J15" s="116"/>
      <c r="K15" s="116"/>
      <c r="L15" s="55" t="str">
        <f t="shared" si="5"/>
        <v/>
      </c>
      <c r="M15" s="55" t="str">
        <f t="shared" si="6"/>
        <v/>
      </c>
      <c r="N15" s="56" t="str">
        <f t="shared" si="7"/>
        <v/>
      </c>
      <c r="O15" s="55" t="str">
        <f t="shared" si="8"/>
        <v/>
      </c>
      <c r="P15" s="108" t="str">
        <f t="shared" si="9"/>
        <v/>
      </c>
      <c r="Q15" s="116"/>
      <c r="R15" s="116"/>
      <c r="S15" s="55" t="str">
        <f t="shared" si="10"/>
        <v/>
      </c>
      <c r="T15" s="55" t="str">
        <f t="shared" si="11"/>
        <v/>
      </c>
      <c r="U15" s="56" t="str">
        <f t="shared" si="12"/>
        <v/>
      </c>
      <c r="V15" s="55" t="str">
        <f t="shared" si="13"/>
        <v/>
      </c>
      <c r="W15" s="108" t="str">
        <f t="shared" si="14"/>
        <v/>
      </c>
      <c r="X15" s="116"/>
      <c r="Y15" s="116"/>
      <c r="Z15" s="55" t="str">
        <f t="shared" si="15"/>
        <v/>
      </c>
      <c r="AA15" s="55" t="str">
        <f t="shared" si="16"/>
        <v/>
      </c>
      <c r="AB15" s="56" t="str">
        <f t="shared" si="17"/>
        <v/>
      </c>
      <c r="AC15" s="55" t="str">
        <f t="shared" si="18"/>
        <v/>
      </c>
      <c r="AD15" s="108" t="str">
        <f t="shared" si="19"/>
        <v/>
      </c>
      <c r="AE15" s="116">
        <f t="shared" si="20"/>
        <v>0</v>
      </c>
      <c r="AF15" s="116">
        <f t="shared" si="21"/>
        <v>0</v>
      </c>
      <c r="AG15" s="116"/>
      <c r="AH15" s="116"/>
      <c r="AI15" s="116">
        <f>AE15-AG15</f>
        <v>0</v>
      </c>
      <c r="AJ15" s="116">
        <f>AF15-AH15</f>
        <v>0</v>
      </c>
      <c r="AK15" s="69"/>
    </row>
    <row r="16" spans="1:37" ht="22.5" x14ac:dyDescent="0.25">
      <c r="A16" s="162" t="s">
        <v>1374</v>
      </c>
      <c r="B16" s="153" t="s">
        <v>739</v>
      </c>
      <c r="C16" s="116"/>
      <c r="D16" s="116"/>
      <c r="E16" s="55" t="str">
        <f t="shared" si="0"/>
        <v/>
      </c>
      <c r="F16" s="55" t="str">
        <f t="shared" si="1"/>
        <v/>
      </c>
      <c r="G16" s="56" t="str">
        <f t="shared" si="2"/>
        <v/>
      </c>
      <c r="H16" s="55" t="str">
        <f t="shared" si="3"/>
        <v/>
      </c>
      <c r="I16" s="108" t="str">
        <f t="shared" si="4"/>
        <v/>
      </c>
      <c r="J16" s="116"/>
      <c r="K16" s="116"/>
      <c r="L16" s="55" t="str">
        <f t="shared" si="5"/>
        <v/>
      </c>
      <c r="M16" s="55" t="str">
        <f t="shared" si="6"/>
        <v/>
      </c>
      <c r="N16" s="56" t="str">
        <f t="shared" si="7"/>
        <v/>
      </c>
      <c r="O16" s="55" t="str">
        <f t="shared" si="8"/>
        <v/>
      </c>
      <c r="P16" s="108" t="str">
        <f t="shared" si="9"/>
        <v/>
      </c>
      <c r="Q16" s="116"/>
      <c r="R16" s="116"/>
      <c r="S16" s="55" t="str">
        <f t="shared" si="10"/>
        <v/>
      </c>
      <c r="T16" s="55" t="str">
        <f t="shared" si="11"/>
        <v/>
      </c>
      <c r="U16" s="56" t="str">
        <f t="shared" si="12"/>
        <v/>
      </c>
      <c r="V16" s="55" t="str">
        <f t="shared" si="13"/>
        <v/>
      </c>
      <c r="W16" s="108" t="str">
        <f t="shared" si="14"/>
        <v/>
      </c>
      <c r="X16" s="116"/>
      <c r="Y16" s="116"/>
      <c r="Z16" s="55" t="str">
        <f t="shared" si="15"/>
        <v/>
      </c>
      <c r="AA16" s="55" t="str">
        <f t="shared" si="16"/>
        <v/>
      </c>
      <c r="AB16" s="56" t="str">
        <f t="shared" si="17"/>
        <v/>
      </c>
      <c r="AC16" s="55" t="str">
        <f t="shared" si="18"/>
        <v/>
      </c>
      <c r="AD16" s="108" t="str">
        <f t="shared" si="19"/>
        <v/>
      </c>
      <c r="AE16" s="116">
        <f t="shared" si="20"/>
        <v>0</v>
      </c>
      <c r="AF16" s="116">
        <f t="shared" si="21"/>
        <v>0</v>
      </c>
      <c r="AG16" s="116"/>
      <c r="AH16" s="116"/>
      <c r="AI16" s="116">
        <f>AE16-AG16</f>
        <v>0</v>
      </c>
      <c r="AJ16" s="116">
        <f>AF16-AH16</f>
        <v>0</v>
      </c>
      <c r="AK16" s="69"/>
    </row>
    <row r="17" spans="1:37" x14ac:dyDescent="0.25">
      <c r="A17" s="162" t="s">
        <v>1375</v>
      </c>
      <c r="B17" s="153" t="s">
        <v>1376</v>
      </c>
      <c r="C17" s="52"/>
      <c r="D17" s="52"/>
      <c r="E17" s="57"/>
      <c r="F17" s="57"/>
      <c r="G17" s="52"/>
      <c r="H17" s="57"/>
      <c r="I17" s="58"/>
      <c r="J17" s="52"/>
      <c r="K17" s="52"/>
      <c r="L17" s="57"/>
      <c r="M17" s="57"/>
      <c r="N17" s="52"/>
      <c r="O17" s="57"/>
      <c r="P17" s="58"/>
      <c r="Q17" s="52"/>
      <c r="R17" s="52"/>
      <c r="S17" s="57"/>
      <c r="T17" s="57"/>
      <c r="U17" s="52"/>
      <c r="V17" s="57"/>
      <c r="W17" s="58"/>
      <c r="X17" s="52"/>
      <c r="Y17" s="52"/>
      <c r="Z17" s="57"/>
      <c r="AA17" s="57"/>
      <c r="AB17" s="52"/>
      <c r="AC17" s="57"/>
      <c r="AD17" s="58"/>
      <c r="AE17" s="52"/>
      <c r="AF17" s="52"/>
      <c r="AG17" s="52"/>
      <c r="AH17" s="52"/>
      <c r="AI17" s="52"/>
      <c r="AJ17" s="52"/>
      <c r="AK17" s="69"/>
    </row>
    <row r="18" spans="1:37" x14ac:dyDescent="0.25">
      <c r="A18" s="162"/>
      <c r="B18" s="153"/>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69"/>
    </row>
    <row r="19" spans="1:37" x14ac:dyDescent="0.25">
      <c r="A19" s="162" t="s">
        <v>1377</v>
      </c>
      <c r="B19" s="153" t="s">
        <v>1378</v>
      </c>
      <c r="C19" s="54">
        <f>ROUND(SUM(C8:C16)+C17,0)</f>
        <v>0</v>
      </c>
      <c r="D19" s="54">
        <f>ROUND(SUM(D8:D16)+D17,0)</f>
        <v>0</v>
      </c>
      <c r="E19" s="29"/>
      <c r="F19" s="29"/>
      <c r="G19" s="29"/>
      <c r="H19" s="29"/>
      <c r="I19" s="29"/>
      <c r="J19" s="54">
        <f>ROUND(SUM(J8:J16)+J17,0)</f>
        <v>0</v>
      </c>
      <c r="K19" s="54">
        <f>ROUND(SUM(K8:K16)+K17,0)</f>
        <v>0</v>
      </c>
      <c r="L19" s="29"/>
      <c r="M19" s="29"/>
      <c r="N19" s="29"/>
      <c r="O19" s="29"/>
      <c r="P19" s="29"/>
      <c r="Q19" s="54">
        <f>ROUND(SUM(Q8:Q16)+Q17,0)</f>
        <v>0</v>
      </c>
      <c r="R19" s="54">
        <f>ROUND(SUM(R8:R16)+R17,0)</f>
        <v>0</v>
      </c>
      <c r="S19" s="29"/>
      <c r="T19" s="29"/>
      <c r="U19" s="29"/>
      <c r="V19" s="29"/>
      <c r="W19" s="29"/>
      <c r="X19" s="54">
        <f>ROUND(SUM(X8:X16)+X17,0)</f>
        <v>0</v>
      </c>
      <c r="Y19" s="54">
        <f>ROUND(SUM(Y8:Y16)+Y17,0)</f>
        <v>0</v>
      </c>
      <c r="Z19" s="29"/>
      <c r="AA19" s="29"/>
      <c r="AB19" s="29"/>
      <c r="AC19" s="29"/>
      <c r="AD19" s="29"/>
      <c r="AE19" s="54">
        <f t="shared" ref="AE19:AJ19" si="23">ROUND(SUM(AE8:AE16)+AE17,0)</f>
        <v>0</v>
      </c>
      <c r="AF19" s="54">
        <f t="shared" si="23"/>
        <v>0</v>
      </c>
      <c r="AG19" s="54">
        <f t="shared" si="23"/>
        <v>0</v>
      </c>
      <c r="AH19" s="54">
        <f t="shared" si="23"/>
        <v>0</v>
      </c>
      <c r="AI19" s="54">
        <f t="shared" si="23"/>
        <v>0</v>
      </c>
      <c r="AJ19" s="54">
        <f t="shared" si="23"/>
        <v>0</v>
      </c>
      <c r="AK19" s="69"/>
    </row>
    <row r="20" spans="1:37" x14ac:dyDescent="0.25">
      <c r="A20" s="162"/>
      <c r="B20" s="153" t="s">
        <v>1379</v>
      </c>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69"/>
    </row>
    <row r="21" spans="1:37" x14ac:dyDescent="0.25">
      <c r="A21" s="162"/>
      <c r="B21" s="153" t="s">
        <v>1380</v>
      </c>
      <c r="C21" s="51"/>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69"/>
    </row>
    <row r="22" spans="1:37" x14ac:dyDescent="0.25">
      <c r="A22" s="162"/>
      <c r="B22" s="153" t="s">
        <v>1379</v>
      </c>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69"/>
    </row>
    <row r="23" spans="1:37" x14ac:dyDescent="0.25">
      <c r="A23" s="162" t="s">
        <v>1381</v>
      </c>
      <c r="B23" s="153" t="s">
        <v>1382</v>
      </c>
      <c r="C23" s="116"/>
      <c r="D23" s="116"/>
      <c r="E23" s="55" t="str">
        <f>IFERROR(TRUNC(IF(C23&lt;&gt;0,C23/$C$121,"")*100,2),"")</f>
        <v/>
      </c>
      <c r="F23" s="55" t="str">
        <f>IFERROR(TRUNC(IF(D23&lt;&gt;0,D23/$D$121,"")*100,2),"")</f>
        <v/>
      </c>
      <c r="G23" s="56" t="str">
        <f>IF(OR(C23&lt;&gt;0,D23&lt;&gt;0),C23-D23,"")</f>
        <v/>
      </c>
      <c r="H23" s="55" t="str">
        <f>IFERROR(ABS(IF(G23&lt;&gt;0,IF(D23&lt;&gt;0,TRUNC(G23/D23*100,2),IF(C23&lt;&gt;0,TRUNC(G23/C23*100,2),"")),"")),"")</f>
        <v/>
      </c>
      <c r="I23" s="108" t="str">
        <f>IF(AND(AE$121=0,AF$121=0),"",IF(OR(N(E23)&lt;&gt;0,N(F23)&lt;&gt;0),IF(OR(N(E23)&gt;4,N(F23)&gt;4),IF(N(H23)&gt;14,"SI","NO"),"NO"),"NO"))</f>
        <v/>
      </c>
      <c r="J23" s="116"/>
      <c r="K23" s="116"/>
      <c r="L23" s="55" t="str">
        <f>IFERROR(TRUNC(IF(J23&lt;&gt;0,J23/$J$121,"")*100,2),"")</f>
        <v/>
      </c>
      <c r="M23" s="55" t="str">
        <f>IFERROR(TRUNC(IF(K23&lt;&gt;0,K23/$K$121,"")*100,2),"")</f>
        <v/>
      </c>
      <c r="N23" s="56" t="str">
        <f>IF(OR(J23&lt;&gt;0,K23&lt;&gt;0),J23-K23,"")</f>
        <v/>
      </c>
      <c r="O23" s="55" t="str">
        <f>IFERROR(ABS(IF(N23&lt;&gt;0,IF(K23&lt;&gt;0,TRUNC(N23/K23*100,2),IF(J23&lt;&gt;0,TRUNC(N23/J23*100,2),"")),"")),"")</f>
        <v/>
      </c>
      <c r="P23" s="108" t="str">
        <f>IF(AND(AE$121=0,AF$121=0),"",IF(OR(N(L23)&lt;&gt;0,N(M23)&lt;&gt;0),IF(OR(N(L23)&gt;4,N(M23)&gt;4),IF(N(O23)&gt;14,"SI","NO"),"NO"),"NO"))</f>
        <v/>
      </c>
      <c r="Q23" s="116"/>
      <c r="R23" s="116"/>
      <c r="S23" s="55" t="str">
        <f>IFERROR(TRUNC(IF(Q23&lt;&gt;0,Q23/$Q$121,"")*100,2),"")</f>
        <v/>
      </c>
      <c r="T23" s="55" t="str">
        <f>IFERROR(TRUNC(IF(R23&lt;&gt;0,R23/$R$121,"")*100,2),"")</f>
        <v/>
      </c>
      <c r="U23" s="56" t="str">
        <f>IF(OR(Q23&lt;&gt;0,R23&lt;&gt;0),Q23-R23,"")</f>
        <v/>
      </c>
      <c r="V23" s="55" t="str">
        <f>IFERROR(ABS(IF(U23&lt;&gt;0,IF(R23&lt;&gt;0,TRUNC(U23/R23*100,2),IF(Q23&lt;&gt;0,TRUNC(U23/Q23*100,2),"")),"")),"")</f>
        <v/>
      </c>
      <c r="W23" s="108" t="str">
        <f>IF(AND(AE$121=0,AF$121=0),"",IF(OR(N(S23)&lt;&gt;0,N(T23)&lt;&gt;0),IF(OR(N(S23)&gt;4,N(T23)&gt;4),IF(N(V23)&gt;14,"SI","NO"),"NO"),"NO"))</f>
        <v/>
      </c>
      <c r="X23" s="116"/>
      <c r="Y23" s="116"/>
      <c r="Z23" s="55" t="str">
        <f>IFERROR(TRUNC(IF(X23&lt;&gt;0,X23/$X$121,"")*100,2),"")</f>
        <v/>
      </c>
      <c r="AA23" s="55" t="str">
        <f>IFERROR(TRUNC(IF(Y23&lt;&gt;0,Y23/$Y$121,"")*100,2),"")</f>
        <v/>
      </c>
      <c r="AB23" s="56" t="str">
        <f>IF(OR(X23&lt;&gt;0,Y23&lt;&gt;0),X23-Y23,"")</f>
        <v/>
      </c>
      <c r="AC23" s="55" t="str">
        <f>IFERROR(ABS(IF(AB23&lt;&gt;0,IF(Y23&lt;&gt;0,TRUNC(AB23/Y23*100,2),IF(X23&lt;&gt;0,TRUNC(AB23/X23*100,2),"")),"")),"")</f>
        <v/>
      </c>
      <c r="AD23" s="108" t="str">
        <f>IF(AND(AE$121=0,AF$121=0),"",IF(OR(N(Z23)&lt;&gt;0,N(AA23)&lt;&gt;0),IF(OR(N(Z23)&gt;4,N(AA23)&gt;4),IF(N(AC23)&gt;14,"SI","NO"),"NO"),"NO"))</f>
        <v/>
      </c>
      <c r="AE23" s="116">
        <f t="shared" ref="AE23:AF26" si="24">ROUND(C23+J23+Q23+X23,0)</f>
        <v>0</v>
      </c>
      <c r="AF23" s="117">
        <f t="shared" si="24"/>
        <v>0</v>
      </c>
      <c r="AG23" s="117">
        <f t="shared" ref="AG23:AH26" si="25">AE23-AI23</f>
        <v>0</v>
      </c>
      <c r="AH23" s="116">
        <f t="shared" si="25"/>
        <v>0</v>
      </c>
      <c r="AI23" s="116"/>
      <c r="AJ23" s="116"/>
      <c r="AK23" s="69"/>
    </row>
    <row r="24" spans="1:37" x14ac:dyDescent="0.25">
      <c r="A24" s="162" t="s">
        <v>1383</v>
      </c>
      <c r="B24" s="153" t="s">
        <v>1384</v>
      </c>
      <c r="C24" s="116"/>
      <c r="D24" s="116"/>
      <c r="E24" s="55" t="str">
        <f>IFERROR(TRUNC(IF(C24&lt;&gt;0,C24/$C$121,"")*100,2),"")</f>
        <v/>
      </c>
      <c r="F24" s="55" t="str">
        <f>IFERROR(TRUNC(IF(D24&lt;&gt;0,D24/$D$121,"")*100,2),"")</f>
        <v/>
      </c>
      <c r="G24" s="56" t="str">
        <f>IF(OR(C24&lt;&gt;0,D24&lt;&gt;0),C24-D24,"")</f>
        <v/>
      </c>
      <c r="H24" s="55" t="str">
        <f>IFERROR(ABS(IF(G24&lt;&gt;0,IF(D24&lt;&gt;0,TRUNC(G24/D24*100,2),IF(C24&lt;&gt;0,TRUNC(G24/C24*100,2),"")),"")),"")</f>
        <v/>
      </c>
      <c r="I24" s="108" t="str">
        <f>IF(AND(AE$121=0,AF$121=0),"",IF(OR(N(E24)&lt;&gt;0,N(F24)&lt;&gt;0),IF(OR(N(E24)&gt;4,N(F24)&gt;4),IF(N(H24)&gt;14,"SI","NO"),"NO"),"NO"))</f>
        <v/>
      </c>
      <c r="J24" s="116"/>
      <c r="K24" s="116"/>
      <c r="L24" s="55" t="str">
        <f>IFERROR(TRUNC(IF(J24&lt;&gt;0,J24/$J$121,"")*100,2),"")</f>
        <v/>
      </c>
      <c r="M24" s="55" t="str">
        <f>IFERROR(TRUNC(IF(K24&lt;&gt;0,K24/$K$121,"")*100,2),"")</f>
        <v/>
      </c>
      <c r="N24" s="56" t="str">
        <f>IF(OR(J24&lt;&gt;0,K24&lt;&gt;0),J24-K24,"")</f>
        <v/>
      </c>
      <c r="O24" s="55" t="str">
        <f>IFERROR(ABS(IF(N24&lt;&gt;0,IF(K24&lt;&gt;0,TRUNC(N24/K24*100,2),IF(J24&lt;&gt;0,TRUNC(N24/J24*100,2),"")),"")),"")</f>
        <v/>
      </c>
      <c r="P24" s="108" t="str">
        <f>IF(AND(AE$121=0,AF$121=0),"",IF(OR(N(L24)&lt;&gt;0,N(M24)&lt;&gt;0),IF(OR(N(L24)&gt;4,N(M24)&gt;4),IF(N(O24)&gt;14,"SI","NO"),"NO"),"NO"))</f>
        <v/>
      </c>
      <c r="Q24" s="116"/>
      <c r="R24" s="116"/>
      <c r="S24" s="55" t="str">
        <f>IFERROR(TRUNC(IF(Q24&lt;&gt;0,Q24/$Q$121,"")*100,2),"")</f>
        <v/>
      </c>
      <c r="T24" s="55" t="str">
        <f>IFERROR(TRUNC(IF(R24&lt;&gt;0,R24/$R$121,"")*100,2),"")</f>
        <v/>
      </c>
      <c r="U24" s="56" t="str">
        <f>IF(OR(Q24&lt;&gt;0,R24&lt;&gt;0),Q24-R24,"")</f>
        <v/>
      </c>
      <c r="V24" s="55" t="str">
        <f>IFERROR(ABS(IF(U24&lt;&gt;0,IF(R24&lt;&gt;0,TRUNC(U24/R24*100,2),IF(Q24&lt;&gt;0,TRUNC(U24/Q24*100,2),"")),"")),"")</f>
        <v/>
      </c>
      <c r="W24" s="108" t="str">
        <f>IF(AND(AE$121=0,AF$121=0),"",IF(OR(N(S24)&lt;&gt;0,N(T24)&lt;&gt;0),IF(OR(N(S24)&gt;4,N(T24)&gt;4),IF(N(V24)&gt;14,"SI","NO"),"NO"),"NO"))</f>
        <v/>
      </c>
      <c r="X24" s="116"/>
      <c r="Y24" s="116"/>
      <c r="Z24" s="55" t="str">
        <f>IFERROR(TRUNC(IF(X24&lt;&gt;0,X24/$X$121,"")*100,2),"")</f>
        <v/>
      </c>
      <c r="AA24" s="55" t="str">
        <f>IFERROR(TRUNC(IF(Y24&lt;&gt;0,Y24/$Y$121,"")*100,2),"")</f>
        <v/>
      </c>
      <c r="AB24" s="56" t="str">
        <f>IF(OR(X24&lt;&gt;0,Y24&lt;&gt;0),X24-Y24,"")</f>
        <v/>
      </c>
      <c r="AC24" s="55" t="str">
        <f>IFERROR(ABS(IF(AB24&lt;&gt;0,IF(Y24&lt;&gt;0,TRUNC(AB24/Y24*100,2),IF(X24&lt;&gt;0,TRUNC(AB24/X24*100,2),"")),"")),"")</f>
        <v/>
      </c>
      <c r="AD24" s="108" t="str">
        <f>IF(AND(AE$121=0,AF$121=0),"",IF(OR(N(Z24)&lt;&gt;0,N(AA24)&lt;&gt;0),IF(OR(N(Z24)&gt;4,N(AA24)&gt;4),IF(N(AC24)&gt;14,"SI","NO"),"NO"),"NO"))</f>
        <v/>
      </c>
      <c r="AE24" s="116">
        <f t="shared" si="24"/>
        <v>0</v>
      </c>
      <c r="AF24" s="117">
        <f t="shared" si="24"/>
        <v>0</v>
      </c>
      <c r="AG24" s="117">
        <f t="shared" si="25"/>
        <v>0</v>
      </c>
      <c r="AH24" s="116">
        <f t="shared" si="25"/>
        <v>0</v>
      </c>
      <c r="AI24" s="116"/>
      <c r="AJ24" s="116"/>
      <c r="AK24" s="69"/>
    </row>
    <row r="25" spans="1:37" x14ac:dyDescent="0.25">
      <c r="A25" s="162" t="s">
        <v>1385</v>
      </c>
      <c r="B25" s="153" t="s">
        <v>1386</v>
      </c>
      <c r="C25" s="116"/>
      <c r="D25" s="116"/>
      <c r="E25" s="55" t="str">
        <f>IFERROR(TRUNC(IF(C25&lt;&gt;0,C25/$C$121,"")*100,2),"")</f>
        <v/>
      </c>
      <c r="F25" s="55" t="str">
        <f>IFERROR(TRUNC(IF(D25&lt;&gt;0,D25/$D$121,"")*100,2),"")</f>
        <v/>
      </c>
      <c r="G25" s="56" t="str">
        <f>IF(OR(C25&lt;&gt;0,D25&lt;&gt;0),C25-D25,"")</f>
        <v/>
      </c>
      <c r="H25" s="55" t="str">
        <f>IFERROR(ABS(IF(G25&lt;&gt;0,IF(D25&lt;&gt;0,TRUNC(G25/D25*100,2),IF(C25&lt;&gt;0,TRUNC(G25/C25*100,2),"")),"")),"")</f>
        <v/>
      </c>
      <c r="I25" s="108" t="str">
        <f>IF(AND(AE$121=0,AF$121=0),"",IF(OR(N(E25)&lt;&gt;0,N(F25)&lt;&gt;0),IF(OR(N(E25)&gt;4,N(F25)&gt;4),IF(N(H25)&gt;14,"SI","NO"),"NO"),"NO"))</f>
        <v/>
      </c>
      <c r="J25" s="116"/>
      <c r="K25" s="116"/>
      <c r="L25" s="55" t="str">
        <f>IFERROR(TRUNC(IF(J25&lt;&gt;0,J25/$J$121,"")*100,2),"")</f>
        <v/>
      </c>
      <c r="M25" s="55" t="str">
        <f>IFERROR(TRUNC(IF(K25&lt;&gt;0,K25/$K$121,"")*100,2),"")</f>
        <v/>
      </c>
      <c r="N25" s="56" t="str">
        <f>IF(OR(J25&lt;&gt;0,K25&lt;&gt;0),J25-K25,"")</f>
        <v/>
      </c>
      <c r="O25" s="55" t="str">
        <f>IFERROR(ABS(IF(N25&lt;&gt;0,IF(K25&lt;&gt;0,TRUNC(N25/K25*100,2),IF(J25&lt;&gt;0,TRUNC(N25/J25*100,2),"")),"")),"")</f>
        <v/>
      </c>
      <c r="P25" s="108" t="str">
        <f>IF(AND(AE$121=0,AF$121=0),"",IF(OR(N(L25)&lt;&gt;0,N(M25)&lt;&gt;0),IF(OR(N(L25)&gt;4,N(M25)&gt;4),IF(N(O25)&gt;14,"SI","NO"),"NO"),"NO"))</f>
        <v/>
      </c>
      <c r="Q25" s="116"/>
      <c r="R25" s="116"/>
      <c r="S25" s="55" t="str">
        <f>IFERROR(TRUNC(IF(Q25&lt;&gt;0,Q25/$Q$121,"")*100,2),"")</f>
        <v/>
      </c>
      <c r="T25" s="55" t="str">
        <f>IFERROR(TRUNC(IF(R25&lt;&gt;0,R25/$R$121,"")*100,2),"")</f>
        <v/>
      </c>
      <c r="U25" s="56" t="str">
        <f>IF(OR(Q25&lt;&gt;0,R25&lt;&gt;0),Q25-R25,"")</f>
        <v/>
      </c>
      <c r="V25" s="55" t="str">
        <f>IFERROR(ABS(IF(U25&lt;&gt;0,IF(R25&lt;&gt;0,TRUNC(U25/R25*100,2),IF(Q25&lt;&gt;0,TRUNC(U25/Q25*100,2),"")),"")),"")</f>
        <v/>
      </c>
      <c r="W25" s="108" t="str">
        <f>IF(AND(AE$121=0,AF$121=0),"",IF(OR(N(S25)&lt;&gt;0,N(T25)&lt;&gt;0),IF(OR(N(S25)&gt;4,N(T25)&gt;4),IF(N(V25)&gt;14,"SI","NO"),"NO"),"NO"))</f>
        <v/>
      </c>
      <c r="X25" s="116"/>
      <c r="Y25" s="116"/>
      <c r="Z25" s="55" t="str">
        <f>IFERROR(TRUNC(IF(X25&lt;&gt;0,X25/$X$121,"")*100,2),"")</f>
        <v/>
      </c>
      <c r="AA25" s="55" t="str">
        <f>IFERROR(TRUNC(IF(Y25&lt;&gt;0,Y25/$Y$121,"")*100,2),"")</f>
        <v/>
      </c>
      <c r="AB25" s="56" t="str">
        <f>IF(OR(X25&lt;&gt;0,Y25&lt;&gt;0),X25-Y25,"")</f>
        <v/>
      </c>
      <c r="AC25" s="55" t="str">
        <f>IFERROR(ABS(IF(AB25&lt;&gt;0,IF(Y25&lt;&gt;0,TRUNC(AB25/Y25*100,2),IF(X25&lt;&gt;0,TRUNC(AB25/X25*100,2),"")),"")),"")</f>
        <v/>
      </c>
      <c r="AD25" s="108" t="str">
        <f>IF(AND(AE$121=0,AF$121=0),"",IF(OR(N(Z25)&lt;&gt;0,N(AA25)&lt;&gt;0),IF(OR(N(Z25)&gt;4,N(AA25)&gt;4),IF(N(AC25)&gt;14,"SI","NO"),"NO"),"NO"))</f>
        <v/>
      </c>
      <c r="AE25" s="116">
        <f t="shared" si="24"/>
        <v>0</v>
      </c>
      <c r="AF25" s="117">
        <f t="shared" si="24"/>
        <v>0</v>
      </c>
      <c r="AG25" s="117">
        <f t="shared" si="25"/>
        <v>0</v>
      </c>
      <c r="AH25" s="116">
        <f t="shared" si="25"/>
        <v>0</v>
      </c>
      <c r="AI25" s="116"/>
      <c r="AJ25" s="116"/>
      <c r="AK25" s="69"/>
    </row>
    <row r="26" spans="1:37" x14ac:dyDescent="0.25">
      <c r="A26" s="162" t="s">
        <v>1387</v>
      </c>
      <c r="B26" s="153" t="s">
        <v>1388</v>
      </c>
      <c r="C26" s="116"/>
      <c r="D26" s="116"/>
      <c r="E26" s="55" t="str">
        <f>IFERROR(TRUNC(IF(C26&lt;&gt;0,C26/$C$121,"")*100,2),"")</f>
        <v/>
      </c>
      <c r="F26" s="55" t="str">
        <f>IFERROR(TRUNC(IF(D26&lt;&gt;0,D26/$D$121,"")*100,2),"")</f>
        <v/>
      </c>
      <c r="G26" s="56" t="str">
        <f>IF(OR(C26&lt;&gt;0,D26&lt;&gt;0),C26-D26,"")</f>
        <v/>
      </c>
      <c r="H26" s="55" t="str">
        <f>IFERROR(ABS(IF(G26&lt;&gt;0,IF(D26&lt;&gt;0,TRUNC(G26/D26*100,2),IF(C26&lt;&gt;0,TRUNC(G26/C26*100,2),"")),"")),"")</f>
        <v/>
      </c>
      <c r="I26" s="108" t="str">
        <f>IF(AND(AE$121=0,AF$121=0),"",IF(OR(N(E26)&lt;&gt;0,N(F26)&lt;&gt;0),IF(OR(N(E26)&gt;4,N(F26)&gt;4),IF(N(H26)&gt;14,"SI","NO"),"NO"),"NO"))</f>
        <v/>
      </c>
      <c r="J26" s="116"/>
      <c r="K26" s="116"/>
      <c r="L26" s="55" t="str">
        <f>IFERROR(TRUNC(IF(J26&lt;&gt;0,J26/$J$121,"")*100,2),"")</f>
        <v/>
      </c>
      <c r="M26" s="55" t="str">
        <f>IFERROR(TRUNC(IF(K26&lt;&gt;0,K26/$K$121,"")*100,2),"")</f>
        <v/>
      </c>
      <c r="N26" s="56" t="str">
        <f>IF(OR(J26&lt;&gt;0,K26&lt;&gt;0),J26-K26,"")</f>
        <v/>
      </c>
      <c r="O26" s="55" t="str">
        <f>IFERROR(ABS(IF(N26&lt;&gt;0,IF(K26&lt;&gt;0,TRUNC(N26/K26*100,2),IF(J26&lt;&gt;0,TRUNC(N26/J26*100,2),"")),"")),"")</f>
        <v/>
      </c>
      <c r="P26" s="108" t="str">
        <f>IF(AND(AE$121=0,AF$121=0),"",IF(OR(N(L26)&lt;&gt;0,N(M26)&lt;&gt;0),IF(OR(N(L26)&gt;4,N(M26)&gt;4),IF(N(O26)&gt;14,"SI","NO"),"NO"),"NO"))</f>
        <v/>
      </c>
      <c r="Q26" s="116"/>
      <c r="R26" s="116"/>
      <c r="S26" s="55" t="str">
        <f>IFERROR(TRUNC(IF(Q26&lt;&gt;0,Q26/$Q$121,"")*100,2),"")</f>
        <v/>
      </c>
      <c r="T26" s="55" t="str">
        <f>IFERROR(TRUNC(IF(R26&lt;&gt;0,R26/$R$121,"")*100,2),"")</f>
        <v/>
      </c>
      <c r="U26" s="56" t="str">
        <f>IF(OR(Q26&lt;&gt;0,R26&lt;&gt;0),Q26-R26,"")</f>
        <v/>
      </c>
      <c r="V26" s="55" t="str">
        <f>IFERROR(ABS(IF(U26&lt;&gt;0,IF(R26&lt;&gt;0,TRUNC(U26/R26*100,2),IF(Q26&lt;&gt;0,TRUNC(U26/Q26*100,2),"")),"")),"")</f>
        <v/>
      </c>
      <c r="W26" s="108" t="str">
        <f>IF(AND(AE$121=0,AF$121=0),"",IF(OR(N(S26)&lt;&gt;0,N(T26)&lt;&gt;0),IF(OR(N(S26)&gt;4,N(T26)&gt;4),IF(N(V26)&gt;14,"SI","NO"),"NO"),"NO"))</f>
        <v/>
      </c>
      <c r="X26" s="116"/>
      <c r="Y26" s="116"/>
      <c r="Z26" s="55" t="str">
        <f>IFERROR(TRUNC(IF(X26&lt;&gt;0,X26/$X$121,"")*100,2),"")</f>
        <v/>
      </c>
      <c r="AA26" s="55" t="str">
        <f>IFERROR(TRUNC(IF(Y26&lt;&gt;0,Y26/$Y$121,"")*100,2),"")</f>
        <v/>
      </c>
      <c r="AB26" s="56" t="str">
        <f>IF(OR(X26&lt;&gt;0,Y26&lt;&gt;0),X26-Y26,"")</f>
        <v/>
      </c>
      <c r="AC26" s="55" t="str">
        <f>IFERROR(ABS(IF(AB26&lt;&gt;0,IF(Y26&lt;&gt;0,TRUNC(AB26/Y26*100,2),IF(X26&lt;&gt;0,TRUNC(AB26/X26*100,2),"")),"")),"")</f>
        <v/>
      </c>
      <c r="AD26" s="108" t="str">
        <f>IF(AND(AE$121=0,AF$121=0),"",IF(OR(N(Z26)&lt;&gt;0,N(AA26)&lt;&gt;0),IF(OR(N(Z26)&gt;4,N(AA26)&gt;4),IF(N(AC26)&gt;14,"SI","NO"),"NO"),"NO"))</f>
        <v/>
      </c>
      <c r="AE26" s="116">
        <f t="shared" si="24"/>
        <v>0</v>
      </c>
      <c r="AF26" s="117">
        <f t="shared" si="24"/>
        <v>0</v>
      </c>
      <c r="AG26" s="117">
        <f t="shared" si="25"/>
        <v>0</v>
      </c>
      <c r="AH26" s="116">
        <f t="shared" si="25"/>
        <v>0</v>
      </c>
      <c r="AI26" s="116"/>
      <c r="AJ26" s="116"/>
      <c r="AK26" s="69"/>
    </row>
    <row r="27" spans="1:37" x14ac:dyDescent="0.25">
      <c r="A27" s="162" t="s">
        <v>1389</v>
      </c>
      <c r="B27" s="153" t="s">
        <v>1390</v>
      </c>
      <c r="C27" s="52"/>
      <c r="D27" s="52"/>
      <c r="E27" s="57"/>
      <c r="F27" s="57"/>
      <c r="G27" s="52"/>
      <c r="H27" s="57"/>
      <c r="I27" s="58"/>
      <c r="J27" s="52"/>
      <c r="K27" s="52"/>
      <c r="L27" s="57"/>
      <c r="M27" s="57"/>
      <c r="N27" s="52"/>
      <c r="O27" s="57"/>
      <c r="P27" s="58"/>
      <c r="Q27" s="52"/>
      <c r="R27" s="52"/>
      <c r="S27" s="57"/>
      <c r="T27" s="57"/>
      <c r="U27" s="52"/>
      <c r="V27" s="57"/>
      <c r="W27" s="58"/>
      <c r="X27" s="52"/>
      <c r="Y27" s="52"/>
      <c r="Z27" s="57"/>
      <c r="AA27" s="57"/>
      <c r="AB27" s="52"/>
      <c r="AC27" s="57"/>
      <c r="AD27" s="58"/>
      <c r="AE27" s="52"/>
      <c r="AF27" s="52"/>
      <c r="AG27" s="52"/>
      <c r="AH27" s="52"/>
      <c r="AI27" s="52"/>
      <c r="AJ27" s="52"/>
      <c r="AK27" s="69"/>
    </row>
    <row r="28" spans="1:37" x14ac:dyDescent="0.25">
      <c r="A28" s="162"/>
      <c r="B28" s="153"/>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69"/>
    </row>
    <row r="29" spans="1:37" x14ac:dyDescent="0.25">
      <c r="A29" s="162" t="s">
        <v>1391</v>
      </c>
      <c r="B29" s="153" t="s">
        <v>1392</v>
      </c>
      <c r="C29" s="54">
        <f>ROUND(SUM(C23:C26)+C27,0)</f>
        <v>0</v>
      </c>
      <c r="D29" s="54">
        <f>ROUND(SUM(D23:D26)+D27,0)</f>
        <v>0</v>
      </c>
      <c r="E29" s="29"/>
      <c r="F29" s="29"/>
      <c r="G29" s="29"/>
      <c r="H29" s="29"/>
      <c r="I29" s="29"/>
      <c r="J29" s="54">
        <f>ROUND(SUM(J23:J26)+J27,0)</f>
        <v>0</v>
      </c>
      <c r="K29" s="54">
        <f>ROUND(SUM(K23:K26)+K27,0)</f>
        <v>0</v>
      </c>
      <c r="L29" s="29"/>
      <c r="M29" s="29"/>
      <c r="N29" s="29"/>
      <c r="O29" s="29"/>
      <c r="P29" s="29"/>
      <c r="Q29" s="54">
        <f>ROUND(SUM(Q23:Q26)+Q27,0)</f>
        <v>0</v>
      </c>
      <c r="R29" s="54">
        <f>ROUND(SUM(R23:R26)+R27,0)</f>
        <v>0</v>
      </c>
      <c r="S29" s="29"/>
      <c r="T29" s="29"/>
      <c r="U29" s="29"/>
      <c r="V29" s="29"/>
      <c r="W29" s="29"/>
      <c r="X29" s="54">
        <f>ROUND(SUM(X23:X26)+X27,0)</f>
        <v>0</v>
      </c>
      <c r="Y29" s="54">
        <f>ROUND(SUM(Y23:Y26)+Y27,0)</f>
        <v>0</v>
      </c>
      <c r="Z29" s="29"/>
      <c r="AA29" s="29"/>
      <c r="AB29" s="29"/>
      <c r="AC29" s="29"/>
      <c r="AD29" s="29"/>
      <c r="AE29" s="54">
        <f t="shared" ref="AE29:AJ29" si="26">ROUND(SUM(AE23:AE26)+AE27,0)</f>
        <v>0</v>
      </c>
      <c r="AF29" s="54">
        <f t="shared" si="26"/>
        <v>0</v>
      </c>
      <c r="AG29" s="54">
        <f t="shared" si="26"/>
        <v>0</v>
      </c>
      <c r="AH29" s="54">
        <f t="shared" si="26"/>
        <v>0</v>
      </c>
      <c r="AI29" s="54">
        <f t="shared" si="26"/>
        <v>0</v>
      </c>
      <c r="AJ29" s="54">
        <f t="shared" si="26"/>
        <v>0</v>
      </c>
      <c r="AK29" s="69"/>
    </row>
    <row r="30" spans="1:37" x14ac:dyDescent="0.25">
      <c r="A30" s="162"/>
      <c r="B30" s="153"/>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69"/>
    </row>
    <row r="31" spans="1:37" ht="22.5" x14ac:dyDescent="0.25">
      <c r="A31" s="162"/>
      <c r="B31" s="153" t="s">
        <v>1393</v>
      </c>
      <c r="C31" s="51"/>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69"/>
    </row>
    <row r="32" spans="1:37" x14ac:dyDescent="0.25">
      <c r="A32" s="162"/>
      <c r="B32" s="153"/>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69"/>
    </row>
    <row r="33" spans="1:37" x14ac:dyDescent="0.25">
      <c r="A33" s="162" t="s">
        <v>1394</v>
      </c>
      <c r="B33" s="153" t="s">
        <v>1395</v>
      </c>
      <c r="C33" s="116"/>
      <c r="D33" s="116"/>
      <c r="E33" s="55" t="str">
        <f>IFERROR(TRUNC(IF(C33&lt;&gt;0,C33/$C$121,"")*100,2),"")</f>
        <v/>
      </c>
      <c r="F33" s="55" t="str">
        <f>IFERROR(TRUNC(IF(D33&lt;&gt;0,D33/$D$121,"")*100,2),"")</f>
        <v/>
      </c>
      <c r="G33" s="56" t="str">
        <f>IF(OR(C33&lt;&gt;0,D33&lt;&gt;0),C33-D33,"")</f>
        <v/>
      </c>
      <c r="H33" s="55" t="str">
        <f>IFERROR(ABS(IF(G33&lt;&gt;0,IF(D33&lt;&gt;0,TRUNC(G33/D33*100,2),IF(C33&lt;&gt;0,TRUNC(G33/C33*100,2),"")),"")),"")</f>
        <v/>
      </c>
      <c r="I33" s="108" t="str">
        <f>IF(AND(AE$121=0,AF$121=0),"",IF(OR(N(E33)&lt;&gt;0,N(F33)&lt;&gt;0),IF(OR(N(E33)&gt;4,N(F33)&gt;4),IF(N(H33)&gt;14,"SI","NO"),"NO"),"NO"))</f>
        <v/>
      </c>
      <c r="J33" s="116"/>
      <c r="K33" s="116"/>
      <c r="L33" s="55" t="str">
        <f>IFERROR(TRUNC(IF(J33&lt;&gt;0,J33/$J$121,"")*100,2),"")</f>
        <v/>
      </c>
      <c r="M33" s="55" t="str">
        <f>IFERROR(TRUNC(IF(K33&lt;&gt;0,K33/$K$121,"")*100,2),"")</f>
        <v/>
      </c>
      <c r="N33" s="56" t="str">
        <f>IF(OR(J33&lt;&gt;0,K33&lt;&gt;0),J33-K33,"")</f>
        <v/>
      </c>
      <c r="O33" s="55" t="str">
        <f>IFERROR(ABS(IF(N33&lt;&gt;0,IF(K33&lt;&gt;0,TRUNC(N33/K33*100,2),IF(J33&lt;&gt;0,TRUNC(N33/J33*100,2),"")),"")),"")</f>
        <v/>
      </c>
      <c r="P33" s="108" t="str">
        <f>IF(AND(AE$121=0,AF$121=0),"",IF(OR(N(L33)&lt;&gt;0,N(M33)&lt;&gt;0),IF(OR(N(L33)&gt;4,N(M33)&gt;4),IF(N(O33)&gt;14,"SI","NO"),"NO"),"NO"))</f>
        <v/>
      </c>
      <c r="Q33" s="116"/>
      <c r="R33" s="116"/>
      <c r="S33" s="55" t="str">
        <f>IFERROR(TRUNC(IF(Q33&lt;&gt;0,Q33/$Q$121,"")*100,2),"")</f>
        <v/>
      </c>
      <c r="T33" s="55" t="str">
        <f>IFERROR(TRUNC(IF(R33&lt;&gt;0,R33/$R$121,"")*100,2),"")</f>
        <v/>
      </c>
      <c r="U33" s="56" t="str">
        <f>IF(OR(Q33&lt;&gt;0,R33&lt;&gt;0),Q33-R33,"")</f>
        <v/>
      </c>
      <c r="V33" s="55" t="str">
        <f>IFERROR(ABS(IF(U33&lt;&gt;0,IF(R33&lt;&gt;0,TRUNC(U33/R33*100,2),IF(Q33&lt;&gt;0,TRUNC(U33/Q33*100,2),"")),"")),"")</f>
        <v/>
      </c>
      <c r="W33" s="108" t="str">
        <f>IF(AND(AE$121=0,AF$121=0),"",IF(OR(N(S33)&lt;&gt;0,N(T33)&lt;&gt;0),IF(OR(N(S33)&gt;4,N(T33)&gt;4),IF(N(V33)&gt;14,"SI","NO"),"NO"),"NO"))</f>
        <v/>
      </c>
      <c r="X33" s="116"/>
      <c r="Y33" s="116"/>
      <c r="Z33" s="55" t="str">
        <f>IFERROR(TRUNC(IF(X33&lt;&gt;0,X33/$X$121,"")*100,2),"")</f>
        <v/>
      </c>
      <c r="AA33" s="55" t="str">
        <f>IFERROR(TRUNC(IF(Y33&lt;&gt;0,Y33/$Y$121,"")*100,2),"")</f>
        <v/>
      </c>
      <c r="AB33" s="56" t="str">
        <f>IF(OR(X33&lt;&gt;0,Y33&lt;&gt;0),X33-Y33,"")</f>
        <v/>
      </c>
      <c r="AC33" s="55" t="str">
        <f>IFERROR(ABS(IF(AB33&lt;&gt;0,IF(Y33&lt;&gt;0,TRUNC(AB33/Y33*100,2),IF(X33&lt;&gt;0,TRUNC(AB33/X33*100,2),"")),"")),"")</f>
        <v/>
      </c>
      <c r="AD33" s="108" t="str">
        <f>IF(AND(AE$121=0,AF$121=0),"",IF(OR(N(Z33)&lt;&gt;0,N(AA33)&lt;&gt;0),IF(OR(N(Z33)&gt;4,N(AA33)&gt;4),IF(N(AC33)&gt;14,"SI","NO"),"NO"),"NO"))</f>
        <v/>
      </c>
      <c r="AE33" s="116">
        <f t="shared" ref="AE33:AF36" si="27">ROUND(C33+J33+Q33+X33,0)</f>
        <v>0</v>
      </c>
      <c r="AF33" s="117">
        <f t="shared" si="27"/>
        <v>0</v>
      </c>
      <c r="AG33" s="117">
        <f t="shared" ref="AG33:AH36" si="28">AE33-AI33</f>
        <v>0</v>
      </c>
      <c r="AH33" s="116">
        <f t="shared" si="28"/>
        <v>0</v>
      </c>
      <c r="AI33" s="116"/>
      <c r="AJ33" s="116"/>
      <c r="AK33" s="69"/>
    </row>
    <row r="34" spans="1:37" x14ac:dyDescent="0.25">
      <c r="A34" s="162" t="s">
        <v>1396</v>
      </c>
      <c r="B34" s="153" t="s">
        <v>792</v>
      </c>
      <c r="C34" s="116"/>
      <c r="D34" s="116"/>
      <c r="E34" s="55" t="str">
        <f>IFERROR(TRUNC(IF(C34&lt;&gt;0,C34/$C$121,"")*100,2),"")</f>
        <v/>
      </c>
      <c r="F34" s="55" t="str">
        <f>IFERROR(TRUNC(IF(D34&lt;&gt;0,D34/$D$121,"")*100,2),"")</f>
        <v/>
      </c>
      <c r="G34" s="56" t="str">
        <f>IF(OR(C34&lt;&gt;0,D34&lt;&gt;0),C34-D34,"")</f>
        <v/>
      </c>
      <c r="H34" s="55" t="str">
        <f>IFERROR(ABS(IF(G34&lt;&gt;0,IF(D34&lt;&gt;0,TRUNC(G34/D34*100,2),IF(C34&lt;&gt;0,TRUNC(G34/C34*100,2),"")),"")),"")</f>
        <v/>
      </c>
      <c r="I34" s="108" t="str">
        <f>IF(AND(AE$121=0,AF$121=0),"",IF(OR(N(E34)&lt;&gt;0,N(F34)&lt;&gt;0),IF(OR(N(E34)&gt;4,N(F34)&gt;4),IF(N(H34)&gt;14,"SI","NO"),"NO"),"NO"))</f>
        <v/>
      </c>
      <c r="J34" s="116"/>
      <c r="K34" s="116"/>
      <c r="L34" s="55" t="str">
        <f>IFERROR(TRUNC(IF(J34&lt;&gt;0,J34/$J$121,"")*100,2),"")</f>
        <v/>
      </c>
      <c r="M34" s="55" t="str">
        <f>IFERROR(TRUNC(IF(K34&lt;&gt;0,K34/$K$121,"")*100,2),"")</f>
        <v/>
      </c>
      <c r="N34" s="56" t="str">
        <f>IF(OR(J34&lt;&gt;0,K34&lt;&gt;0),J34-K34,"")</f>
        <v/>
      </c>
      <c r="O34" s="55" t="str">
        <f>IFERROR(ABS(IF(N34&lt;&gt;0,IF(K34&lt;&gt;0,TRUNC(N34/K34*100,2),IF(J34&lt;&gt;0,TRUNC(N34/J34*100,2),"")),"")),"")</f>
        <v/>
      </c>
      <c r="P34" s="108" t="str">
        <f>IF(AND(AE$121=0,AF$121=0),"",IF(OR(N(L34)&lt;&gt;0,N(M34)&lt;&gt;0),IF(OR(N(L34)&gt;4,N(M34)&gt;4),IF(N(O34)&gt;14,"SI","NO"),"NO"),"NO"))</f>
        <v/>
      </c>
      <c r="Q34" s="116"/>
      <c r="R34" s="116"/>
      <c r="S34" s="55" t="str">
        <f>IFERROR(TRUNC(IF(Q34&lt;&gt;0,Q34/$Q$121,"")*100,2),"")</f>
        <v/>
      </c>
      <c r="T34" s="55" t="str">
        <f>IFERROR(TRUNC(IF(R34&lt;&gt;0,R34/$R$121,"")*100,2),"")</f>
        <v/>
      </c>
      <c r="U34" s="56" t="str">
        <f>IF(OR(Q34&lt;&gt;0,R34&lt;&gt;0),Q34-R34,"")</f>
        <v/>
      </c>
      <c r="V34" s="55" t="str">
        <f>IFERROR(ABS(IF(U34&lt;&gt;0,IF(R34&lt;&gt;0,TRUNC(U34/R34*100,2),IF(Q34&lt;&gt;0,TRUNC(U34/Q34*100,2),"")),"")),"")</f>
        <v/>
      </c>
      <c r="W34" s="108" t="str">
        <f>IF(AND(AE$121=0,AF$121=0),"",IF(OR(N(S34)&lt;&gt;0,N(T34)&lt;&gt;0),IF(OR(N(S34)&gt;4,N(T34)&gt;4),IF(N(V34)&gt;14,"SI","NO"),"NO"),"NO"))</f>
        <v/>
      </c>
      <c r="X34" s="116"/>
      <c r="Y34" s="116"/>
      <c r="Z34" s="55" t="str">
        <f>IFERROR(TRUNC(IF(X34&lt;&gt;0,X34/$X$121,"")*100,2),"")</f>
        <v/>
      </c>
      <c r="AA34" s="55" t="str">
        <f>IFERROR(TRUNC(IF(Y34&lt;&gt;0,Y34/$Y$121,"")*100,2),"")</f>
        <v/>
      </c>
      <c r="AB34" s="56" t="str">
        <f>IF(OR(X34&lt;&gt;0,Y34&lt;&gt;0),X34-Y34,"")</f>
        <v/>
      </c>
      <c r="AC34" s="55" t="str">
        <f>IFERROR(ABS(IF(AB34&lt;&gt;0,IF(Y34&lt;&gt;0,TRUNC(AB34/Y34*100,2),IF(X34&lt;&gt;0,TRUNC(AB34/X34*100,2),"")),"")),"")</f>
        <v/>
      </c>
      <c r="AD34" s="108" t="str">
        <f>IF(AND(AE$121=0,AF$121=0),"",IF(OR(N(Z34)&lt;&gt;0,N(AA34)&lt;&gt;0),IF(OR(N(Z34)&gt;4,N(AA34)&gt;4),IF(N(AC34)&gt;14,"SI","NO"),"NO"),"NO"))</f>
        <v/>
      </c>
      <c r="AE34" s="116">
        <f t="shared" si="27"/>
        <v>0</v>
      </c>
      <c r="AF34" s="117">
        <f t="shared" si="27"/>
        <v>0</v>
      </c>
      <c r="AG34" s="117">
        <f t="shared" si="28"/>
        <v>0</v>
      </c>
      <c r="AH34" s="116">
        <f t="shared" si="28"/>
        <v>0</v>
      </c>
      <c r="AI34" s="116"/>
      <c r="AJ34" s="116"/>
      <c r="AK34" s="69"/>
    </row>
    <row r="35" spans="1:37" x14ac:dyDescent="0.25">
      <c r="A35" s="162" t="s">
        <v>1397</v>
      </c>
      <c r="B35" s="153" t="s">
        <v>1398</v>
      </c>
      <c r="C35" s="116"/>
      <c r="D35" s="116"/>
      <c r="E35" s="55" t="str">
        <f>IFERROR(TRUNC(IF(C35&lt;&gt;0,C35/$C$121,"")*100,2),"")</f>
        <v/>
      </c>
      <c r="F35" s="55" t="str">
        <f>IFERROR(TRUNC(IF(D35&lt;&gt;0,D35/$D$121,"")*100,2),"")</f>
        <v/>
      </c>
      <c r="G35" s="56" t="str">
        <f>IF(OR(C35&lt;&gt;0,D35&lt;&gt;0),C35-D35,"")</f>
        <v/>
      </c>
      <c r="H35" s="55" t="str">
        <f>IFERROR(ABS(IF(G35&lt;&gt;0,IF(D35&lt;&gt;0,TRUNC(G35/D35*100,2),IF(C35&lt;&gt;0,TRUNC(G35/C35*100,2),"")),"")),"")</f>
        <v/>
      </c>
      <c r="I35" s="108" t="str">
        <f>IF(AND(AE$121=0,AF$121=0),"",IF(OR(N(E35)&lt;&gt;0,N(F35)&lt;&gt;0),IF(OR(N(E35)&gt;4,N(F35)&gt;4),IF(N(H35)&gt;14,"SI","NO"),"NO"),"NO"))</f>
        <v/>
      </c>
      <c r="J35" s="116"/>
      <c r="K35" s="116"/>
      <c r="L35" s="55" t="str">
        <f>IFERROR(TRUNC(IF(J35&lt;&gt;0,J35/$J$121,"")*100,2),"")</f>
        <v/>
      </c>
      <c r="M35" s="55" t="str">
        <f>IFERROR(TRUNC(IF(K35&lt;&gt;0,K35/$K$121,"")*100,2),"")</f>
        <v/>
      </c>
      <c r="N35" s="56" t="str">
        <f>IF(OR(J35&lt;&gt;0,K35&lt;&gt;0),J35-K35,"")</f>
        <v/>
      </c>
      <c r="O35" s="55" t="str">
        <f>IFERROR(ABS(IF(N35&lt;&gt;0,IF(K35&lt;&gt;0,TRUNC(N35/K35*100,2),IF(J35&lt;&gt;0,TRUNC(N35/J35*100,2),"")),"")),"")</f>
        <v/>
      </c>
      <c r="P35" s="108" t="str">
        <f>IF(AND(AE$121=0,AF$121=0),"",IF(OR(N(L35)&lt;&gt;0,N(M35)&lt;&gt;0),IF(OR(N(L35)&gt;4,N(M35)&gt;4),IF(N(O35)&gt;14,"SI","NO"),"NO"),"NO"))</f>
        <v/>
      </c>
      <c r="Q35" s="116"/>
      <c r="R35" s="116"/>
      <c r="S35" s="55" t="str">
        <f>IFERROR(TRUNC(IF(Q35&lt;&gt;0,Q35/$Q$121,"")*100,2),"")</f>
        <v/>
      </c>
      <c r="T35" s="55" t="str">
        <f>IFERROR(TRUNC(IF(R35&lt;&gt;0,R35/$R$121,"")*100,2),"")</f>
        <v/>
      </c>
      <c r="U35" s="56" t="str">
        <f>IF(OR(Q35&lt;&gt;0,R35&lt;&gt;0),Q35-R35,"")</f>
        <v/>
      </c>
      <c r="V35" s="55" t="str">
        <f>IFERROR(ABS(IF(U35&lt;&gt;0,IF(R35&lt;&gt;0,TRUNC(U35/R35*100,2),IF(Q35&lt;&gt;0,TRUNC(U35/Q35*100,2),"")),"")),"")</f>
        <v/>
      </c>
      <c r="W35" s="108" t="str">
        <f>IF(AND(AE$121=0,AF$121=0),"",IF(OR(N(S35)&lt;&gt;0,N(T35)&lt;&gt;0),IF(OR(N(S35)&gt;4,N(T35)&gt;4),IF(N(V35)&gt;14,"SI","NO"),"NO"),"NO"))</f>
        <v/>
      </c>
      <c r="X35" s="116"/>
      <c r="Y35" s="116"/>
      <c r="Z35" s="55" t="str">
        <f>IFERROR(TRUNC(IF(X35&lt;&gt;0,X35/$X$121,"")*100,2),"")</f>
        <v/>
      </c>
      <c r="AA35" s="55" t="str">
        <f>IFERROR(TRUNC(IF(Y35&lt;&gt;0,Y35/$Y$121,"")*100,2),"")</f>
        <v/>
      </c>
      <c r="AB35" s="56" t="str">
        <f>IF(OR(X35&lt;&gt;0,Y35&lt;&gt;0),X35-Y35,"")</f>
        <v/>
      </c>
      <c r="AC35" s="55" t="str">
        <f>IFERROR(ABS(IF(AB35&lt;&gt;0,IF(Y35&lt;&gt;0,TRUNC(AB35/Y35*100,2),IF(X35&lt;&gt;0,TRUNC(AB35/X35*100,2),"")),"")),"")</f>
        <v/>
      </c>
      <c r="AD35" s="108" t="str">
        <f>IF(AND(AE$121=0,AF$121=0),"",IF(OR(N(Z35)&lt;&gt;0,N(AA35)&lt;&gt;0),IF(OR(N(Z35)&gt;4,N(AA35)&gt;4),IF(N(AC35)&gt;14,"SI","NO"),"NO"),"NO"))</f>
        <v/>
      </c>
      <c r="AE35" s="116">
        <f t="shared" si="27"/>
        <v>0</v>
      </c>
      <c r="AF35" s="117">
        <f t="shared" si="27"/>
        <v>0</v>
      </c>
      <c r="AG35" s="117">
        <f t="shared" si="28"/>
        <v>0</v>
      </c>
      <c r="AH35" s="116">
        <f t="shared" si="28"/>
        <v>0</v>
      </c>
      <c r="AI35" s="116"/>
      <c r="AJ35" s="116"/>
      <c r="AK35" s="69"/>
    </row>
    <row r="36" spans="1:37" x14ac:dyDescent="0.25">
      <c r="A36" s="162" t="s">
        <v>1399</v>
      </c>
      <c r="B36" s="153" t="s">
        <v>1400</v>
      </c>
      <c r="C36" s="116"/>
      <c r="D36" s="116"/>
      <c r="E36" s="55" t="str">
        <f>IFERROR(TRUNC(IF(C36&lt;&gt;0,C36/$C$121,"")*100,2),"")</f>
        <v/>
      </c>
      <c r="F36" s="55" t="str">
        <f>IFERROR(TRUNC(IF(D36&lt;&gt;0,D36/$D$121,"")*100,2),"")</f>
        <v/>
      </c>
      <c r="G36" s="56" t="str">
        <f>IF(OR(C36&lt;&gt;0,D36&lt;&gt;0),C36-D36,"")</f>
        <v/>
      </c>
      <c r="H36" s="55" t="str">
        <f>IFERROR(ABS(IF(G36&lt;&gt;0,IF(D36&lt;&gt;0,TRUNC(G36/D36*100,2),IF(C36&lt;&gt;0,TRUNC(G36/C36*100,2),"")),"")),"")</f>
        <v/>
      </c>
      <c r="I36" s="108" t="str">
        <f>IF(AND(AE$121=0,AF$121=0),"",IF(OR(N(E36)&lt;&gt;0,N(F36)&lt;&gt;0),IF(OR(N(E36)&gt;4,N(F36)&gt;4),IF(N(H36)&gt;14,"SI","NO"),"NO"),"NO"))</f>
        <v/>
      </c>
      <c r="J36" s="116"/>
      <c r="K36" s="116"/>
      <c r="L36" s="55" t="str">
        <f>IFERROR(TRUNC(IF(J36&lt;&gt;0,J36/$J$121,"")*100,2),"")</f>
        <v/>
      </c>
      <c r="M36" s="55" t="str">
        <f>IFERROR(TRUNC(IF(K36&lt;&gt;0,K36/$K$121,"")*100,2),"")</f>
        <v/>
      </c>
      <c r="N36" s="56" t="str">
        <f>IF(OR(J36&lt;&gt;0,K36&lt;&gt;0),J36-K36,"")</f>
        <v/>
      </c>
      <c r="O36" s="55" t="str">
        <f>IFERROR(ABS(IF(N36&lt;&gt;0,IF(K36&lt;&gt;0,TRUNC(N36/K36*100,2),IF(J36&lt;&gt;0,TRUNC(N36/J36*100,2),"")),"")),"")</f>
        <v/>
      </c>
      <c r="P36" s="108" t="str">
        <f>IF(AND(AE$121=0,AF$121=0),"",IF(OR(N(L36)&lt;&gt;0,N(M36)&lt;&gt;0),IF(OR(N(L36)&gt;4,N(M36)&gt;4),IF(N(O36)&gt;14,"SI","NO"),"NO"),"NO"))</f>
        <v/>
      </c>
      <c r="Q36" s="116"/>
      <c r="R36" s="116"/>
      <c r="S36" s="55" t="str">
        <f>IFERROR(TRUNC(IF(Q36&lt;&gt;0,Q36/$Q$121,"")*100,2),"")</f>
        <v/>
      </c>
      <c r="T36" s="55" t="str">
        <f>IFERROR(TRUNC(IF(R36&lt;&gt;0,R36/$R$121,"")*100,2),"")</f>
        <v/>
      </c>
      <c r="U36" s="56" t="str">
        <f>IF(OR(Q36&lt;&gt;0,R36&lt;&gt;0),Q36-R36,"")</f>
        <v/>
      </c>
      <c r="V36" s="55" t="str">
        <f>IFERROR(ABS(IF(U36&lt;&gt;0,IF(R36&lt;&gt;0,TRUNC(U36/R36*100,2),IF(Q36&lt;&gt;0,TRUNC(U36/Q36*100,2),"")),"")),"")</f>
        <v/>
      </c>
      <c r="W36" s="108" t="str">
        <f>IF(AND(AE$121=0,AF$121=0),"",IF(OR(N(S36)&lt;&gt;0,N(T36)&lt;&gt;0),IF(OR(N(S36)&gt;4,N(T36)&gt;4),IF(N(V36)&gt;14,"SI","NO"),"NO"),"NO"))</f>
        <v/>
      </c>
      <c r="X36" s="116"/>
      <c r="Y36" s="116"/>
      <c r="Z36" s="55" t="str">
        <f>IFERROR(TRUNC(IF(X36&lt;&gt;0,X36/$X$121,"")*100,2),"")</f>
        <v/>
      </c>
      <c r="AA36" s="55" t="str">
        <f>IFERROR(TRUNC(IF(Y36&lt;&gt;0,Y36/$Y$121,"")*100,2),"")</f>
        <v/>
      </c>
      <c r="AB36" s="56" t="str">
        <f>IF(OR(X36&lt;&gt;0,Y36&lt;&gt;0),X36-Y36,"")</f>
        <v/>
      </c>
      <c r="AC36" s="55" t="str">
        <f>IFERROR(ABS(IF(AB36&lt;&gt;0,IF(Y36&lt;&gt;0,TRUNC(AB36/Y36*100,2),IF(X36&lt;&gt;0,TRUNC(AB36/X36*100,2),"")),"")),"")</f>
        <v/>
      </c>
      <c r="AD36" s="108" t="str">
        <f>IF(AND(AE$121=0,AF$121=0),"",IF(OR(N(Z36)&lt;&gt;0,N(AA36)&lt;&gt;0),IF(OR(N(Z36)&gt;4,N(AA36)&gt;4),IF(N(AC36)&gt;14,"SI","NO"),"NO"),"NO"))</f>
        <v/>
      </c>
      <c r="AE36" s="116">
        <f t="shared" si="27"/>
        <v>0</v>
      </c>
      <c r="AF36" s="117">
        <f t="shared" si="27"/>
        <v>0</v>
      </c>
      <c r="AG36" s="117">
        <f t="shared" si="28"/>
        <v>0</v>
      </c>
      <c r="AH36" s="116">
        <f t="shared" si="28"/>
        <v>0</v>
      </c>
      <c r="AI36" s="116"/>
      <c r="AJ36" s="116"/>
      <c r="AK36" s="69"/>
    </row>
    <row r="37" spans="1:37" x14ac:dyDescent="0.25">
      <c r="A37" s="162" t="s">
        <v>1401</v>
      </c>
      <c r="B37" s="153" t="s">
        <v>1402</v>
      </c>
      <c r="C37" s="52"/>
      <c r="D37" s="52"/>
      <c r="E37" s="57"/>
      <c r="F37" s="57"/>
      <c r="G37" s="52"/>
      <c r="H37" s="57"/>
      <c r="I37" s="58"/>
      <c r="J37" s="52"/>
      <c r="K37" s="52"/>
      <c r="L37" s="57"/>
      <c r="M37" s="57"/>
      <c r="N37" s="52"/>
      <c r="O37" s="57"/>
      <c r="P37" s="58"/>
      <c r="Q37" s="52"/>
      <c r="R37" s="52"/>
      <c r="S37" s="57"/>
      <c r="T37" s="57"/>
      <c r="U37" s="52"/>
      <c r="V37" s="57"/>
      <c r="W37" s="58"/>
      <c r="X37" s="52"/>
      <c r="Y37" s="52"/>
      <c r="Z37" s="57"/>
      <c r="AA37" s="57"/>
      <c r="AB37" s="52"/>
      <c r="AC37" s="57"/>
      <c r="AD37" s="58"/>
      <c r="AE37" s="52"/>
      <c r="AF37" s="52"/>
      <c r="AG37" s="52"/>
      <c r="AH37" s="52"/>
      <c r="AI37" s="52"/>
      <c r="AJ37" s="52"/>
      <c r="AK37" s="69"/>
    </row>
    <row r="38" spans="1:37" x14ac:dyDescent="0.25">
      <c r="A38" s="162"/>
      <c r="B38" s="153"/>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69"/>
    </row>
    <row r="39" spans="1:37" ht="22.5" x14ac:dyDescent="0.25">
      <c r="A39" s="162" t="s">
        <v>1403</v>
      </c>
      <c r="B39" s="153" t="s">
        <v>1404</v>
      </c>
      <c r="C39" s="54">
        <f>ROUND(SUM(C33:C36)+C37,0)</f>
        <v>0</v>
      </c>
      <c r="D39" s="54">
        <f>ROUND(SUM(D33:D36)+D37,0)</f>
        <v>0</v>
      </c>
      <c r="E39" s="29"/>
      <c r="F39" s="29"/>
      <c r="G39" s="29"/>
      <c r="H39" s="29"/>
      <c r="I39" s="29"/>
      <c r="J39" s="54">
        <f>ROUND(SUM(J33:J36)+J37,0)</f>
        <v>0</v>
      </c>
      <c r="K39" s="54">
        <f>ROUND(SUM(K33:K36)+K37,0)</f>
        <v>0</v>
      </c>
      <c r="L39" s="29"/>
      <c r="M39" s="29"/>
      <c r="N39" s="29"/>
      <c r="O39" s="29"/>
      <c r="P39" s="29"/>
      <c r="Q39" s="54">
        <f>ROUND(SUM(Q33:Q36)+Q37,0)</f>
        <v>0</v>
      </c>
      <c r="R39" s="54">
        <f>ROUND(SUM(R33:R36)+R37,0)</f>
        <v>0</v>
      </c>
      <c r="S39" s="29"/>
      <c r="T39" s="29"/>
      <c r="U39" s="29"/>
      <c r="V39" s="29"/>
      <c r="W39" s="29"/>
      <c r="X39" s="54">
        <f>ROUND(SUM(X33:X36)+X37,0)</f>
        <v>0</v>
      </c>
      <c r="Y39" s="54">
        <f>ROUND(SUM(Y33:Y36)+Y37,0)</f>
        <v>0</v>
      </c>
      <c r="Z39" s="29"/>
      <c r="AA39" s="29"/>
      <c r="AB39" s="29"/>
      <c r="AC39" s="29"/>
      <c r="AD39" s="29"/>
      <c r="AE39" s="54">
        <f t="shared" ref="AE39:AJ39" si="29">ROUND(SUM(AE33:AE36)+AE37,0)</f>
        <v>0</v>
      </c>
      <c r="AF39" s="54">
        <f t="shared" si="29"/>
        <v>0</v>
      </c>
      <c r="AG39" s="54">
        <f t="shared" si="29"/>
        <v>0</v>
      </c>
      <c r="AH39" s="54">
        <f t="shared" si="29"/>
        <v>0</v>
      </c>
      <c r="AI39" s="54">
        <f t="shared" si="29"/>
        <v>0</v>
      </c>
      <c r="AJ39" s="54">
        <f t="shared" si="29"/>
        <v>0</v>
      </c>
      <c r="AK39" s="69"/>
    </row>
    <row r="40" spans="1:37" x14ac:dyDescent="0.25">
      <c r="A40" s="162"/>
      <c r="B40" s="153" t="s">
        <v>1379</v>
      </c>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69"/>
    </row>
    <row r="41" spans="1:37" x14ac:dyDescent="0.25">
      <c r="A41" s="162"/>
      <c r="B41" s="153" t="s">
        <v>1405</v>
      </c>
      <c r="C41" s="51"/>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69"/>
    </row>
    <row r="42" spans="1:37" x14ac:dyDescent="0.25">
      <c r="A42" s="162"/>
      <c r="B42" s="153" t="s">
        <v>1379</v>
      </c>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69"/>
    </row>
    <row r="43" spans="1:37" x14ac:dyDescent="0.25">
      <c r="A43" s="162" t="s">
        <v>1406</v>
      </c>
      <c r="B43" s="153" t="s">
        <v>1407</v>
      </c>
      <c r="C43" s="116"/>
      <c r="D43" s="116"/>
      <c r="E43" s="55" t="str">
        <f>IFERROR(TRUNC(IF(C43&lt;&gt;0,C43/$C$121,"")*100,2),"")</f>
        <v/>
      </c>
      <c r="F43" s="55" t="str">
        <f>IFERROR(TRUNC(IF(D43&lt;&gt;0,D43/$D$121,"")*100,2),"")</f>
        <v/>
      </c>
      <c r="G43" s="56" t="str">
        <f>IF(OR(C43&lt;&gt;0,D43&lt;&gt;0),C43-D43,"")</f>
        <v/>
      </c>
      <c r="H43" s="55" t="str">
        <f>IFERROR(ABS(IF(G43&lt;&gt;0,IF(D43&lt;&gt;0,TRUNC(G43/D43*100,2),IF(C43&lt;&gt;0,TRUNC(G43/C43*100,2),"")),"")),"")</f>
        <v/>
      </c>
      <c r="I43" s="108" t="str">
        <f>IF(AND(AE$121=0,AF$121=0),"",IF(OR(N(E43)&lt;&gt;0,N(F43)&lt;&gt;0),IF(OR(N(E43)&gt;4,N(F43)&gt;4),IF(N(H43)&gt;14,"SI","NO"),"NO"),"NO"))</f>
        <v/>
      </c>
      <c r="J43" s="116"/>
      <c r="K43" s="116"/>
      <c r="L43" s="55" t="str">
        <f>IFERROR(TRUNC(IF(J43&lt;&gt;0,J43/$J$121,"")*100,2),"")</f>
        <v/>
      </c>
      <c r="M43" s="55" t="str">
        <f>IFERROR(TRUNC(IF(K43&lt;&gt;0,K43/$K$121,"")*100,2),"")</f>
        <v/>
      </c>
      <c r="N43" s="56" t="str">
        <f>IF(OR(J43&lt;&gt;0,K43&lt;&gt;0),J43-K43,"")</f>
        <v/>
      </c>
      <c r="O43" s="55" t="str">
        <f>IFERROR(ABS(IF(N43&lt;&gt;0,IF(K43&lt;&gt;0,TRUNC(N43/K43*100,2),IF(J43&lt;&gt;0,TRUNC(N43/J43*100,2),"")),"")),"")</f>
        <v/>
      </c>
      <c r="P43" s="108" t="str">
        <f>IF(AND(AE$121=0,AF$121=0),"",IF(OR(N(L43)&lt;&gt;0,N(M43)&lt;&gt;0),IF(OR(N(L43)&gt;4,N(M43)&gt;4),IF(N(O43)&gt;14,"SI","NO"),"NO"),"NO"))</f>
        <v/>
      </c>
      <c r="Q43" s="116"/>
      <c r="R43" s="116"/>
      <c r="S43" s="55" t="str">
        <f>IFERROR(TRUNC(IF(Q43&lt;&gt;0,Q43/$Q$121,"")*100,2),"")</f>
        <v/>
      </c>
      <c r="T43" s="55" t="str">
        <f>IFERROR(TRUNC(IF(R43&lt;&gt;0,R43/$R$121,"")*100,2),"")</f>
        <v/>
      </c>
      <c r="U43" s="56" t="str">
        <f>IF(OR(Q43&lt;&gt;0,R43&lt;&gt;0),Q43-R43,"")</f>
        <v/>
      </c>
      <c r="V43" s="55" t="str">
        <f>IFERROR(ABS(IF(U43&lt;&gt;0,IF(R43&lt;&gt;0,TRUNC(U43/R43*100,2),IF(Q43&lt;&gt;0,TRUNC(U43/Q43*100,2),"")),"")),"")</f>
        <v/>
      </c>
      <c r="W43" s="108" t="str">
        <f>IF(AND(AE$121=0,AF$121=0),"",IF(OR(N(S43)&lt;&gt;0,N(T43)&lt;&gt;0),IF(OR(N(S43)&gt;4,N(T43)&gt;4),IF(N(V43)&gt;14,"SI","NO"),"NO"),"NO"))</f>
        <v/>
      </c>
      <c r="X43" s="116"/>
      <c r="Y43" s="116"/>
      <c r="Z43" s="55" t="str">
        <f>IFERROR(TRUNC(IF(X43&lt;&gt;0,X43/$X$121,"")*100,2),"")</f>
        <v/>
      </c>
      <c r="AA43" s="55" t="str">
        <f>IFERROR(TRUNC(IF(Y43&lt;&gt;0,Y43/$Y$121,"")*100,2),"")</f>
        <v/>
      </c>
      <c r="AB43" s="56" t="str">
        <f>IF(OR(X43&lt;&gt;0,Y43&lt;&gt;0),X43-Y43,"")</f>
        <v/>
      </c>
      <c r="AC43" s="55" t="str">
        <f>IFERROR(ABS(IF(AB43&lt;&gt;0,IF(Y43&lt;&gt;0,TRUNC(AB43/Y43*100,2),IF(X43&lt;&gt;0,TRUNC(AB43/X43*100,2),"")),"")),"")</f>
        <v/>
      </c>
      <c r="AD43" s="108" t="str">
        <f>IF(AND(AE$121=0,AF$121=0),"",IF(OR(N(Z43)&lt;&gt;0,N(AA43)&lt;&gt;0),IF(OR(N(Z43)&gt;4,N(AA43)&gt;4),IF(N(AC43)&gt;14,"SI","NO"),"NO"),"NO"))</f>
        <v/>
      </c>
      <c r="AE43" s="116">
        <f t="shared" ref="AE43:AF45" si="30">ROUND(C43+J43+Q43+X43,0)</f>
        <v>0</v>
      </c>
      <c r="AF43" s="117">
        <f t="shared" si="30"/>
        <v>0</v>
      </c>
      <c r="AG43" s="117">
        <f t="shared" ref="AG43:AH45" si="31">AE43-AI43</f>
        <v>0</v>
      </c>
      <c r="AH43" s="116">
        <f t="shared" si="31"/>
        <v>0</v>
      </c>
      <c r="AI43" s="116"/>
      <c r="AJ43" s="116"/>
      <c r="AK43" s="69"/>
    </row>
    <row r="44" spans="1:37" ht="22.5" x14ac:dyDescent="0.25">
      <c r="A44" s="162" t="s">
        <v>1408</v>
      </c>
      <c r="B44" s="153" t="s">
        <v>1409</v>
      </c>
      <c r="C44" s="116"/>
      <c r="D44" s="116"/>
      <c r="E44" s="55" t="str">
        <f>IFERROR(TRUNC(IF(C44&lt;&gt;0,C44/$C$121,"")*100,2),"")</f>
        <v/>
      </c>
      <c r="F44" s="55" t="str">
        <f>IFERROR(TRUNC(IF(D44&lt;&gt;0,D44/$D$121,"")*100,2),"")</f>
        <v/>
      </c>
      <c r="G44" s="56" t="str">
        <f>IF(OR(C44&lt;&gt;0,D44&lt;&gt;0),C44-D44,"")</f>
        <v/>
      </c>
      <c r="H44" s="55" t="str">
        <f>IFERROR(ABS(IF(G44&lt;&gt;0,IF(D44&lt;&gt;0,TRUNC(G44/D44*100,2),IF(C44&lt;&gt;0,TRUNC(G44/C44*100,2),"")),"")),"")</f>
        <v/>
      </c>
      <c r="I44" s="108" t="str">
        <f>IF(AND(AE$121=0,AF$121=0),"",IF(OR(N(E44)&lt;&gt;0,N(F44)&lt;&gt;0),IF(OR(N(E44)&gt;4,N(F44)&gt;4),IF(N(H44)&gt;14,"SI","NO"),"NO"),"NO"))</f>
        <v/>
      </c>
      <c r="J44" s="116"/>
      <c r="K44" s="116"/>
      <c r="L44" s="55" t="str">
        <f>IFERROR(TRUNC(IF(J44&lt;&gt;0,J44/$J$121,"")*100,2),"")</f>
        <v/>
      </c>
      <c r="M44" s="55" t="str">
        <f>IFERROR(TRUNC(IF(K44&lt;&gt;0,K44/$K$121,"")*100,2),"")</f>
        <v/>
      </c>
      <c r="N44" s="56" t="str">
        <f>IF(OR(J44&lt;&gt;0,K44&lt;&gt;0),J44-K44,"")</f>
        <v/>
      </c>
      <c r="O44" s="55" t="str">
        <f>IFERROR(ABS(IF(N44&lt;&gt;0,IF(K44&lt;&gt;0,TRUNC(N44/K44*100,2),IF(J44&lt;&gt;0,TRUNC(N44/J44*100,2),"")),"")),"")</f>
        <v/>
      </c>
      <c r="P44" s="108" t="str">
        <f>IF(AND(AE$121=0,AF$121=0),"",IF(OR(N(L44)&lt;&gt;0,N(M44)&lt;&gt;0),IF(OR(N(L44)&gt;4,N(M44)&gt;4),IF(N(O44)&gt;14,"SI","NO"),"NO"),"NO"))</f>
        <v/>
      </c>
      <c r="Q44" s="116"/>
      <c r="R44" s="116"/>
      <c r="S44" s="55" t="str">
        <f>IFERROR(TRUNC(IF(Q44&lt;&gt;0,Q44/$Q$121,"")*100,2),"")</f>
        <v/>
      </c>
      <c r="T44" s="55" t="str">
        <f>IFERROR(TRUNC(IF(R44&lt;&gt;0,R44/$R$121,"")*100,2),"")</f>
        <v/>
      </c>
      <c r="U44" s="56" t="str">
        <f>IF(OR(Q44&lt;&gt;0,R44&lt;&gt;0),Q44-R44,"")</f>
        <v/>
      </c>
      <c r="V44" s="55" t="str">
        <f>IFERROR(ABS(IF(U44&lt;&gt;0,IF(R44&lt;&gt;0,TRUNC(U44/R44*100,2),IF(Q44&lt;&gt;0,TRUNC(U44/Q44*100,2),"")),"")),"")</f>
        <v/>
      </c>
      <c r="W44" s="108" t="str">
        <f>IF(AND(AE$121=0,AF$121=0),"",IF(OR(N(S44)&lt;&gt;0,N(T44)&lt;&gt;0),IF(OR(N(S44)&gt;4,N(T44)&gt;4),IF(N(V44)&gt;14,"SI","NO"),"NO"),"NO"))</f>
        <v/>
      </c>
      <c r="X44" s="116"/>
      <c r="Y44" s="116"/>
      <c r="Z44" s="55" t="str">
        <f>IFERROR(TRUNC(IF(X44&lt;&gt;0,X44/$X$121,"")*100,2),"")</f>
        <v/>
      </c>
      <c r="AA44" s="55" t="str">
        <f>IFERROR(TRUNC(IF(Y44&lt;&gt;0,Y44/$Y$121,"")*100,2),"")</f>
        <v/>
      </c>
      <c r="AB44" s="56" t="str">
        <f>IF(OR(X44&lt;&gt;0,Y44&lt;&gt;0),X44-Y44,"")</f>
        <v/>
      </c>
      <c r="AC44" s="55" t="str">
        <f>IFERROR(ABS(IF(AB44&lt;&gt;0,IF(Y44&lt;&gt;0,TRUNC(AB44/Y44*100,2),IF(X44&lt;&gt;0,TRUNC(AB44/X44*100,2),"")),"")),"")</f>
        <v/>
      </c>
      <c r="AD44" s="108" t="str">
        <f>IF(AND(AE$121=0,AF$121=0),"",IF(OR(N(Z44)&lt;&gt;0,N(AA44)&lt;&gt;0),IF(OR(N(Z44)&gt;4,N(AA44)&gt;4),IF(N(AC44)&gt;14,"SI","NO"),"NO"),"NO"))</f>
        <v/>
      </c>
      <c r="AE44" s="116">
        <f t="shared" si="30"/>
        <v>0</v>
      </c>
      <c r="AF44" s="117">
        <f t="shared" si="30"/>
        <v>0</v>
      </c>
      <c r="AG44" s="117">
        <f t="shared" si="31"/>
        <v>0</v>
      </c>
      <c r="AH44" s="116">
        <f t="shared" si="31"/>
        <v>0</v>
      </c>
      <c r="AI44" s="116"/>
      <c r="AJ44" s="116"/>
      <c r="AK44" s="69"/>
    </row>
    <row r="45" spans="1:37" x14ac:dyDescent="0.25">
      <c r="A45" s="162" t="s">
        <v>1410</v>
      </c>
      <c r="B45" s="153" t="s">
        <v>1411</v>
      </c>
      <c r="C45" s="116"/>
      <c r="D45" s="116"/>
      <c r="E45" s="55" t="str">
        <f>IFERROR(TRUNC(IF(C45&lt;&gt;0,C45/$C$121,"")*100,2),"")</f>
        <v/>
      </c>
      <c r="F45" s="55" t="str">
        <f>IFERROR(TRUNC(IF(D45&lt;&gt;0,D45/$D$121,"")*100,2),"")</f>
        <v/>
      </c>
      <c r="G45" s="56" t="str">
        <f>IF(OR(C45&lt;&gt;0,D45&lt;&gt;0),C45-D45,"")</f>
        <v/>
      </c>
      <c r="H45" s="55" t="str">
        <f>IFERROR(ABS(IF(G45&lt;&gt;0,IF(D45&lt;&gt;0,TRUNC(G45/D45*100,2),IF(C45&lt;&gt;0,TRUNC(G45/C45*100,2),"")),"")),"")</f>
        <v/>
      </c>
      <c r="I45" s="108" t="str">
        <f>IF(AND(AE$121=0,AF$121=0),"",IF(OR(N(E45)&lt;&gt;0,N(F45)&lt;&gt;0),IF(OR(N(E45)&gt;4,N(F45)&gt;4),IF(N(H45)&gt;14,"SI","NO"),"NO"),"NO"))</f>
        <v/>
      </c>
      <c r="J45" s="116"/>
      <c r="K45" s="116"/>
      <c r="L45" s="55" t="str">
        <f>IFERROR(TRUNC(IF(J45&lt;&gt;0,J45/$J$121,"")*100,2),"")</f>
        <v/>
      </c>
      <c r="M45" s="55" t="str">
        <f>IFERROR(TRUNC(IF(K45&lt;&gt;0,K45/$K$121,"")*100,2),"")</f>
        <v/>
      </c>
      <c r="N45" s="56" t="str">
        <f>IF(OR(J45&lt;&gt;0,K45&lt;&gt;0),J45-K45,"")</f>
        <v/>
      </c>
      <c r="O45" s="55" t="str">
        <f>IFERROR(ABS(IF(N45&lt;&gt;0,IF(K45&lt;&gt;0,TRUNC(N45/K45*100,2),IF(J45&lt;&gt;0,TRUNC(N45/J45*100,2),"")),"")),"")</f>
        <v/>
      </c>
      <c r="P45" s="108" t="str">
        <f>IF(AND(AE$121=0,AF$121=0),"",IF(OR(N(L45)&lt;&gt;0,N(M45)&lt;&gt;0),IF(OR(N(L45)&gt;4,N(M45)&gt;4),IF(N(O45)&gt;14,"SI","NO"),"NO"),"NO"))</f>
        <v/>
      </c>
      <c r="Q45" s="116"/>
      <c r="R45" s="116"/>
      <c r="S45" s="55" t="str">
        <f>IFERROR(TRUNC(IF(Q45&lt;&gt;0,Q45/$Q$121,"")*100,2),"")</f>
        <v/>
      </c>
      <c r="T45" s="55" t="str">
        <f>IFERROR(TRUNC(IF(R45&lt;&gt;0,R45/$R$121,"")*100,2),"")</f>
        <v/>
      </c>
      <c r="U45" s="56" t="str">
        <f>IF(OR(Q45&lt;&gt;0,R45&lt;&gt;0),Q45-R45,"")</f>
        <v/>
      </c>
      <c r="V45" s="55" t="str">
        <f>IFERROR(ABS(IF(U45&lt;&gt;0,IF(R45&lt;&gt;0,TRUNC(U45/R45*100,2),IF(Q45&lt;&gt;0,TRUNC(U45/Q45*100,2),"")),"")),"")</f>
        <v/>
      </c>
      <c r="W45" s="108" t="str">
        <f>IF(AND(AE$121=0,AF$121=0),"",IF(OR(N(S45)&lt;&gt;0,N(T45)&lt;&gt;0),IF(OR(N(S45)&gt;4,N(T45)&gt;4),IF(N(V45)&gt;14,"SI","NO"),"NO"),"NO"))</f>
        <v/>
      </c>
      <c r="X45" s="116"/>
      <c r="Y45" s="116"/>
      <c r="Z45" s="55" t="str">
        <f>IFERROR(TRUNC(IF(X45&lt;&gt;0,X45/$X$121,"")*100,2),"")</f>
        <v/>
      </c>
      <c r="AA45" s="55" t="str">
        <f>IFERROR(TRUNC(IF(Y45&lt;&gt;0,Y45/$Y$121,"")*100,2),"")</f>
        <v/>
      </c>
      <c r="AB45" s="56" t="str">
        <f>IF(OR(X45&lt;&gt;0,Y45&lt;&gt;0),X45-Y45,"")</f>
        <v/>
      </c>
      <c r="AC45" s="55" t="str">
        <f>IFERROR(ABS(IF(AB45&lt;&gt;0,IF(Y45&lt;&gt;0,TRUNC(AB45/Y45*100,2),IF(X45&lt;&gt;0,TRUNC(AB45/X45*100,2),"")),"")),"")</f>
        <v/>
      </c>
      <c r="AD45" s="108" t="str">
        <f>IF(AND(AE$121=0,AF$121=0),"",IF(OR(N(Z45)&lt;&gt;0,N(AA45)&lt;&gt;0),IF(OR(N(Z45)&gt;4,N(AA45)&gt;4),IF(N(AC45)&gt;14,"SI","NO"),"NO"),"NO"))</f>
        <v/>
      </c>
      <c r="AE45" s="116">
        <f t="shared" si="30"/>
        <v>0</v>
      </c>
      <c r="AF45" s="117">
        <f t="shared" si="30"/>
        <v>0</v>
      </c>
      <c r="AG45" s="117">
        <f t="shared" si="31"/>
        <v>0</v>
      </c>
      <c r="AH45" s="116">
        <f t="shared" si="31"/>
        <v>0</v>
      </c>
      <c r="AI45" s="116"/>
      <c r="AJ45" s="116"/>
      <c r="AK45" s="69"/>
    </row>
    <row r="46" spans="1:37" x14ac:dyDescent="0.25">
      <c r="A46" s="162" t="s">
        <v>1412</v>
      </c>
      <c r="B46" s="153" t="s">
        <v>1413</v>
      </c>
      <c r="C46" s="54">
        <f>ROUND(SUM(C43:C45),0)</f>
        <v>0</v>
      </c>
      <c r="D46" s="54">
        <f>ROUND(SUM(D43:D45),0)</f>
        <v>0</v>
      </c>
      <c r="E46" s="29"/>
      <c r="F46" s="29"/>
      <c r="G46" s="29"/>
      <c r="H46" s="29"/>
      <c r="I46" s="29"/>
      <c r="J46" s="54">
        <f>ROUND(SUM(J43:J45),0)</f>
        <v>0</v>
      </c>
      <c r="K46" s="54">
        <f>ROUND(SUM(K43:K45),0)</f>
        <v>0</v>
      </c>
      <c r="L46" s="29"/>
      <c r="M46" s="29"/>
      <c r="N46" s="29"/>
      <c r="O46" s="29"/>
      <c r="P46" s="29"/>
      <c r="Q46" s="54">
        <f>ROUND(SUM(Q43:Q45),0)</f>
        <v>0</v>
      </c>
      <c r="R46" s="54">
        <f>ROUND(SUM(R43:R45),0)</f>
        <v>0</v>
      </c>
      <c r="S46" s="29"/>
      <c r="T46" s="29"/>
      <c r="U46" s="29"/>
      <c r="V46" s="29"/>
      <c r="W46" s="29"/>
      <c r="X46" s="54">
        <f>ROUND(SUM(X43:X45),0)</f>
        <v>0</v>
      </c>
      <c r="Y46" s="54">
        <f>ROUND(SUM(Y43:Y45),0)</f>
        <v>0</v>
      </c>
      <c r="Z46" s="29"/>
      <c r="AA46" s="29"/>
      <c r="AB46" s="29"/>
      <c r="AC46" s="29"/>
      <c r="AD46" s="29"/>
      <c r="AE46" s="54">
        <f t="shared" ref="AE46:AJ46" si="32">ROUND(SUM(AE43:AE45),0)</f>
        <v>0</v>
      </c>
      <c r="AF46" s="54">
        <f t="shared" si="32"/>
        <v>0</v>
      </c>
      <c r="AG46" s="54">
        <f t="shared" si="32"/>
        <v>0</v>
      </c>
      <c r="AH46" s="54">
        <f t="shared" si="32"/>
        <v>0</v>
      </c>
      <c r="AI46" s="54">
        <f t="shared" si="32"/>
        <v>0</v>
      </c>
      <c r="AJ46" s="54">
        <f t="shared" si="32"/>
        <v>0</v>
      </c>
      <c r="AK46" s="69"/>
    </row>
    <row r="47" spans="1:37" x14ac:dyDescent="0.25">
      <c r="A47" s="162" t="s">
        <v>1414</v>
      </c>
      <c r="B47" s="153" t="s">
        <v>1415</v>
      </c>
      <c r="C47" s="116"/>
      <c r="D47" s="116"/>
      <c r="E47" s="55" t="str">
        <f>IFERROR(TRUNC(IF(C47&lt;&gt;0,C47/$C$121,"")*100,2),"")</f>
        <v/>
      </c>
      <c r="F47" s="55" t="str">
        <f>IFERROR(TRUNC(IF(D47&lt;&gt;0,D47/$D$121,"")*100,2),"")</f>
        <v/>
      </c>
      <c r="G47" s="56" t="str">
        <f>IF(OR(C47&lt;&gt;0,D47&lt;&gt;0),C47-D47,"")</f>
        <v/>
      </c>
      <c r="H47" s="55" t="str">
        <f>IFERROR(ABS(IF(G47&lt;&gt;0,IF(D47&lt;&gt;0,TRUNC(G47/D47*100,2),IF(C47&lt;&gt;0,TRUNC(G47/C47*100,2),"")),"")),"")</f>
        <v/>
      </c>
      <c r="I47" s="108" t="str">
        <f>IF(AND(AE$121=0,AF$121=0),"",IF(OR(N(E47)&lt;&gt;0,N(F47)&lt;&gt;0),IF(OR(N(E47)&gt;4,N(F47)&gt;4),IF(N(H47)&gt;14,"SI","NO"),"NO"),"NO"))</f>
        <v/>
      </c>
      <c r="J47" s="116"/>
      <c r="K47" s="116"/>
      <c r="L47" s="55" t="str">
        <f>IFERROR(TRUNC(IF(J47&lt;&gt;0,J47/$J$121,"")*100,2),"")</f>
        <v/>
      </c>
      <c r="M47" s="55" t="str">
        <f>IFERROR(TRUNC(IF(K47&lt;&gt;0,K47/$K$121,"")*100,2),"")</f>
        <v/>
      </c>
      <c r="N47" s="56" t="str">
        <f>IF(OR(J47&lt;&gt;0,K47&lt;&gt;0),J47-K47,"")</f>
        <v/>
      </c>
      <c r="O47" s="55" t="str">
        <f>IFERROR(ABS(IF(N47&lt;&gt;0,IF(K47&lt;&gt;0,TRUNC(N47/K47*100,2),IF(J47&lt;&gt;0,TRUNC(N47/J47*100,2),"")),"")),"")</f>
        <v/>
      </c>
      <c r="P47" s="108" t="str">
        <f>IF(AND(AE$121=0,AF$121=0),"",IF(OR(N(L47)&lt;&gt;0,N(M47)&lt;&gt;0),IF(OR(N(L47)&gt;4,N(M47)&gt;4),IF(N(O47)&gt;14,"SI","NO"),"NO"),"NO"))</f>
        <v/>
      </c>
      <c r="Q47" s="116"/>
      <c r="R47" s="116"/>
      <c r="S47" s="55" t="str">
        <f>IFERROR(TRUNC(IF(Q47&lt;&gt;0,Q47/$Q$121,"")*100,2),"")</f>
        <v/>
      </c>
      <c r="T47" s="55" t="str">
        <f>IFERROR(TRUNC(IF(R47&lt;&gt;0,R47/$R$121,"")*100,2),"")</f>
        <v/>
      </c>
      <c r="U47" s="56" t="str">
        <f>IF(OR(Q47&lt;&gt;0,R47&lt;&gt;0),Q47-R47,"")</f>
        <v/>
      </c>
      <c r="V47" s="55" t="str">
        <f>IFERROR(ABS(IF(U47&lt;&gt;0,IF(R47&lt;&gt;0,TRUNC(U47/R47*100,2),IF(Q47&lt;&gt;0,TRUNC(U47/Q47*100,2),"")),"")),"")</f>
        <v/>
      </c>
      <c r="W47" s="108" t="str">
        <f>IF(AND(AE$121=0,AF$121=0),"",IF(OR(N(S47)&lt;&gt;0,N(T47)&lt;&gt;0),IF(OR(N(S47)&gt;4,N(T47)&gt;4),IF(N(V47)&gt;14,"SI","NO"),"NO"),"NO"))</f>
        <v/>
      </c>
      <c r="X47" s="116"/>
      <c r="Y47" s="116"/>
      <c r="Z47" s="55" t="str">
        <f>IFERROR(TRUNC(IF(X47&lt;&gt;0,X47/$X$121,"")*100,2),"")</f>
        <v/>
      </c>
      <c r="AA47" s="55" t="str">
        <f>IFERROR(TRUNC(IF(Y47&lt;&gt;0,Y47/$Y$121,"")*100,2),"")</f>
        <v/>
      </c>
      <c r="AB47" s="56" t="str">
        <f>IF(OR(X47&lt;&gt;0,Y47&lt;&gt;0),X47-Y47,"")</f>
        <v/>
      </c>
      <c r="AC47" s="55" t="str">
        <f>IFERROR(ABS(IF(AB47&lt;&gt;0,IF(Y47&lt;&gt;0,TRUNC(AB47/Y47*100,2),IF(X47&lt;&gt;0,TRUNC(AB47/X47*100,2),"")),"")),"")</f>
        <v/>
      </c>
      <c r="AD47" s="108" t="str">
        <f>IF(AND(AE$121=0,AF$121=0),"",IF(OR(N(Z47)&lt;&gt;0,N(AA47)&lt;&gt;0),IF(OR(N(Z47)&gt;4,N(AA47)&gt;4),IF(N(AC47)&gt;14,"SI","NO"),"NO"),"NO"))</f>
        <v/>
      </c>
      <c r="AE47" s="116">
        <f>ROUND(C47+J47+Q47+X47,0)</f>
        <v>0</v>
      </c>
      <c r="AF47" s="117">
        <f>ROUND(D47+K47+R47+Y47,0)</f>
        <v>0</v>
      </c>
      <c r="AG47" s="117">
        <f>AE47-AI47</f>
        <v>0</v>
      </c>
      <c r="AH47" s="116"/>
      <c r="AI47" s="116"/>
      <c r="AJ47" s="116"/>
      <c r="AK47" s="69"/>
    </row>
    <row r="48" spans="1:37" x14ac:dyDescent="0.25">
      <c r="A48" s="162"/>
      <c r="B48" s="153"/>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69"/>
    </row>
    <row r="49" spans="1:37" x14ac:dyDescent="0.25">
      <c r="A49" s="162" t="s">
        <v>1416</v>
      </c>
      <c r="B49" s="153" t="s">
        <v>1417</v>
      </c>
      <c r="C49" s="54">
        <f>ROUND(SUM(C46:C47),0)</f>
        <v>0</v>
      </c>
      <c r="D49" s="54">
        <f>ROUND(SUM(D46:D47),0)</f>
        <v>0</v>
      </c>
      <c r="E49" s="29"/>
      <c r="F49" s="29"/>
      <c r="G49" s="29"/>
      <c r="H49" s="29"/>
      <c r="I49" s="29"/>
      <c r="J49" s="54">
        <f>ROUND(SUM(J46:J47),0)</f>
        <v>0</v>
      </c>
      <c r="K49" s="54">
        <f>ROUND(SUM(K46:K47),0)</f>
        <v>0</v>
      </c>
      <c r="L49" s="29"/>
      <c r="M49" s="29"/>
      <c r="N49" s="29"/>
      <c r="O49" s="29"/>
      <c r="P49" s="29"/>
      <c r="Q49" s="54">
        <f>ROUND(SUM(Q46:Q47),0)</f>
        <v>0</v>
      </c>
      <c r="R49" s="54">
        <f>ROUND(SUM(R46:R47),0)</f>
        <v>0</v>
      </c>
      <c r="S49" s="29"/>
      <c r="T49" s="29"/>
      <c r="U49" s="29"/>
      <c r="V49" s="29"/>
      <c r="W49" s="29"/>
      <c r="X49" s="54">
        <f>ROUND(SUM(X46:X47),0)</f>
        <v>0</v>
      </c>
      <c r="Y49" s="54">
        <f>ROUND(SUM(Y46:Y47),0)</f>
        <v>0</v>
      </c>
      <c r="Z49" s="29"/>
      <c r="AA49" s="29"/>
      <c r="AB49" s="29"/>
      <c r="AC49" s="29"/>
      <c r="AD49" s="29"/>
      <c r="AE49" s="54">
        <f t="shared" ref="AE49:AJ49" si="33">ROUND(SUM(AE46:AE47),0)</f>
        <v>0</v>
      </c>
      <c r="AF49" s="54">
        <f t="shared" si="33"/>
        <v>0</v>
      </c>
      <c r="AG49" s="54">
        <f t="shared" si="33"/>
        <v>0</v>
      </c>
      <c r="AH49" s="54">
        <f t="shared" si="33"/>
        <v>0</v>
      </c>
      <c r="AI49" s="54">
        <f t="shared" si="33"/>
        <v>0</v>
      </c>
      <c r="AJ49" s="54">
        <f t="shared" si="33"/>
        <v>0</v>
      </c>
      <c r="AK49" s="69"/>
    </row>
    <row r="50" spans="1:37" x14ac:dyDescent="0.25">
      <c r="A50" s="162"/>
      <c r="B50" s="153"/>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69"/>
    </row>
    <row r="51" spans="1:37" x14ac:dyDescent="0.25">
      <c r="A51" s="162"/>
      <c r="B51" s="153" t="s">
        <v>1418</v>
      </c>
      <c r="C51" s="51"/>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69"/>
    </row>
    <row r="52" spans="1:37" x14ac:dyDescent="0.25">
      <c r="A52" s="162"/>
      <c r="B52" s="153"/>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69"/>
    </row>
    <row r="53" spans="1:37" x14ac:dyDescent="0.25">
      <c r="A53" s="162" t="s">
        <v>1419</v>
      </c>
      <c r="B53" s="153" t="s">
        <v>1407</v>
      </c>
      <c r="C53" s="116"/>
      <c r="D53" s="116"/>
      <c r="E53" s="55" t="str">
        <f>IFERROR(TRUNC(IF(C53&lt;&gt;0,C53/$C$121,"")*100,2),"")</f>
        <v/>
      </c>
      <c r="F53" s="55" t="str">
        <f>IFERROR(TRUNC(IF(D53&lt;&gt;0,D53/$D$121,"")*100,2),"")</f>
        <v/>
      </c>
      <c r="G53" s="56" t="str">
        <f>IF(OR(C53&lt;&gt;0,D53&lt;&gt;0),C53-D53,"")</f>
        <v/>
      </c>
      <c r="H53" s="55" t="str">
        <f>IFERROR(ABS(IF(G53&lt;&gt;0,IF(D53&lt;&gt;0,TRUNC(G53/D53*100,2),IF(C53&lt;&gt;0,TRUNC(G53/C53*100,2),"")),"")),"")</f>
        <v/>
      </c>
      <c r="I53" s="108" t="str">
        <f>IF(AND(AE$121=0,AF$121=0),"",IF(OR(N(E53)&lt;&gt;0,N(F53)&lt;&gt;0),IF(OR(N(E53)&gt;4,N(F53)&gt;4),IF(N(H53)&gt;14,"SI","NO"),"NO"),"NO"))</f>
        <v/>
      </c>
      <c r="J53" s="116"/>
      <c r="K53" s="116"/>
      <c r="L53" s="55" t="str">
        <f>IFERROR(TRUNC(IF(J53&lt;&gt;0,J53/$J$121,"")*100,2),"")</f>
        <v/>
      </c>
      <c r="M53" s="55" t="str">
        <f>IFERROR(TRUNC(IF(K53&lt;&gt;0,K53/$K$121,"")*100,2),"")</f>
        <v/>
      </c>
      <c r="N53" s="56" t="str">
        <f>IF(OR(J53&lt;&gt;0,K53&lt;&gt;0),J53-K53,"")</f>
        <v/>
      </c>
      <c r="O53" s="55" t="str">
        <f>IFERROR(ABS(IF(N53&lt;&gt;0,IF(K53&lt;&gt;0,TRUNC(N53/K53*100,2),IF(J53&lt;&gt;0,TRUNC(N53/J53*100,2),"")),"")),"")</f>
        <v/>
      </c>
      <c r="P53" s="108" t="str">
        <f>IF(AND(AE$121=0,AF$121=0),"",IF(OR(N(L53)&lt;&gt;0,N(M53)&lt;&gt;0),IF(OR(N(L53)&gt;4,N(M53)&gt;4),IF(N(O53)&gt;14,"SI","NO"),"NO"),"NO"))</f>
        <v/>
      </c>
      <c r="Q53" s="116"/>
      <c r="R53" s="116"/>
      <c r="S53" s="55" t="str">
        <f>IFERROR(TRUNC(IF(Q53&lt;&gt;0,Q53/$Q$121,"")*100,2),"")</f>
        <v/>
      </c>
      <c r="T53" s="55" t="str">
        <f>IFERROR(TRUNC(IF(R53&lt;&gt;0,R53/$R$121,"")*100,2),"")</f>
        <v/>
      </c>
      <c r="U53" s="56" t="str">
        <f>IF(OR(Q53&lt;&gt;0,R53&lt;&gt;0),Q53-R53,"")</f>
        <v/>
      </c>
      <c r="V53" s="55" t="str">
        <f>IFERROR(ABS(IF(U53&lt;&gt;0,IF(R53&lt;&gt;0,TRUNC(U53/R53*100,2),IF(Q53&lt;&gt;0,TRUNC(U53/Q53*100,2),"")),"")),"")</f>
        <v/>
      </c>
      <c r="W53" s="108" t="str">
        <f>IF(AND(AE$121=0,AF$121=0),"",IF(OR(N(S53)&lt;&gt;0,N(T53)&lt;&gt;0),IF(OR(N(S53)&gt;4,N(T53)&gt;4),IF(N(V53)&gt;14,"SI","NO"),"NO"),"NO"))</f>
        <v/>
      </c>
      <c r="X53" s="116"/>
      <c r="Y53" s="116"/>
      <c r="Z53" s="55" t="str">
        <f>IFERROR(TRUNC(IF(X53&lt;&gt;0,X53/$X$121,"")*100,2),"")</f>
        <v/>
      </c>
      <c r="AA53" s="55" t="str">
        <f>IFERROR(TRUNC(IF(Y53&lt;&gt;0,Y53/$Y$121,"")*100,2),"")</f>
        <v/>
      </c>
      <c r="AB53" s="56" t="str">
        <f>IF(OR(X53&lt;&gt;0,Y53&lt;&gt;0),X53-Y53,"")</f>
        <v/>
      </c>
      <c r="AC53" s="55" t="str">
        <f>IFERROR(ABS(IF(AB53&lt;&gt;0,IF(Y53&lt;&gt;0,TRUNC(AB53/Y53*100,2),IF(X53&lt;&gt;0,TRUNC(AB53/X53*100,2),"")),"")),"")</f>
        <v/>
      </c>
      <c r="AD53" s="108" t="str">
        <f>IF(AND(AE$121=0,AF$121=0),"",IF(OR(N(Z53)&lt;&gt;0,N(AA53)&lt;&gt;0),IF(OR(N(Z53)&gt;4,N(AA53)&gt;4),IF(N(AC53)&gt;14,"SI","NO"),"NO"),"NO"))</f>
        <v/>
      </c>
      <c r="AE53" s="116">
        <f t="shared" ref="AE53:AF55" si="34">ROUND(C53+J53+Q53+X53,0)</f>
        <v>0</v>
      </c>
      <c r="AF53" s="117">
        <f t="shared" si="34"/>
        <v>0</v>
      </c>
      <c r="AG53" s="117">
        <f t="shared" ref="AG53:AH55" si="35">AE53-AI53</f>
        <v>0</v>
      </c>
      <c r="AH53" s="116">
        <f t="shared" si="35"/>
        <v>0</v>
      </c>
      <c r="AI53" s="116"/>
      <c r="AJ53" s="116"/>
      <c r="AK53" s="69"/>
    </row>
    <row r="54" spans="1:37" ht="22.5" x14ac:dyDescent="0.25">
      <c r="A54" s="162" t="s">
        <v>1420</v>
      </c>
      <c r="B54" s="153" t="s">
        <v>1409</v>
      </c>
      <c r="C54" s="116"/>
      <c r="D54" s="116"/>
      <c r="E54" s="55" t="str">
        <f>IFERROR(TRUNC(IF(C54&lt;&gt;0,C54/$C$121,"")*100,2),"")</f>
        <v/>
      </c>
      <c r="F54" s="55" t="str">
        <f>IFERROR(TRUNC(IF(D54&lt;&gt;0,D54/$D$121,"")*100,2),"")</f>
        <v/>
      </c>
      <c r="G54" s="56" t="str">
        <f>IF(OR(C54&lt;&gt;0,D54&lt;&gt;0),C54-D54,"")</f>
        <v/>
      </c>
      <c r="H54" s="55" t="str">
        <f>IFERROR(ABS(IF(G54&lt;&gt;0,IF(D54&lt;&gt;0,TRUNC(G54/D54*100,2),IF(C54&lt;&gt;0,TRUNC(G54/C54*100,2),"")),"")),"")</f>
        <v/>
      </c>
      <c r="I54" s="108" t="str">
        <f>IF(AND(AE$121=0,AF$121=0),"",IF(OR(N(E54)&lt;&gt;0,N(F54)&lt;&gt;0),IF(OR(N(E54)&gt;4,N(F54)&gt;4),IF(N(H54)&gt;14,"SI","NO"),"NO"),"NO"))</f>
        <v/>
      </c>
      <c r="J54" s="116"/>
      <c r="K54" s="116"/>
      <c r="L54" s="55" t="str">
        <f>IFERROR(TRUNC(IF(J54&lt;&gt;0,J54/$J$121,"")*100,2),"")</f>
        <v/>
      </c>
      <c r="M54" s="55" t="str">
        <f>IFERROR(TRUNC(IF(K54&lt;&gt;0,K54/$K$121,"")*100,2),"")</f>
        <v/>
      </c>
      <c r="N54" s="56" t="str">
        <f>IF(OR(J54&lt;&gt;0,K54&lt;&gt;0),J54-K54,"")</f>
        <v/>
      </c>
      <c r="O54" s="55" t="str">
        <f>IFERROR(ABS(IF(N54&lt;&gt;0,IF(K54&lt;&gt;0,TRUNC(N54/K54*100,2),IF(J54&lt;&gt;0,TRUNC(N54/J54*100,2),"")),"")),"")</f>
        <v/>
      </c>
      <c r="P54" s="108" t="str">
        <f>IF(AND(AE$121=0,AF$121=0),"",IF(OR(N(L54)&lt;&gt;0,N(M54)&lt;&gt;0),IF(OR(N(L54)&gt;4,N(M54)&gt;4),IF(N(O54)&gt;14,"SI","NO"),"NO"),"NO"))</f>
        <v/>
      </c>
      <c r="Q54" s="116"/>
      <c r="R54" s="116"/>
      <c r="S54" s="55" t="str">
        <f>IFERROR(TRUNC(IF(Q54&lt;&gt;0,Q54/$Q$121,"")*100,2),"")</f>
        <v/>
      </c>
      <c r="T54" s="55" t="str">
        <f>IFERROR(TRUNC(IF(R54&lt;&gt;0,R54/$R$121,"")*100,2),"")</f>
        <v/>
      </c>
      <c r="U54" s="56" t="str">
        <f>IF(OR(Q54&lt;&gt;0,R54&lt;&gt;0),Q54-R54,"")</f>
        <v/>
      </c>
      <c r="V54" s="55" t="str">
        <f>IFERROR(ABS(IF(U54&lt;&gt;0,IF(R54&lt;&gt;0,TRUNC(U54/R54*100,2),IF(Q54&lt;&gt;0,TRUNC(U54/Q54*100,2),"")),"")),"")</f>
        <v/>
      </c>
      <c r="W54" s="108" t="str">
        <f>IF(AND(AE$121=0,AF$121=0),"",IF(OR(N(S54)&lt;&gt;0,N(T54)&lt;&gt;0),IF(OR(N(S54)&gt;4,N(T54)&gt;4),IF(N(V54)&gt;14,"SI","NO"),"NO"),"NO"))</f>
        <v/>
      </c>
      <c r="X54" s="116"/>
      <c r="Y54" s="116"/>
      <c r="Z54" s="55" t="str">
        <f>IFERROR(TRUNC(IF(X54&lt;&gt;0,X54/$X$121,"")*100,2),"")</f>
        <v/>
      </c>
      <c r="AA54" s="55" t="str">
        <f>IFERROR(TRUNC(IF(Y54&lt;&gt;0,Y54/$Y$121,"")*100,2),"")</f>
        <v/>
      </c>
      <c r="AB54" s="56" t="str">
        <f>IF(OR(X54&lt;&gt;0,Y54&lt;&gt;0),X54-Y54,"")</f>
        <v/>
      </c>
      <c r="AC54" s="55" t="str">
        <f>IFERROR(ABS(IF(AB54&lt;&gt;0,IF(Y54&lt;&gt;0,TRUNC(AB54/Y54*100,2),IF(X54&lt;&gt;0,TRUNC(AB54/X54*100,2),"")),"")),"")</f>
        <v/>
      </c>
      <c r="AD54" s="108" t="str">
        <f>IF(AND(AE$121=0,AF$121=0),"",IF(OR(N(Z54)&lt;&gt;0,N(AA54)&lt;&gt;0),IF(OR(N(Z54)&gt;4,N(AA54)&gt;4),IF(N(AC54)&gt;14,"SI","NO"),"NO"),"NO"))</f>
        <v/>
      </c>
      <c r="AE54" s="116">
        <f t="shared" si="34"/>
        <v>0</v>
      </c>
      <c r="AF54" s="117">
        <f t="shared" si="34"/>
        <v>0</v>
      </c>
      <c r="AG54" s="117">
        <f t="shared" si="35"/>
        <v>0</v>
      </c>
      <c r="AH54" s="116">
        <f t="shared" si="35"/>
        <v>0</v>
      </c>
      <c r="AI54" s="116"/>
      <c r="AJ54" s="116"/>
      <c r="AK54" s="69"/>
    </row>
    <row r="55" spans="1:37" x14ac:dyDescent="0.25">
      <c r="A55" s="162" t="s">
        <v>1421</v>
      </c>
      <c r="B55" s="153" t="s">
        <v>1411</v>
      </c>
      <c r="C55" s="116"/>
      <c r="D55" s="116"/>
      <c r="E55" s="55" t="str">
        <f>IFERROR(TRUNC(IF(C55&lt;&gt;0,C55/$C$121,"")*100,2),"")</f>
        <v/>
      </c>
      <c r="F55" s="55" t="str">
        <f>IFERROR(TRUNC(IF(D55&lt;&gt;0,D55/$D$121,"")*100,2),"")</f>
        <v/>
      </c>
      <c r="G55" s="56" t="str">
        <f>IF(OR(C55&lt;&gt;0,D55&lt;&gt;0),C55-D55,"")</f>
        <v/>
      </c>
      <c r="H55" s="55" t="str">
        <f>IFERROR(ABS(IF(G55&lt;&gt;0,IF(D55&lt;&gt;0,TRUNC(G55/D55*100,2),IF(C55&lt;&gt;0,TRUNC(G55/C55*100,2),"")),"")),"")</f>
        <v/>
      </c>
      <c r="I55" s="108" t="str">
        <f>IF(AND(AE$121=0,AF$121=0),"",IF(OR(N(E55)&lt;&gt;0,N(F55)&lt;&gt;0),IF(OR(N(E55)&gt;4,N(F55)&gt;4),IF(N(H55)&gt;14,"SI","NO"),"NO"),"NO"))</f>
        <v/>
      </c>
      <c r="J55" s="116"/>
      <c r="K55" s="116"/>
      <c r="L55" s="55" t="str">
        <f>IFERROR(TRUNC(IF(J55&lt;&gt;0,J55/$J$121,"")*100,2),"")</f>
        <v/>
      </c>
      <c r="M55" s="55" t="str">
        <f>IFERROR(TRUNC(IF(K55&lt;&gt;0,K55/$K$121,"")*100,2),"")</f>
        <v/>
      </c>
      <c r="N55" s="56" t="str">
        <f>IF(OR(J55&lt;&gt;0,K55&lt;&gt;0),J55-K55,"")</f>
        <v/>
      </c>
      <c r="O55" s="55" t="str">
        <f>IFERROR(ABS(IF(N55&lt;&gt;0,IF(K55&lt;&gt;0,TRUNC(N55/K55*100,2),IF(J55&lt;&gt;0,TRUNC(N55/J55*100,2),"")),"")),"")</f>
        <v/>
      </c>
      <c r="P55" s="108" t="str">
        <f>IF(AND(AE$121=0,AF$121=0),"",IF(OR(N(L55)&lt;&gt;0,N(M55)&lt;&gt;0),IF(OR(N(L55)&gt;4,N(M55)&gt;4),IF(N(O55)&gt;14,"SI","NO"),"NO"),"NO"))</f>
        <v/>
      </c>
      <c r="Q55" s="116"/>
      <c r="R55" s="116"/>
      <c r="S55" s="55" t="str">
        <f>IFERROR(TRUNC(IF(Q55&lt;&gt;0,Q55/$Q$121,"")*100,2),"")</f>
        <v/>
      </c>
      <c r="T55" s="55" t="str">
        <f>IFERROR(TRUNC(IF(R55&lt;&gt;0,R55/$R$121,"")*100,2),"")</f>
        <v/>
      </c>
      <c r="U55" s="56" t="str">
        <f>IF(OR(Q55&lt;&gt;0,R55&lt;&gt;0),Q55-R55,"")</f>
        <v/>
      </c>
      <c r="V55" s="55" t="str">
        <f>IFERROR(ABS(IF(U55&lt;&gt;0,IF(R55&lt;&gt;0,TRUNC(U55/R55*100,2),IF(Q55&lt;&gt;0,TRUNC(U55/Q55*100,2),"")),"")),"")</f>
        <v/>
      </c>
      <c r="W55" s="108" t="str">
        <f>IF(AND(AE$121=0,AF$121=0),"",IF(OR(N(S55)&lt;&gt;0,N(T55)&lt;&gt;0),IF(OR(N(S55)&gt;4,N(T55)&gt;4),IF(N(V55)&gt;14,"SI","NO"),"NO"),"NO"))</f>
        <v/>
      </c>
      <c r="X55" s="116"/>
      <c r="Y55" s="116"/>
      <c r="Z55" s="55" t="str">
        <f>IFERROR(TRUNC(IF(X55&lt;&gt;0,X55/$X$121,"")*100,2),"")</f>
        <v/>
      </c>
      <c r="AA55" s="55" t="str">
        <f>IFERROR(TRUNC(IF(Y55&lt;&gt;0,Y55/$Y$121,"")*100,2),"")</f>
        <v/>
      </c>
      <c r="AB55" s="56" t="str">
        <f>IF(OR(X55&lt;&gt;0,Y55&lt;&gt;0),X55-Y55,"")</f>
        <v/>
      </c>
      <c r="AC55" s="55" t="str">
        <f>IFERROR(ABS(IF(AB55&lt;&gt;0,IF(Y55&lt;&gt;0,TRUNC(AB55/Y55*100,2),IF(X55&lt;&gt;0,TRUNC(AB55/X55*100,2),"")),"")),"")</f>
        <v/>
      </c>
      <c r="AD55" s="108" t="str">
        <f>IF(AND(AE$121=0,AF$121=0),"",IF(OR(N(Z55)&lt;&gt;0,N(AA55)&lt;&gt;0),IF(OR(N(Z55)&gt;4,N(AA55)&gt;4),IF(N(AC55)&gt;14,"SI","NO"),"NO"),"NO"))</f>
        <v/>
      </c>
      <c r="AE55" s="116">
        <f t="shared" si="34"/>
        <v>0</v>
      </c>
      <c r="AF55" s="117">
        <f t="shared" si="34"/>
        <v>0</v>
      </c>
      <c r="AG55" s="117">
        <f t="shared" si="35"/>
        <v>0</v>
      </c>
      <c r="AH55" s="116">
        <f t="shared" si="35"/>
        <v>0</v>
      </c>
      <c r="AI55" s="116"/>
      <c r="AJ55" s="116"/>
      <c r="AK55" s="69"/>
    </row>
    <row r="56" spans="1:37" x14ac:dyDescent="0.25">
      <c r="A56" s="162"/>
      <c r="B56" s="153"/>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69"/>
    </row>
    <row r="57" spans="1:37" x14ac:dyDescent="0.25">
      <c r="A57" s="162" t="s">
        <v>1422</v>
      </c>
      <c r="B57" s="153" t="s">
        <v>1423</v>
      </c>
      <c r="C57" s="54">
        <f>ROUND(SUM(C53:C55),0)</f>
        <v>0</v>
      </c>
      <c r="D57" s="54">
        <f>ROUND(SUM(D53:D55),0)</f>
        <v>0</v>
      </c>
      <c r="E57" s="29"/>
      <c r="F57" s="29"/>
      <c r="G57" s="29"/>
      <c r="H57" s="29"/>
      <c r="I57" s="29"/>
      <c r="J57" s="54">
        <f>ROUND(SUM(J53:J55),0)</f>
        <v>0</v>
      </c>
      <c r="K57" s="54">
        <f>ROUND(SUM(K53:K55),0)</f>
        <v>0</v>
      </c>
      <c r="L57" s="29"/>
      <c r="M57" s="29"/>
      <c r="N57" s="29"/>
      <c r="O57" s="29"/>
      <c r="P57" s="29"/>
      <c r="Q57" s="54">
        <f>ROUND(SUM(Q53:Q55),0)</f>
        <v>0</v>
      </c>
      <c r="R57" s="54">
        <f>ROUND(SUM(R53:R55),0)</f>
        <v>0</v>
      </c>
      <c r="S57" s="29"/>
      <c r="T57" s="29"/>
      <c r="U57" s="29"/>
      <c r="V57" s="29"/>
      <c r="W57" s="29"/>
      <c r="X57" s="54">
        <f>ROUND(SUM(X53:X55),0)</f>
        <v>0</v>
      </c>
      <c r="Y57" s="54">
        <f>ROUND(SUM(Y53:Y55),0)</f>
        <v>0</v>
      </c>
      <c r="Z57" s="29"/>
      <c r="AA57" s="29"/>
      <c r="AB57" s="29"/>
      <c r="AC57" s="29"/>
      <c r="AD57" s="29"/>
      <c r="AE57" s="54">
        <f t="shared" ref="AE57:AJ57" si="36">ROUND(SUM(AE53:AE55),0)</f>
        <v>0</v>
      </c>
      <c r="AF57" s="54">
        <f t="shared" si="36"/>
        <v>0</v>
      </c>
      <c r="AG57" s="54">
        <f t="shared" si="36"/>
        <v>0</v>
      </c>
      <c r="AH57" s="54">
        <f t="shared" si="36"/>
        <v>0</v>
      </c>
      <c r="AI57" s="54">
        <f t="shared" si="36"/>
        <v>0</v>
      </c>
      <c r="AJ57" s="54">
        <f t="shared" si="36"/>
        <v>0</v>
      </c>
      <c r="AK57" s="69"/>
    </row>
    <row r="58" spans="1:37" x14ac:dyDescent="0.25">
      <c r="A58" s="162"/>
      <c r="B58" s="153"/>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69"/>
    </row>
    <row r="59" spans="1:37" x14ac:dyDescent="0.25">
      <c r="A59" s="162"/>
      <c r="B59" s="153" t="s">
        <v>1066</v>
      </c>
      <c r="C59" s="51"/>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69"/>
    </row>
    <row r="60" spans="1:37" x14ac:dyDescent="0.25">
      <c r="A60" s="162"/>
      <c r="B60" s="153"/>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69"/>
    </row>
    <row r="61" spans="1:37" x14ac:dyDescent="0.25">
      <c r="A61" s="184" t="s">
        <v>1424</v>
      </c>
      <c r="B61" s="190" t="s">
        <v>5405</v>
      </c>
      <c r="C61" s="61"/>
      <c r="D61" s="61"/>
      <c r="E61" s="62" t="str">
        <f>IFERROR(IF(C61&lt;&gt;0,C61/$C$121,"")*100,"")</f>
        <v/>
      </c>
      <c r="F61" s="62" t="str">
        <f>IFERROR(IF(D61&lt;&gt;0,D61/$D$121,"")*100,"")</f>
        <v/>
      </c>
      <c r="G61" s="63" t="str">
        <f>IF(OR(C61&lt;&gt;0,D61&lt;&gt;0),C61-D61,"")</f>
        <v/>
      </c>
      <c r="H61" s="62" t="str">
        <f>IFERROR(ABS(IF(G61&lt;&gt;0,IF(D61&lt;&gt;0,TRUNC(G61/D61*100,2),IF(C61&lt;&gt;0,TRUNC(G61/C61*100,2),"")),"")),"")</f>
        <v/>
      </c>
      <c r="I61" s="119" t="str">
        <f>IF(AND(AE$121=0,AF$121=0),"",IF(OR(N(E61)&lt;&gt;0,N(F61)&lt;&gt;0),IF(OR(N(E61)&gt;4,N(F61)&gt;4),IF(N(H61)&gt;14,"SI","NO"),"NO"),"NO"))</f>
        <v/>
      </c>
      <c r="J61" s="61"/>
      <c r="K61" s="61"/>
      <c r="L61" s="62" t="str">
        <f>IFERROR(IF(J61&lt;&gt;0,J61/$J$121,"")*100,"")</f>
        <v/>
      </c>
      <c r="M61" s="62" t="str">
        <f>IFERROR(IF(K61&lt;&gt;0,K61/$K$121,"")*100,"")</f>
        <v/>
      </c>
      <c r="N61" s="63" t="str">
        <f>IF(OR(J61&lt;&gt;0,K61&lt;&gt;0),J61-K61,"")</f>
        <v/>
      </c>
      <c r="O61" s="62" t="str">
        <f>IFERROR(ABS(IF(N61&lt;&gt;0,IF(K61&lt;&gt;0,TRUNC(N61/K61*100,2),IF(J61&lt;&gt;0,TRUNC(N61/J61*100,2),"")),"")),"")</f>
        <v/>
      </c>
      <c r="P61" s="119" t="str">
        <f>IF(AND(AE$121=0,AF$121=0),"",IF(OR(N(L61)&lt;&gt;0,N(M61)&lt;&gt;0),IF(OR(N(L61)&gt;4,N(M61)&gt;4),IF(N(O61)&gt;14,"SI","NO"),"NO"),"NO"))</f>
        <v/>
      </c>
      <c r="Q61" s="61"/>
      <c r="R61" s="61"/>
      <c r="S61" s="62" t="str">
        <f>IFERROR(IF(Q61&lt;&gt;0,Q61/$Q$121,"")*100,"")</f>
        <v/>
      </c>
      <c r="T61" s="62" t="str">
        <f>IFERROR(IF(R61&lt;&gt;0,R61/$R$121,"")*100,"")</f>
        <v/>
      </c>
      <c r="U61" s="63" t="str">
        <f>IF(OR(Q61&lt;&gt;0,R61&lt;&gt;0),Q61-R61,"")</f>
        <v/>
      </c>
      <c r="V61" s="62" t="str">
        <f>IFERROR(ABS(IF(U61&lt;&gt;0,IF(R61&lt;&gt;0,TRUNC(U61/R61*100,2),IF(Q61&lt;&gt;0,TRUNC(U61/Q61*100,2),"")),"")),"")</f>
        <v/>
      </c>
      <c r="W61" s="119" t="str">
        <f>IF(AND(AE$121=0,AF$121=0),"",IF(OR(N(S61)&lt;&gt;0,N(T61)&lt;&gt;0),IF(OR(N(S61)&gt;4,N(T61)&gt;4),IF(N(V61)&gt;14,"SI","NO"),"NO"),"NO"))</f>
        <v/>
      </c>
      <c r="X61" s="61"/>
      <c r="Y61" s="61"/>
      <c r="Z61" s="62" t="str">
        <f>IFERROR(IF(X61&lt;&gt;0,X61/$X$121,"")*100,"")</f>
        <v/>
      </c>
      <c r="AA61" s="62" t="str">
        <f>IFERROR(IF(Y61&lt;&gt;0,Y61/$Y$121,"")*100,"")</f>
        <v/>
      </c>
      <c r="AB61" s="63" t="str">
        <f>IF(OR(X61&lt;&gt;0,Y61&lt;&gt;0),X61-Y61,"")</f>
        <v/>
      </c>
      <c r="AC61" s="62" t="str">
        <f>IFERROR(ABS(IF(AB61&lt;&gt;0,IF(Y61&lt;&gt;0,TRUNC(AB61/Y61*100,2),IF(X61&lt;&gt;0,TRUNC(AB61/X61*100,2),"")),"")),"")</f>
        <v/>
      </c>
      <c r="AD61" s="119" t="str">
        <f>IF(AND(AE$121=0,AF$121=0),"",IF(OR(N(Z61)&lt;&gt;0,N(AA61)&lt;&gt;0),IF(OR(N(Z61)&gt;4,N(AA61)&gt;4),IF(N(AC61)&gt;14,"SI","NO"),"NO"),"NO"))</f>
        <v/>
      </c>
      <c r="AE61" s="61">
        <f>ROUND(C61+J61+Q61+X61,0)</f>
        <v>0</v>
      </c>
      <c r="AF61" s="61">
        <f>ROUND(D61+K61+R61+Y61,0)</f>
        <v>0</v>
      </c>
      <c r="AG61" s="61"/>
      <c r="AH61" s="61"/>
      <c r="AI61" s="61">
        <f>AE61-AG61</f>
        <v>0</v>
      </c>
      <c r="AJ61" s="61">
        <f>AF61-AH61</f>
        <v>0</v>
      </c>
      <c r="AK61" s="69"/>
    </row>
    <row r="62" spans="1:37" x14ac:dyDescent="0.25">
      <c r="A62" s="162"/>
      <c r="B62" s="153"/>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69"/>
    </row>
    <row r="63" spans="1:37" x14ac:dyDescent="0.25">
      <c r="A63" s="162" t="s">
        <v>1425</v>
      </c>
      <c r="B63" s="153" t="s">
        <v>1426</v>
      </c>
      <c r="C63" s="54">
        <f>ROUND(SUM(C61:C62),0)</f>
        <v>0</v>
      </c>
      <c r="D63" s="54">
        <f>ROUND(SUM(D61:D62),0)</f>
        <v>0</v>
      </c>
      <c r="E63" s="29"/>
      <c r="F63" s="29"/>
      <c r="G63" s="29"/>
      <c r="H63" s="29"/>
      <c r="I63" s="29"/>
      <c r="J63" s="54">
        <f>ROUND(SUM(J61:J62),0)</f>
        <v>0</v>
      </c>
      <c r="K63" s="54">
        <f>ROUND(SUM(K61:K62),0)</f>
        <v>0</v>
      </c>
      <c r="L63" s="29"/>
      <c r="M63" s="29"/>
      <c r="N63" s="29"/>
      <c r="O63" s="29"/>
      <c r="P63" s="29"/>
      <c r="Q63" s="54">
        <f>ROUND(SUM(Q61:Q62),0)</f>
        <v>0</v>
      </c>
      <c r="R63" s="54">
        <f>ROUND(SUM(R61:R62),0)</f>
        <v>0</v>
      </c>
      <c r="S63" s="29"/>
      <c r="T63" s="29"/>
      <c r="U63" s="29"/>
      <c r="V63" s="29"/>
      <c r="W63" s="29"/>
      <c r="X63" s="54">
        <f>ROUND(SUM(X61:X62),0)</f>
        <v>0</v>
      </c>
      <c r="Y63" s="54">
        <f>ROUND(SUM(Y61:Y62),0)</f>
        <v>0</v>
      </c>
      <c r="Z63" s="29"/>
      <c r="AA63" s="29"/>
      <c r="AB63" s="29"/>
      <c r="AC63" s="29"/>
      <c r="AD63" s="29"/>
      <c r="AE63" s="54">
        <f t="shared" ref="AE63:AJ63" si="37">ROUND(SUM(AE61:AE62),0)</f>
        <v>0</v>
      </c>
      <c r="AF63" s="54">
        <f t="shared" si="37"/>
        <v>0</v>
      </c>
      <c r="AG63" s="54">
        <f t="shared" si="37"/>
        <v>0</v>
      </c>
      <c r="AH63" s="54">
        <f t="shared" si="37"/>
        <v>0</v>
      </c>
      <c r="AI63" s="54">
        <f t="shared" si="37"/>
        <v>0</v>
      </c>
      <c r="AJ63" s="54">
        <f t="shared" si="37"/>
        <v>0</v>
      </c>
      <c r="AK63" s="69"/>
    </row>
    <row r="64" spans="1:37" x14ac:dyDescent="0.25">
      <c r="A64" s="162"/>
      <c r="B64" s="153"/>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69"/>
    </row>
    <row r="65" spans="1:37" x14ac:dyDescent="0.25">
      <c r="A65" s="184" t="s">
        <v>1427</v>
      </c>
      <c r="B65" s="190" t="s">
        <v>5406</v>
      </c>
      <c r="C65" s="61"/>
      <c r="D65" s="61"/>
      <c r="E65" s="62" t="str">
        <f>IFERROR(IF(C65&lt;&gt;0,C65/$C$121,"")*100,"")</f>
        <v/>
      </c>
      <c r="F65" s="62" t="str">
        <f>IFERROR(IF(D65&lt;&gt;0,D65/$D$121,"")*100,"")</f>
        <v/>
      </c>
      <c r="G65" s="63" t="str">
        <f>IF(OR(C65&lt;&gt;0,D65&lt;&gt;0),C65-D65,"")</f>
        <v/>
      </c>
      <c r="H65" s="62" t="str">
        <f>IFERROR(ABS(IF(G65&lt;&gt;0,IF(D65&lt;&gt;0,TRUNC(G65/D65*100,2),IF(C65&lt;&gt;0,TRUNC(G65/C65*100,2),"")),"")),"")</f>
        <v/>
      </c>
      <c r="I65" s="119" t="str">
        <f>IF(AND(AE$121=0,AF$121=0),"",IF(OR(N(E65)&lt;&gt;0,N(F65)&lt;&gt;0),IF(OR(N(E65)&gt;4,N(F65)&gt;4),IF(N(H65)&gt;14,"SI","NO"),"NO"),"NO"))</f>
        <v/>
      </c>
      <c r="J65" s="61"/>
      <c r="K65" s="61"/>
      <c r="L65" s="62" t="str">
        <f>IFERROR(IF(J65&lt;&gt;0,J65/$J$121,"")*100,"")</f>
        <v/>
      </c>
      <c r="M65" s="62" t="str">
        <f>IFERROR(IF(K65&lt;&gt;0,K65/$K$121,"")*100,"")</f>
        <v/>
      </c>
      <c r="N65" s="63" t="str">
        <f>IF(OR(J65&lt;&gt;0,K65&lt;&gt;0),J65-K65,"")</f>
        <v/>
      </c>
      <c r="O65" s="62" t="str">
        <f>IFERROR(ABS(IF(N65&lt;&gt;0,IF(K65&lt;&gt;0,TRUNC(N65/K65*100,2),IF(J65&lt;&gt;0,TRUNC(N65/J65*100,2),"")),"")),"")</f>
        <v/>
      </c>
      <c r="P65" s="119" t="str">
        <f>IF(AND(AE$121=0,AF$121=0),"",IF(OR(N(L65)&lt;&gt;0,N(M65)&lt;&gt;0),IF(OR(N(L65)&gt;4,N(M65)&gt;4),IF(N(O65)&gt;14,"SI","NO"),"NO"),"NO"))</f>
        <v/>
      </c>
      <c r="Q65" s="61"/>
      <c r="R65" s="61"/>
      <c r="S65" s="62" t="str">
        <f>IFERROR(IF(Q65&lt;&gt;0,Q65/$Q$121,"")*100,"")</f>
        <v/>
      </c>
      <c r="T65" s="62" t="str">
        <f>IFERROR(IF(R65&lt;&gt;0,R65/$R$121,"")*100,"")</f>
        <v/>
      </c>
      <c r="U65" s="63" t="str">
        <f>IF(OR(Q65&lt;&gt;0,R65&lt;&gt;0),Q65-R65,"")</f>
        <v/>
      </c>
      <c r="V65" s="62" t="str">
        <f>IFERROR(ABS(IF(U65&lt;&gt;0,IF(R65&lt;&gt;0,TRUNC(U65/R65*100,2),IF(Q65&lt;&gt;0,TRUNC(U65/Q65*100,2),"")),"")),"")</f>
        <v/>
      </c>
      <c r="W65" s="119" t="str">
        <f>IF(AND(AE$121=0,AF$121=0),"",IF(OR(N(S65)&lt;&gt;0,N(T65)&lt;&gt;0),IF(OR(N(S65)&gt;4,N(T65)&gt;4),IF(N(V65)&gt;14,"SI","NO"),"NO"),"NO"))</f>
        <v/>
      </c>
      <c r="X65" s="61"/>
      <c r="Y65" s="61"/>
      <c r="Z65" s="62" t="str">
        <f>IFERROR(IF(X65&lt;&gt;0,X65/$X$121,"")*100,"")</f>
        <v/>
      </c>
      <c r="AA65" s="62" t="str">
        <f>IFERROR(IF(Y65&lt;&gt;0,Y65/$Y$121,"")*100,"")</f>
        <v/>
      </c>
      <c r="AB65" s="63" t="str">
        <f>IF(OR(X65&lt;&gt;0,Y65&lt;&gt;0),X65-Y65,"")</f>
        <v/>
      </c>
      <c r="AC65" s="62" t="str">
        <f>IFERROR(ABS(IF(AB65&lt;&gt;0,IF(Y65&lt;&gt;0,TRUNC(AB65/Y65*100,2),IF(X65&lt;&gt;0,TRUNC(AB65/X65*100,2),"")),"")),"")</f>
        <v/>
      </c>
      <c r="AD65" s="119" t="str">
        <f>IF(AND(AE$121=0,AF$121=0),"",IF(OR(N(Z65)&lt;&gt;0,N(AA65)&lt;&gt;0),IF(OR(N(Z65)&gt;4,N(AA65)&gt;4),IF(N(AC65)&gt;14,"SI","NO"),"NO"),"NO"))</f>
        <v/>
      </c>
      <c r="AE65" s="61">
        <f>ROUND(C65+J65+Q65+X65,0)</f>
        <v>0</v>
      </c>
      <c r="AF65" s="61">
        <f>ROUND(D65+K65+R65+Y65,0)</f>
        <v>0</v>
      </c>
      <c r="AG65" s="61"/>
      <c r="AH65" s="61"/>
      <c r="AI65" s="61">
        <f>AE65-AG65</f>
        <v>0</v>
      </c>
      <c r="AJ65" s="61">
        <f>AF65-AH65</f>
        <v>0</v>
      </c>
      <c r="AK65" s="69"/>
    </row>
    <row r="66" spans="1:37" x14ac:dyDescent="0.25">
      <c r="A66" s="162"/>
      <c r="B66" s="153"/>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69"/>
    </row>
    <row r="67" spans="1:37" x14ac:dyDescent="0.25">
      <c r="A67" s="162" t="s">
        <v>1428</v>
      </c>
      <c r="B67" s="153" t="s">
        <v>1429</v>
      </c>
      <c r="C67" s="54">
        <f>ROUND(SUM(C65:C66),0)</f>
        <v>0</v>
      </c>
      <c r="D67" s="54">
        <f>ROUND(SUM(D65:D66),0)</f>
        <v>0</v>
      </c>
      <c r="E67" s="29"/>
      <c r="F67" s="29"/>
      <c r="G67" s="29"/>
      <c r="H67" s="29"/>
      <c r="I67" s="29"/>
      <c r="J67" s="54">
        <f>ROUND(SUM(J65:J66),0)</f>
        <v>0</v>
      </c>
      <c r="K67" s="54">
        <f>ROUND(SUM(K65:K66),0)</f>
        <v>0</v>
      </c>
      <c r="L67" s="29"/>
      <c r="M67" s="29"/>
      <c r="N67" s="29"/>
      <c r="O67" s="29"/>
      <c r="P67" s="29"/>
      <c r="Q67" s="54">
        <f>ROUND(SUM(Q65:Q66),0)</f>
        <v>0</v>
      </c>
      <c r="R67" s="54">
        <f>ROUND(SUM(R65:R66),0)</f>
        <v>0</v>
      </c>
      <c r="S67" s="29"/>
      <c r="T67" s="29"/>
      <c r="U67" s="29"/>
      <c r="V67" s="29"/>
      <c r="W67" s="29"/>
      <c r="X67" s="54">
        <f>ROUND(SUM(X65:X66),0)</f>
        <v>0</v>
      </c>
      <c r="Y67" s="54">
        <f>ROUND(SUM(Y65:Y66),0)</f>
        <v>0</v>
      </c>
      <c r="Z67" s="29"/>
      <c r="AA67" s="29"/>
      <c r="AB67" s="29"/>
      <c r="AC67" s="29"/>
      <c r="AD67" s="29"/>
      <c r="AE67" s="54">
        <f t="shared" ref="AE67:AJ67" si="38">ROUND(SUM(AE65:AE66),0)</f>
        <v>0</v>
      </c>
      <c r="AF67" s="54">
        <f t="shared" si="38"/>
        <v>0</v>
      </c>
      <c r="AG67" s="54">
        <f t="shared" si="38"/>
        <v>0</v>
      </c>
      <c r="AH67" s="54">
        <f t="shared" si="38"/>
        <v>0</v>
      </c>
      <c r="AI67" s="54">
        <f t="shared" si="38"/>
        <v>0</v>
      </c>
      <c r="AJ67" s="54">
        <f t="shared" si="38"/>
        <v>0</v>
      </c>
      <c r="AK67" s="69"/>
    </row>
    <row r="68" spans="1:37" x14ac:dyDescent="0.25">
      <c r="A68" s="162"/>
      <c r="B68" s="153"/>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69"/>
    </row>
    <row r="69" spans="1:37" x14ac:dyDescent="0.25">
      <c r="A69" s="162"/>
      <c r="B69" s="153" t="s">
        <v>5407</v>
      </c>
      <c r="C69" s="51"/>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69"/>
    </row>
    <row r="70" spans="1:37" x14ac:dyDescent="0.25">
      <c r="A70" s="162"/>
      <c r="B70" s="153"/>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20"/>
      <c r="AG70" s="20"/>
      <c r="AH70" s="18"/>
      <c r="AI70" s="18"/>
      <c r="AJ70" s="18"/>
      <c r="AK70" s="69"/>
    </row>
    <row r="71" spans="1:37" x14ac:dyDescent="0.25">
      <c r="A71" s="162" t="s">
        <v>1430</v>
      </c>
      <c r="B71" s="153" t="s">
        <v>1431</v>
      </c>
      <c r="C71" s="116"/>
      <c r="D71" s="116"/>
      <c r="E71" s="55" t="str">
        <f t="shared" ref="E71:E112" si="39">IFERROR(TRUNC(IF(C71&lt;&gt;0,C71/$C$121,"")*100,2),"")</f>
        <v/>
      </c>
      <c r="F71" s="55" t="str">
        <f t="shared" ref="F71:F112" si="40">IFERROR(TRUNC(IF(D71&lt;&gt;0,D71/$D$121,"")*100,2),"")</f>
        <v/>
      </c>
      <c r="G71" s="56" t="str">
        <f t="shared" ref="G71:G112" si="41">IF(OR(C71&lt;&gt;0,D71&lt;&gt;0),C71-D71,"")</f>
        <v/>
      </c>
      <c r="H71" s="55" t="str">
        <f t="shared" ref="H71:H112" si="42">IFERROR(ABS(IF(G71&lt;&gt;0,IF(D71&lt;&gt;0,TRUNC(G71/D71*100,2),IF(C71&lt;&gt;0,TRUNC(G71/C71*100,2),"")),"")),"")</f>
        <v/>
      </c>
      <c r="I71" s="108" t="str">
        <f t="shared" ref="I71:I112" si="43">IF(AND(AE$121=0,AF$121=0),"",IF(OR(N(E71)&lt;&gt;0,N(F71)&lt;&gt;0),IF(OR(N(E71)&gt;4,N(F71)&gt;4),IF(N(H71)&gt;14,"SI","NO"),"NO"),"NO"))</f>
        <v/>
      </c>
      <c r="J71" s="116"/>
      <c r="K71" s="116"/>
      <c r="L71" s="55" t="str">
        <f t="shared" ref="L71:L112" si="44">IFERROR(TRUNC(IF(J71&lt;&gt;0,J71/$J$121,"")*100,2),"")</f>
        <v/>
      </c>
      <c r="M71" s="55" t="str">
        <f t="shared" ref="M71:M112" si="45">IFERROR(TRUNC(IF(K71&lt;&gt;0,K71/$K$121,"")*100,2),"")</f>
        <v/>
      </c>
      <c r="N71" s="56" t="str">
        <f t="shared" ref="N71:N112" si="46">IF(OR(J71&lt;&gt;0,K71&lt;&gt;0),J71-K71,"")</f>
        <v/>
      </c>
      <c r="O71" s="55" t="str">
        <f t="shared" ref="O71:O112" si="47">IFERROR(ABS(IF(N71&lt;&gt;0,IF(K71&lt;&gt;0,TRUNC(N71/K71*100,2),IF(J71&lt;&gt;0,TRUNC(N71/J71*100,2),"")),"")),"")</f>
        <v/>
      </c>
      <c r="P71" s="108" t="str">
        <f t="shared" ref="P71:P112" si="48">IF(AND(AE$121=0,AF$121=0),"",IF(OR(N(L71)&lt;&gt;0,N(M71)&lt;&gt;0),IF(OR(N(L71)&gt;4,N(M71)&gt;4),IF(N(O71)&gt;14,"SI","NO"),"NO"),"NO"))</f>
        <v/>
      </c>
      <c r="Q71" s="116"/>
      <c r="R71" s="116"/>
      <c r="S71" s="55" t="str">
        <f t="shared" ref="S71:S112" si="49">IFERROR(TRUNC(IF(Q71&lt;&gt;0,Q71/$Q$121,"")*100,2),"")</f>
        <v/>
      </c>
      <c r="T71" s="55" t="str">
        <f t="shared" ref="T71:T112" si="50">IFERROR(TRUNC(IF(R71&lt;&gt;0,R71/$R$121,"")*100,2),"")</f>
        <v/>
      </c>
      <c r="U71" s="56" t="str">
        <f t="shared" ref="U71:U112" si="51">IF(OR(Q71&lt;&gt;0,R71&lt;&gt;0),Q71-R71,"")</f>
        <v/>
      </c>
      <c r="V71" s="55" t="str">
        <f t="shared" ref="V71:V112" si="52">IFERROR(ABS(IF(U71&lt;&gt;0,IF(R71&lt;&gt;0,TRUNC(U71/R71*100,2),IF(Q71&lt;&gt;0,TRUNC(U71/Q71*100,2),"")),"")),"")</f>
        <v/>
      </c>
      <c r="W71" s="108" t="str">
        <f t="shared" ref="W71:W112" si="53">IF(AND(AE$121=0,AF$121=0),"",IF(OR(N(S71)&lt;&gt;0,N(T71)&lt;&gt;0),IF(OR(N(S71)&gt;4,N(T71)&gt;4),IF(N(V71)&gt;14,"SI","NO"),"NO"),"NO"))</f>
        <v/>
      </c>
      <c r="X71" s="116"/>
      <c r="Y71" s="116"/>
      <c r="Z71" s="55" t="str">
        <f t="shared" ref="Z71:Z112" si="54">IFERROR(TRUNC(IF(X71&lt;&gt;0,X71/$X$121,"")*100,2),"")</f>
        <v/>
      </c>
      <c r="AA71" s="55" t="str">
        <f t="shared" ref="AA71:AA112" si="55">IFERROR(TRUNC(IF(Y71&lt;&gt;0,Y71/$Y$121,"")*100,2),"")</f>
        <v/>
      </c>
      <c r="AB71" s="56" t="str">
        <f t="shared" ref="AB71:AB112" si="56">IF(OR(X71&lt;&gt;0,Y71&lt;&gt;0),X71-Y71,"")</f>
        <v/>
      </c>
      <c r="AC71" s="55" t="str">
        <f t="shared" ref="AC71:AC112" si="57">IFERROR(ABS(IF(AB71&lt;&gt;0,IF(Y71&lt;&gt;0,TRUNC(AB71/Y71*100,2),IF(X71&lt;&gt;0,TRUNC(AB71/X71*100,2),"")),"")),"")</f>
        <v/>
      </c>
      <c r="AD71" s="108" t="str">
        <f t="shared" ref="AD71:AD112" si="58">IF(AND(AE$121=0,AF$121=0),"",IF(OR(N(Z71)&lt;&gt;0,N(AA71)&lt;&gt;0),IF(OR(N(Z71)&gt;4,N(AA71)&gt;4),IF(N(AC71)&gt;14,"SI","NO"),"NO"),"NO"))</f>
        <v/>
      </c>
      <c r="AE71" s="116">
        <f t="shared" ref="AE71:AE112" si="59">ROUND(C71+J71+Q71+X71,0)</f>
        <v>0</v>
      </c>
      <c r="AF71" s="117">
        <f t="shared" ref="AF71:AF112" si="60">ROUND(D71+K71+R71+Y71,0)</f>
        <v>0</v>
      </c>
      <c r="AG71" s="117">
        <f t="shared" ref="AG71:AG83" si="61">AE71-AI71</f>
        <v>0</v>
      </c>
      <c r="AH71" s="116">
        <f t="shared" ref="AH71:AH83" si="62">AF71-AJ71</f>
        <v>0</v>
      </c>
      <c r="AI71" s="116"/>
      <c r="AJ71" s="116"/>
      <c r="AK71" s="69"/>
    </row>
    <row r="72" spans="1:37" x14ac:dyDescent="0.25">
      <c r="A72" s="162" t="s">
        <v>1432</v>
      </c>
      <c r="B72" s="153" t="s">
        <v>1433</v>
      </c>
      <c r="C72" s="116"/>
      <c r="D72" s="116"/>
      <c r="E72" s="55" t="str">
        <f t="shared" si="39"/>
        <v/>
      </c>
      <c r="F72" s="55" t="str">
        <f t="shared" si="40"/>
        <v/>
      </c>
      <c r="G72" s="56" t="str">
        <f t="shared" si="41"/>
        <v/>
      </c>
      <c r="H72" s="55" t="str">
        <f t="shared" si="42"/>
        <v/>
      </c>
      <c r="I72" s="108" t="str">
        <f t="shared" si="43"/>
        <v/>
      </c>
      <c r="J72" s="116"/>
      <c r="K72" s="116"/>
      <c r="L72" s="55" t="str">
        <f t="shared" si="44"/>
        <v/>
      </c>
      <c r="M72" s="55" t="str">
        <f t="shared" si="45"/>
        <v/>
      </c>
      <c r="N72" s="56" t="str">
        <f t="shared" si="46"/>
        <v/>
      </c>
      <c r="O72" s="55" t="str">
        <f t="shared" si="47"/>
        <v/>
      </c>
      <c r="P72" s="108" t="str">
        <f t="shared" si="48"/>
        <v/>
      </c>
      <c r="Q72" s="116"/>
      <c r="R72" s="116"/>
      <c r="S72" s="55" t="str">
        <f t="shared" si="49"/>
        <v/>
      </c>
      <c r="T72" s="55" t="str">
        <f t="shared" si="50"/>
        <v/>
      </c>
      <c r="U72" s="56" t="str">
        <f t="shared" si="51"/>
        <v/>
      </c>
      <c r="V72" s="55" t="str">
        <f t="shared" si="52"/>
        <v/>
      </c>
      <c r="W72" s="108" t="str">
        <f t="shared" si="53"/>
        <v/>
      </c>
      <c r="X72" s="116"/>
      <c r="Y72" s="116"/>
      <c r="Z72" s="55" t="str">
        <f t="shared" si="54"/>
        <v/>
      </c>
      <c r="AA72" s="55" t="str">
        <f t="shared" si="55"/>
        <v/>
      </c>
      <c r="AB72" s="56" t="str">
        <f t="shared" si="56"/>
        <v/>
      </c>
      <c r="AC72" s="55" t="str">
        <f t="shared" si="57"/>
        <v/>
      </c>
      <c r="AD72" s="108" t="str">
        <f t="shared" si="58"/>
        <v/>
      </c>
      <c r="AE72" s="116">
        <f t="shared" si="59"/>
        <v>0</v>
      </c>
      <c r="AF72" s="117">
        <f t="shared" si="60"/>
        <v>0</v>
      </c>
      <c r="AG72" s="117">
        <f t="shared" si="61"/>
        <v>0</v>
      </c>
      <c r="AH72" s="116">
        <f t="shared" si="62"/>
        <v>0</v>
      </c>
      <c r="AI72" s="116"/>
      <c r="AJ72" s="116"/>
      <c r="AK72" s="69"/>
    </row>
    <row r="73" spans="1:37" x14ac:dyDescent="0.25">
      <c r="A73" s="162" t="s">
        <v>1434</v>
      </c>
      <c r="B73" s="153" t="s">
        <v>1435</v>
      </c>
      <c r="C73" s="116"/>
      <c r="D73" s="116"/>
      <c r="E73" s="55" t="str">
        <f t="shared" si="39"/>
        <v/>
      </c>
      <c r="F73" s="55" t="str">
        <f t="shared" si="40"/>
        <v/>
      </c>
      <c r="G73" s="56" t="str">
        <f t="shared" si="41"/>
        <v/>
      </c>
      <c r="H73" s="55" t="str">
        <f t="shared" si="42"/>
        <v/>
      </c>
      <c r="I73" s="108" t="str">
        <f t="shared" si="43"/>
        <v/>
      </c>
      <c r="J73" s="116"/>
      <c r="K73" s="116"/>
      <c r="L73" s="55" t="str">
        <f t="shared" si="44"/>
        <v/>
      </c>
      <c r="M73" s="55" t="str">
        <f t="shared" si="45"/>
        <v/>
      </c>
      <c r="N73" s="56" t="str">
        <f t="shared" si="46"/>
        <v/>
      </c>
      <c r="O73" s="55" t="str">
        <f t="shared" si="47"/>
        <v/>
      </c>
      <c r="P73" s="108" t="str">
        <f t="shared" si="48"/>
        <v/>
      </c>
      <c r="Q73" s="116"/>
      <c r="R73" s="116"/>
      <c r="S73" s="55" t="str">
        <f t="shared" si="49"/>
        <v/>
      </c>
      <c r="T73" s="55" t="str">
        <f t="shared" si="50"/>
        <v/>
      </c>
      <c r="U73" s="56" t="str">
        <f t="shared" si="51"/>
        <v/>
      </c>
      <c r="V73" s="55" t="str">
        <f t="shared" si="52"/>
        <v/>
      </c>
      <c r="W73" s="108" t="str">
        <f t="shared" si="53"/>
        <v/>
      </c>
      <c r="X73" s="116"/>
      <c r="Y73" s="116"/>
      <c r="Z73" s="55" t="str">
        <f t="shared" si="54"/>
        <v/>
      </c>
      <c r="AA73" s="55" t="str">
        <f t="shared" si="55"/>
        <v/>
      </c>
      <c r="AB73" s="56" t="str">
        <f t="shared" si="56"/>
        <v/>
      </c>
      <c r="AC73" s="55" t="str">
        <f t="shared" si="57"/>
        <v/>
      </c>
      <c r="AD73" s="108" t="str">
        <f t="shared" si="58"/>
        <v/>
      </c>
      <c r="AE73" s="116">
        <f t="shared" si="59"/>
        <v>0</v>
      </c>
      <c r="AF73" s="117">
        <f t="shared" si="60"/>
        <v>0</v>
      </c>
      <c r="AG73" s="117">
        <f t="shared" si="61"/>
        <v>0</v>
      </c>
      <c r="AH73" s="116">
        <f t="shared" si="62"/>
        <v>0</v>
      </c>
      <c r="AI73" s="116"/>
      <c r="AJ73" s="116"/>
      <c r="AK73" s="69"/>
    </row>
    <row r="74" spans="1:37" x14ac:dyDescent="0.25">
      <c r="A74" s="162" t="s">
        <v>1436</v>
      </c>
      <c r="B74" s="153" t="s">
        <v>1437</v>
      </c>
      <c r="C74" s="116"/>
      <c r="D74" s="116"/>
      <c r="E74" s="55" t="str">
        <f t="shared" si="39"/>
        <v/>
      </c>
      <c r="F74" s="55" t="str">
        <f t="shared" si="40"/>
        <v/>
      </c>
      <c r="G74" s="56" t="str">
        <f t="shared" si="41"/>
        <v/>
      </c>
      <c r="H74" s="55" t="str">
        <f t="shared" si="42"/>
        <v/>
      </c>
      <c r="I74" s="108" t="str">
        <f t="shared" si="43"/>
        <v/>
      </c>
      <c r="J74" s="116"/>
      <c r="K74" s="116"/>
      <c r="L74" s="55" t="str">
        <f t="shared" si="44"/>
        <v/>
      </c>
      <c r="M74" s="55" t="str">
        <f t="shared" si="45"/>
        <v/>
      </c>
      <c r="N74" s="56" t="str">
        <f t="shared" si="46"/>
        <v/>
      </c>
      <c r="O74" s="55" t="str">
        <f t="shared" si="47"/>
        <v/>
      </c>
      <c r="P74" s="108" t="str">
        <f t="shared" si="48"/>
        <v/>
      </c>
      <c r="Q74" s="116"/>
      <c r="R74" s="116"/>
      <c r="S74" s="55" t="str">
        <f t="shared" si="49"/>
        <v/>
      </c>
      <c r="T74" s="55" t="str">
        <f t="shared" si="50"/>
        <v/>
      </c>
      <c r="U74" s="56" t="str">
        <f t="shared" si="51"/>
        <v/>
      </c>
      <c r="V74" s="55" t="str">
        <f t="shared" si="52"/>
        <v/>
      </c>
      <c r="W74" s="108" t="str">
        <f t="shared" si="53"/>
        <v/>
      </c>
      <c r="X74" s="116"/>
      <c r="Y74" s="116"/>
      <c r="Z74" s="55" t="str">
        <f t="shared" si="54"/>
        <v/>
      </c>
      <c r="AA74" s="55" t="str">
        <f t="shared" si="55"/>
        <v/>
      </c>
      <c r="AB74" s="56" t="str">
        <f t="shared" si="56"/>
        <v/>
      </c>
      <c r="AC74" s="55" t="str">
        <f t="shared" si="57"/>
        <v/>
      </c>
      <c r="AD74" s="108" t="str">
        <f t="shared" si="58"/>
        <v/>
      </c>
      <c r="AE74" s="116">
        <f t="shared" si="59"/>
        <v>0</v>
      </c>
      <c r="AF74" s="117">
        <f t="shared" si="60"/>
        <v>0</v>
      </c>
      <c r="AG74" s="117">
        <f t="shared" si="61"/>
        <v>0</v>
      </c>
      <c r="AH74" s="116">
        <f t="shared" si="62"/>
        <v>0</v>
      </c>
      <c r="AI74" s="116"/>
      <c r="AJ74" s="116"/>
      <c r="AK74" s="69"/>
    </row>
    <row r="75" spans="1:37" x14ac:dyDescent="0.25">
      <c r="A75" s="162" t="s">
        <v>1438</v>
      </c>
      <c r="B75" s="153" t="s">
        <v>1439</v>
      </c>
      <c r="C75" s="116"/>
      <c r="D75" s="116"/>
      <c r="E75" s="55" t="str">
        <f t="shared" si="39"/>
        <v/>
      </c>
      <c r="F75" s="55" t="str">
        <f t="shared" si="40"/>
        <v/>
      </c>
      <c r="G75" s="56" t="str">
        <f t="shared" si="41"/>
        <v/>
      </c>
      <c r="H75" s="55" t="str">
        <f t="shared" si="42"/>
        <v/>
      </c>
      <c r="I75" s="108" t="str">
        <f t="shared" si="43"/>
        <v/>
      </c>
      <c r="J75" s="116"/>
      <c r="K75" s="116"/>
      <c r="L75" s="55" t="str">
        <f t="shared" si="44"/>
        <v/>
      </c>
      <c r="M75" s="55" t="str">
        <f t="shared" si="45"/>
        <v/>
      </c>
      <c r="N75" s="56" t="str">
        <f t="shared" si="46"/>
        <v/>
      </c>
      <c r="O75" s="55" t="str">
        <f t="shared" si="47"/>
        <v/>
      </c>
      <c r="P75" s="108" t="str">
        <f t="shared" si="48"/>
        <v/>
      </c>
      <c r="Q75" s="116"/>
      <c r="R75" s="116"/>
      <c r="S75" s="55" t="str">
        <f t="shared" si="49"/>
        <v/>
      </c>
      <c r="T75" s="55" t="str">
        <f t="shared" si="50"/>
        <v/>
      </c>
      <c r="U75" s="56" t="str">
        <f t="shared" si="51"/>
        <v/>
      </c>
      <c r="V75" s="55" t="str">
        <f t="shared" si="52"/>
        <v/>
      </c>
      <c r="W75" s="108" t="str">
        <f t="shared" si="53"/>
        <v/>
      </c>
      <c r="X75" s="116"/>
      <c r="Y75" s="116"/>
      <c r="Z75" s="55" t="str">
        <f t="shared" si="54"/>
        <v/>
      </c>
      <c r="AA75" s="55" t="str">
        <f t="shared" si="55"/>
        <v/>
      </c>
      <c r="AB75" s="56" t="str">
        <f t="shared" si="56"/>
        <v/>
      </c>
      <c r="AC75" s="55" t="str">
        <f t="shared" si="57"/>
        <v/>
      </c>
      <c r="AD75" s="108" t="str">
        <f t="shared" si="58"/>
        <v/>
      </c>
      <c r="AE75" s="116">
        <f t="shared" si="59"/>
        <v>0</v>
      </c>
      <c r="AF75" s="117">
        <f t="shared" si="60"/>
        <v>0</v>
      </c>
      <c r="AG75" s="117">
        <f t="shared" si="61"/>
        <v>0</v>
      </c>
      <c r="AH75" s="116">
        <f t="shared" si="62"/>
        <v>0</v>
      </c>
      <c r="AI75" s="116"/>
      <c r="AJ75" s="116"/>
      <c r="AK75" s="69"/>
    </row>
    <row r="76" spans="1:37" x14ac:dyDescent="0.25">
      <c r="A76" s="162" t="s">
        <v>1440</v>
      </c>
      <c r="B76" s="153" t="s">
        <v>1441</v>
      </c>
      <c r="C76" s="116"/>
      <c r="D76" s="116"/>
      <c r="E76" s="55" t="str">
        <f t="shared" si="39"/>
        <v/>
      </c>
      <c r="F76" s="55" t="str">
        <f t="shared" si="40"/>
        <v/>
      </c>
      <c r="G76" s="56" t="str">
        <f t="shared" si="41"/>
        <v/>
      </c>
      <c r="H76" s="55" t="str">
        <f t="shared" si="42"/>
        <v/>
      </c>
      <c r="I76" s="108" t="str">
        <f t="shared" si="43"/>
        <v/>
      </c>
      <c r="J76" s="116"/>
      <c r="K76" s="116"/>
      <c r="L76" s="55" t="str">
        <f t="shared" si="44"/>
        <v/>
      </c>
      <c r="M76" s="55" t="str">
        <f t="shared" si="45"/>
        <v/>
      </c>
      <c r="N76" s="56" t="str">
        <f t="shared" si="46"/>
        <v/>
      </c>
      <c r="O76" s="55" t="str">
        <f t="shared" si="47"/>
        <v/>
      </c>
      <c r="P76" s="108" t="str">
        <f t="shared" si="48"/>
        <v/>
      </c>
      <c r="Q76" s="116"/>
      <c r="R76" s="116"/>
      <c r="S76" s="55" t="str">
        <f t="shared" si="49"/>
        <v/>
      </c>
      <c r="T76" s="55" t="str">
        <f t="shared" si="50"/>
        <v/>
      </c>
      <c r="U76" s="56" t="str">
        <f t="shared" si="51"/>
        <v/>
      </c>
      <c r="V76" s="55" t="str">
        <f t="shared" si="52"/>
        <v/>
      </c>
      <c r="W76" s="108" t="str">
        <f t="shared" si="53"/>
        <v/>
      </c>
      <c r="X76" s="116"/>
      <c r="Y76" s="116"/>
      <c r="Z76" s="55" t="str">
        <f t="shared" si="54"/>
        <v/>
      </c>
      <c r="AA76" s="55" t="str">
        <f t="shared" si="55"/>
        <v/>
      </c>
      <c r="AB76" s="56" t="str">
        <f t="shared" si="56"/>
        <v/>
      </c>
      <c r="AC76" s="55" t="str">
        <f t="shared" si="57"/>
        <v/>
      </c>
      <c r="AD76" s="108" t="str">
        <f t="shared" si="58"/>
        <v/>
      </c>
      <c r="AE76" s="116">
        <f t="shared" si="59"/>
        <v>0</v>
      </c>
      <c r="AF76" s="117">
        <f t="shared" si="60"/>
        <v>0</v>
      </c>
      <c r="AG76" s="117">
        <f t="shared" si="61"/>
        <v>0</v>
      </c>
      <c r="AH76" s="116">
        <f t="shared" si="62"/>
        <v>0</v>
      </c>
      <c r="AI76" s="116"/>
      <c r="AJ76" s="116"/>
      <c r="AK76" s="69"/>
    </row>
    <row r="77" spans="1:37" x14ac:dyDescent="0.25">
      <c r="A77" s="162" t="s">
        <v>1442</v>
      </c>
      <c r="B77" s="153" t="s">
        <v>1443</v>
      </c>
      <c r="C77" s="116"/>
      <c r="D77" s="116"/>
      <c r="E77" s="55" t="str">
        <f t="shared" si="39"/>
        <v/>
      </c>
      <c r="F77" s="55" t="str">
        <f t="shared" si="40"/>
        <v/>
      </c>
      <c r="G77" s="56" t="str">
        <f t="shared" si="41"/>
        <v/>
      </c>
      <c r="H77" s="55" t="str">
        <f t="shared" si="42"/>
        <v/>
      </c>
      <c r="I77" s="108" t="str">
        <f t="shared" si="43"/>
        <v/>
      </c>
      <c r="J77" s="116"/>
      <c r="K77" s="116"/>
      <c r="L77" s="55" t="str">
        <f t="shared" si="44"/>
        <v/>
      </c>
      <c r="M77" s="55" t="str">
        <f t="shared" si="45"/>
        <v/>
      </c>
      <c r="N77" s="56" t="str">
        <f t="shared" si="46"/>
        <v/>
      </c>
      <c r="O77" s="55" t="str">
        <f t="shared" si="47"/>
        <v/>
      </c>
      <c r="P77" s="108" t="str">
        <f t="shared" si="48"/>
        <v/>
      </c>
      <c r="Q77" s="116"/>
      <c r="R77" s="116"/>
      <c r="S77" s="55" t="str">
        <f t="shared" si="49"/>
        <v/>
      </c>
      <c r="T77" s="55" t="str">
        <f t="shared" si="50"/>
        <v/>
      </c>
      <c r="U77" s="56" t="str">
        <f t="shared" si="51"/>
        <v/>
      </c>
      <c r="V77" s="55" t="str">
        <f t="shared" si="52"/>
        <v/>
      </c>
      <c r="W77" s="108" t="str">
        <f t="shared" si="53"/>
        <v/>
      </c>
      <c r="X77" s="116"/>
      <c r="Y77" s="116"/>
      <c r="Z77" s="55" t="str">
        <f t="shared" si="54"/>
        <v/>
      </c>
      <c r="AA77" s="55" t="str">
        <f t="shared" si="55"/>
        <v/>
      </c>
      <c r="AB77" s="56" t="str">
        <f t="shared" si="56"/>
        <v/>
      </c>
      <c r="AC77" s="55" t="str">
        <f t="shared" si="57"/>
        <v/>
      </c>
      <c r="AD77" s="108" t="str">
        <f t="shared" si="58"/>
        <v/>
      </c>
      <c r="AE77" s="116">
        <f t="shared" si="59"/>
        <v>0</v>
      </c>
      <c r="AF77" s="117">
        <f t="shared" si="60"/>
        <v>0</v>
      </c>
      <c r="AG77" s="117">
        <f t="shared" si="61"/>
        <v>0</v>
      </c>
      <c r="AH77" s="116">
        <f t="shared" si="62"/>
        <v>0</v>
      </c>
      <c r="AI77" s="116"/>
      <c r="AJ77" s="116"/>
      <c r="AK77" s="69"/>
    </row>
    <row r="78" spans="1:37" x14ac:dyDescent="0.25">
      <c r="A78" s="162" t="s">
        <v>1444</v>
      </c>
      <c r="B78" s="153" t="s">
        <v>1445</v>
      </c>
      <c r="C78" s="116"/>
      <c r="D78" s="116"/>
      <c r="E78" s="55" t="str">
        <f t="shared" si="39"/>
        <v/>
      </c>
      <c r="F78" s="55" t="str">
        <f t="shared" si="40"/>
        <v/>
      </c>
      <c r="G78" s="56" t="str">
        <f t="shared" si="41"/>
        <v/>
      </c>
      <c r="H78" s="55" t="str">
        <f t="shared" si="42"/>
        <v/>
      </c>
      <c r="I78" s="108" t="str">
        <f t="shared" si="43"/>
        <v/>
      </c>
      <c r="J78" s="116"/>
      <c r="K78" s="116"/>
      <c r="L78" s="55" t="str">
        <f t="shared" si="44"/>
        <v/>
      </c>
      <c r="M78" s="55" t="str">
        <f t="shared" si="45"/>
        <v/>
      </c>
      <c r="N78" s="56" t="str">
        <f t="shared" si="46"/>
        <v/>
      </c>
      <c r="O78" s="55" t="str">
        <f t="shared" si="47"/>
        <v/>
      </c>
      <c r="P78" s="108" t="str">
        <f t="shared" si="48"/>
        <v/>
      </c>
      <c r="Q78" s="116"/>
      <c r="R78" s="116"/>
      <c r="S78" s="55" t="str">
        <f t="shared" si="49"/>
        <v/>
      </c>
      <c r="T78" s="55" t="str">
        <f t="shared" si="50"/>
        <v/>
      </c>
      <c r="U78" s="56" t="str">
        <f t="shared" si="51"/>
        <v/>
      </c>
      <c r="V78" s="55" t="str">
        <f t="shared" si="52"/>
        <v/>
      </c>
      <c r="W78" s="108" t="str">
        <f t="shared" si="53"/>
        <v/>
      </c>
      <c r="X78" s="116"/>
      <c r="Y78" s="116"/>
      <c r="Z78" s="55" t="str">
        <f t="shared" si="54"/>
        <v/>
      </c>
      <c r="AA78" s="55" t="str">
        <f t="shared" si="55"/>
        <v/>
      </c>
      <c r="AB78" s="56" t="str">
        <f t="shared" si="56"/>
        <v/>
      </c>
      <c r="AC78" s="55" t="str">
        <f t="shared" si="57"/>
        <v/>
      </c>
      <c r="AD78" s="108" t="str">
        <f t="shared" si="58"/>
        <v/>
      </c>
      <c r="AE78" s="116">
        <f t="shared" si="59"/>
        <v>0</v>
      </c>
      <c r="AF78" s="117">
        <f t="shared" si="60"/>
        <v>0</v>
      </c>
      <c r="AG78" s="117">
        <f t="shared" si="61"/>
        <v>0</v>
      </c>
      <c r="AH78" s="116">
        <f t="shared" si="62"/>
        <v>0</v>
      </c>
      <c r="AI78" s="116"/>
      <c r="AJ78" s="116"/>
      <c r="AK78" s="69"/>
    </row>
    <row r="79" spans="1:37" x14ac:dyDescent="0.25">
      <c r="A79" s="162" t="s">
        <v>1446</v>
      </c>
      <c r="B79" s="153" t="s">
        <v>1447</v>
      </c>
      <c r="C79" s="116"/>
      <c r="D79" s="116"/>
      <c r="E79" s="55" t="str">
        <f t="shared" si="39"/>
        <v/>
      </c>
      <c r="F79" s="55" t="str">
        <f t="shared" si="40"/>
        <v/>
      </c>
      <c r="G79" s="56" t="str">
        <f t="shared" si="41"/>
        <v/>
      </c>
      <c r="H79" s="55" t="str">
        <f t="shared" si="42"/>
        <v/>
      </c>
      <c r="I79" s="108" t="str">
        <f t="shared" si="43"/>
        <v/>
      </c>
      <c r="J79" s="116"/>
      <c r="K79" s="116"/>
      <c r="L79" s="55" t="str">
        <f t="shared" si="44"/>
        <v/>
      </c>
      <c r="M79" s="55" t="str">
        <f t="shared" si="45"/>
        <v/>
      </c>
      <c r="N79" s="56" t="str">
        <f t="shared" si="46"/>
        <v/>
      </c>
      <c r="O79" s="55" t="str">
        <f t="shared" si="47"/>
        <v/>
      </c>
      <c r="P79" s="108" t="str">
        <f t="shared" si="48"/>
        <v/>
      </c>
      <c r="Q79" s="116"/>
      <c r="R79" s="116"/>
      <c r="S79" s="55" t="str">
        <f t="shared" si="49"/>
        <v/>
      </c>
      <c r="T79" s="55" t="str">
        <f t="shared" si="50"/>
        <v/>
      </c>
      <c r="U79" s="56" t="str">
        <f t="shared" si="51"/>
        <v/>
      </c>
      <c r="V79" s="55" t="str">
        <f t="shared" si="52"/>
        <v/>
      </c>
      <c r="W79" s="108" t="str">
        <f t="shared" si="53"/>
        <v/>
      </c>
      <c r="X79" s="116"/>
      <c r="Y79" s="116"/>
      <c r="Z79" s="55" t="str">
        <f t="shared" si="54"/>
        <v/>
      </c>
      <c r="AA79" s="55" t="str">
        <f t="shared" si="55"/>
        <v/>
      </c>
      <c r="AB79" s="56" t="str">
        <f t="shared" si="56"/>
        <v/>
      </c>
      <c r="AC79" s="55" t="str">
        <f t="shared" si="57"/>
        <v/>
      </c>
      <c r="AD79" s="108" t="str">
        <f t="shared" si="58"/>
        <v/>
      </c>
      <c r="AE79" s="116">
        <f t="shared" si="59"/>
        <v>0</v>
      </c>
      <c r="AF79" s="117">
        <f t="shared" si="60"/>
        <v>0</v>
      </c>
      <c r="AG79" s="117">
        <f t="shared" si="61"/>
        <v>0</v>
      </c>
      <c r="AH79" s="116">
        <f t="shared" si="62"/>
        <v>0</v>
      </c>
      <c r="AI79" s="116"/>
      <c r="AJ79" s="116"/>
      <c r="AK79" s="69"/>
    </row>
    <row r="80" spans="1:37" x14ac:dyDescent="0.25">
      <c r="A80" s="162" t="s">
        <v>1448</v>
      </c>
      <c r="B80" s="153" t="s">
        <v>1449</v>
      </c>
      <c r="C80" s="116"/>
      <c r="D80" s="116"/>
      <c r="E80" s="55" t="str">
        <f t="shared" si="39"/>
        <v/>
      </c>
      <c r="F80" s="55" t="str">
        <f t="shared" si="40"/>
        <v/>
      </c>
      <c r="G80" s="56" t="str">
        <f t="shared" si="41"/>
        <v/>
      </c>
      <c r="H80" s="55" t="str">
        <f t="shared" si="42"/>
        <v/>
      </c>
      <c r="I80" s="108" t="str">
        <f t="shared" si="43"/>
        <v/>
      </c>
      <c r="J80" s="116"/>
      <c r="K80" s="116"/>
      <c r="L80" s="55" t="str">
        <f t="shared" si="44"/>
        <v/>
      </c>
      <c r="M80" s="55" t="str">
        <f t="shared" si="45"/>
        <v/>
      </c>
      <c r="N80" s="56" t="str">
        <f t="shared" si="46"/>
        <v/>
      </c>
      <c r="O80" s="55" t="str">
        <f t="shared" si="47"/>
        <v/>
      </c>
      <c r="P80" s="108" t="str">
        <f t="shared" si="48"/>
        <v/>
      </c>
      <c r="Q80" s="116"/>
      <c r="R80" s="116"/>
      <c r="S80" s="55" t="str">
        <f t="shared" si="49"/>
        <v/>
      </c>
      <c r="T80" s="55" t="str">
        <f t="shared" si="50"/>
        <v/>
      </c>
      <c r="U80" s="56" t="str">
        <f t="shared" si="51"/>
        <v/>
      </c>
      <c r="V80" s="55" t="str">
        <f t="shared" si="52"/>
        <v/>
      </c>
      <c r="W80" s="108" t="str">
        <f t="shared" si="53"/>
        <v/>
      </c>
      <c r="X80" s="116"/>
      <c r="Y80" s="116"/>
      <c r="Z80" s="55" t="str">
        <f t="shared" si="54"/>
        <v/>
      </c>
      <c r="AA80" s="55" t="str">
        <f t="shared" si="55"/>
        <v/>
      </c>
      <c r="AB80" s="56" t="str">
        <f t="shared" si="56"/>
        <v/>
      </c>
      <c r="AC80" s="55" t="str">
        <f t="shared" si="57"/>
        <v/>
      </c>
      <c r="AD80" s="108" t="str">
        <f t="shared" si="58"/>
        <v/>
      </c>
      <c r="AE80" s="116">
        <f t="shared" si="59"/>
        <v>0</v>
      </c>
      <c r="AF80" s="117">
        <f t="shared" si="60"/>
        <v>0</v>
      </c>
      <c r="AG80" s="117">
        <f t="shared" si="61"/>
        <v>0</v>
      </c>
      <c r="AH80" s="116">
        <f t="shared" si="62"/>
        <v>0</v>
      </c>
      <c r="AI80" s="116"/>
      <c r="AJ80" s="116"/>
      <c r="AK80" s="69"/>
    </row>
    <row r="81" spans="1:37" x14ac:dyDescent="0.25">
      <c r="A81" s="162" t="s">
        <v>1450</v>
      </c>
      <c r="B81" s="153" t="s">
        <v>1451</v>
      </c>
      <c r="C81" s="116"/>
      <c r="D81" s="116"/>
      <c r="E81" s="55" t="str">
        <f t="shared" si="39"/>
        <v/>
      </c>
      <c r="F81" s="55" t="str">
        <f t="shared" si="40"/>
        <v/>
      </c>
      <c r="G81" s="56" t="str">
        <f t="shared" si="41"/>
        <v/>
      </c>
      <c r="H81" s="55" t="str">
        <f t="shared" si="42"/>
        <v/>
      </c>
      <c r="I81" s="108" t="str">
        <f t="shared" si="43"/>
        <v/>
      </c>
      <c r="J81" s="116"/>
      <c r="K81" s="116"/>
      <c r="L81" s="55" t="str">
        <f t="shared" si="44"/>
        <v/>
      </c>
      <c r="M81" s="55" t="str">
        <f t="shared" si="45"/>
        <v/>
      </c>
      <c r="N81" s="56" t="str">
        <f t="shared" si="46"/>
        <v/>
      </c>
      <c r="O81" s="55" t="str">
        <f t="shared" si="47"/>
        <v/>
      </c>
      <c r="P81" s="108" t="str">
        <f t="shared" si="48"/>
        <v/>
      </c>
      <c r="Q81" s="116"/>
      <c r="R81" s="116"/>
      <c r="S81" s="55" t="str">
        <f t="shared" si="49"/>
        <v/>
      </c>
      <c r="T81" s="55" t="str">
        <f t="shared" si="50"/>
        <v/>
      </c>
      <c r="U81" s="56" t="str">
        <f t="shared" si="51"/>
        <v/>
      </c>
      <c r="V81" s="55" t="str">
        <f t="shared" si="52"/>
        <v/>
      </c>
      <c r="W81" s="108" t="str">
        <f t="shared" si="53"/>
        <v/>
      </c>
      <c r="X81" s="116"/>
      <c r="Y81" s="116"/>
      <c r="Z81" s="55" t="str">
        <f t="shared" si="54"/>
        <v/>
      </c>
      <c r="AA81" s="55" t="str">
        <f t="shared" si="55"/>
        <v/>
      </c>
      <c r="AB81" s="56" t="str">
        <f t="shared" si="56"/>
        <v/>
      </c>
      <c r="AC81" s="55" t="str">
        <f t="shared" si="57"/>
        <v/>
      </c>
      <c r="AD81" s="108" t="str">
        <f t="shared" si="58"/>
        <v/>
      </c>
      <c r="AE81" s="116">
        <f t="shared" si="59"/>
        <v>0</v>
      </c>
      <c r="AF81" s="117">
        <f t="shared" si="60"/>
        <v>0</v>
      </c>
      <c r="AG81" s="117">
        <f t="shared" si="61"/>
        <v>0</v>
      </c>
      <c r="AH81" s="116">
        <f t="shared" si="62"/>
        <v>0</v>
      </c>
      <c r="AI81" s="116"/>
      <c r="AJ81" s="116"/>
      <c r="AK81" s="69"/>
    </row>
    <row r="82" spans="1:37" x14ac:dyDescent="0.25">
      <c r="A82" s="162" t="s">
        <v>1452</v>
      </c>
      <c r="B82" s="153" t="s">
        <v>1453</v>
      </c>
      <c r="C82" s="116"/>
      <c r="D82" s="116"/>
      <c r="E82" s="55" t="str">
        <f t="shared" si="39"/>
        <v/>
      </c>
      <c r="F82" s="55" t="str">
        <f t="shared" si="40"/>
        <v/>
      </c>
      <c r="G82" s="56" t="str">
        <f t="shared" si="41"/>
        <v/>
      </c>
      <c r="H82" s="55" t="str">
        <f t="shared" si="42"/>
        <v/>
      </c>
      <c r="I82" s="108" t="str">
        <f t="shared" si="43"/>
        <v/>
      </c>
      <c r="J82" s="116"/>
      <c r="K82" s="116"/>
      <c r="L82" s="55" t="str">
        <f t="shared" si="44"/>
        <v/>
      </c>
      <c r="M82" s="55" t="str">
        <f t="shared" si="45"/>
        <v/>
      </c>
      <c r="N82" s="56" t="str">
        <f t="shared" si="46"/>
        <v/>
      </c>
      <c r="O82" s="55" t="str">
        <f t="shared" si="47"/>
        <v/>
      </c>
      <c r="P82" s="108" t="str">
        <f t="shared" si="48"/>
        <v/>
      </c>
      <c r="Q82" s="116"/>
      <c r="R82" s="116"/>
      <c r="S82" s="55" t="str">
        <f t="shared" si="49"/>
        <v/>
      </c>
      <c r="T82" s="55" t="str">
        <f t="shared" si="50"/>
        <v/>
      </c>
      <c r="U82" s="56" t="str">
        <f t="shared" si="51"/>
        <v/>
      </c>
      <c r="V82" s="55" t="str">
        <f t="shared" si="52"/>
        <v/>
      </c>
      <c r="W82" s="108" t="str">
        <f t="shared" si="53"/>
        <v/>
      </c>
      <c r="X82" s="116"/>
      <c r="Y82" s="116"/>
      <c r="Z82" s="55" t="str">
        <f t="shared" si="54"/>
        <v/>
      </c>
      <c r="AA82" s="55" t="str">
        <f t="shared" si="55"/>
        <v/>
      </c>
      <c r="AB82" s="56" t="str">
        <f t="shared" si="56"/>
        <v/>
      </c>
      <c r="AC82" s="55" t="str">
        <f t="shared" si="57"/>
        <v/>
      </c>
      <c r="AD82" s="108" t="str">
        <f t="shared" si="58"/>
        <v/>
      </c>
      <c r="AE82" s="116">
        <f t="shared" si="59"/>
        <v>0</v>
      </c>
      <c r="AF82" s="117">
        <f t="shared" si="60"/>
        <v>0</v>
      </c>
      <c r="AG82" s="117">
        <f t="shared" si="61"/>
        <v>0</v>
      </c>
      <c r="AH82" s="116">
        <f t="shared" si="62"/>
        <v>0</v>
      </c>
      <c r="AI82" s="116"/>
      <c r="AJ82" s="116"/>
      <c r="AK82" s="69"/>
    </row>
    <row r="83" spans="1:37" x14ac:dyDescent="0.25">
      <c r="A83" s="162" t="s">
        <v>1454</v>
      </c>
      <c r="B83" s="153" t="s">
        <v>1455</v>
      </c>
      <c r="C83" s="116"/>
      <c r="D83" s="116"/>
      <c r="E83" s="55" t="str">
        <f t="shared" si="39"/>
        <v/>
      </c>
      <c r="F83" s="55" t="str">
        <f t="shared" si="40"/>
        <v/>
      </c>
      <c r="G83" s="56" t="str">
        <f t="shared" si="41"/>
        <v/>
      </c>
      <c r="H83" s="55" t="str">
        <f t="shared" si="42"/>
        <v/>
      </c>
      <c r="I83" s="108" t="str">
        <f t="shared" si="43"/>
        <v/>
      </c>
      <c r="J83" s="116"/>
      <c r="K83" s="116"/>
      <c r="L83" s="55" t="str">
        <f t="shared" si="44"/>
        <v/>
      </c>
      <c r="M83" s="55" t="str">
        <f t="shared" si="45"/>
        <v/>
      </c>
      <c r="N83" s="56" t="str">
        <f t="shared" si="46"/>
        <v/>
      </c>
      <c r="O83" s="55" t="str">
        <f t="shared" si="47"/>
        <v/>
      </c>
      <c r="P83" s="108" t="str">
        <f t="shared" si="48"/>
        <v/>
      </c>
      <c r="Q83" s="116"/>
      <c r="R83" s="116"/>
      <c r="S83" s="55" t="str">
        <f t="shared" si="49"/>
        <v/>
      </c>
      <c r="T83" s="55" t="str">
        <f t="shared" si="50"/>
        <v/>
      </c>
      <c r="U83" s="56" t="str">
        <f t="shared" si="51"/>
        <v/>
      </c>
      <c r="V83" s="55" t="str">
        <f t="shared" si="52"/>
        <v/>
      </c>
      <c r="W83" s="108" t="str">
        <f t="shared" si="53"/>
        <v/>
      </c>
      <c r="X83" s="116"/>
      <c r="Y83" s="116"/>
      <c r="Z83" s="55" t="str">
        <f t="shared" si="54"/>
        <v/>
      </c>
      <c r="AA83" s="55" t="str">
        <f t="shared" si="55"/>
        <v/>
      </c>
      <c r="AB83" s="56" t="str">
        <f t="shared" si="56"/>
        <v/>
      </c>
      <c r="AC83" s="55" t="str">
        <f t="shared" si="57"/>
        <v/>
      </c>
      <c r="AD83" s="108" t="str">
        <f t="shared" si="58"/>
        <v/>
      </c>
      <c r="AE83" s="116">
        <f t="shared" si="59"/>
        <v>0</v>
      </c>
      <c r="AF83" s="117">
        <f t="shared" si="60"/>
        <v>0</v>
      </c>
      <c r="AG83" s="117">
        <f t="shared" si="61"/>
        <v>0</v>
      </c>
      <c r="AH83" s="116">
        <f t="shared" si="62"/>
        <v>0</v>
      </c>
      <c r="AI83" s="116"/>
      <c r="AJ83" s="116"/>
      <c r="AK83" s="69"/>
    </row>
    <row r="84" spans="1:37" x14ac:dyDescent="0.25">
      <c r="A84" s="162" t="s">
        <v>1456</v>
      </c>
      <c r="B84" s="153" t="s">
        <v>1457</v>
      </c>
      <c r="C84" s="116"/>
      <c r="D84" s="116"/>
      <c r="E84" s="55" t="str">
        <f t="shared" si="39"/>
        <v/>
      </c>
      <c r="F84" s="55" t="str">
        <f t="shared" si="40"/>
        <v/>
      </c>
      <c r="G84" s="56" t="str">
        <f t="shared" si="41"/>
        <v/>
      </c>
      <c r="H84" s="55" t="str">
        <f t="shared" si="42"/>
        <v/>
      </c>
      <c r="I84" s="108" t="str">
        <f t="shared" si="43"/>
        <v/>
      </c>
      <c r="J84" s="116"/>
      <c r="K84" s="116"/>
      <c r="L84" s="55" t="str">
        <f t="shared" si="44"/>
        <v/>
      </c>
      <c r="M84" s="55" t="str">
        <f t="shared" si="45"/>
        <v/>
      </c>
      <c r="N84" s="56" t="str">
        <f t="shared" si="46"/>
        <v/>
      </c>
      <c r="O84" s="55" t="str">
        <f t="shared" si="47"/>
        <v/>
      </c>
      <c r="P84" s="108" t="str">
        <f t="shared" si="48"/>
        <v/>
      </c>
      <c r="Q84" s="116"/>
      <c r="R84" s="116"/>
      <c r="S84" s="55" t="str">
        <f t="shared" si="49"/>
        <v/>
      </c>
      <c r="T84" s="55" t="str">
        <f t="shared" si="50"/>
        <v/>
      </c>
      <c r="U84" s="56" t="str">
        <f t="shared" si="51"/>
        <v/>
      </c>
      <c r="V84" s="55" t="str">
        <f t="shared" si="52"/>
        <v/>
      </c>
      <c r="W84" s="108" t="str">
        <f t="shared" si="53"/>
        <v/>
      </c>
      <c r="X84" s="116"/>
      <c r="Y84" s="116"/>
      <c r="Z84" s="55" t="str">
        <f t="shared" si="54"/>
        <v/>
      </c>
      <c r="AA84" s="55" t="str">
        <f t="shared" si="55"/>
        <v/>
      </c>
      <c r="AB84" s="56" t="str">
        <f t="shared" si="56"/>
        <v/>
      </c>
      <c r="AC84" s="55" t="str">
        <f t="shared" si="57"/>
        <v/>
      </c>
      <c r="AD84" s="108" t="str">
        <f t="shared" si="58"/>
        <v/>
      </c>
      <c r="AE84" s="116">
        <f t="shared" si="59"/>
        <v>0</v>
      </c>
      <c r="AF84" s="117">
        <f t="shared" si="60"/>
        <v>0</v>
      </c>
      <c r="AG84" s="117"/>
      <c r="AH84" s="116"/>
      <c r="AI84" s="116">
        <f>AE84-AG84</f>
        <v>0</v>
      </c>
      <c r="AJ84" s="116">
        <f>AF84-AH84</f>
        <v>0</v>
      </c>
      <c r="AK84" s="69"/>
    </row>
    <row r="85" spans="1:37" x14ac:dyDescent="0.25">
      <c r="A85" s="162" t="s">
        <v>1458</v>
      </c>
      <c r="B85" s="153" t="s">
        <v>1459</v>
      </c>
      <c r="C85" s="116"/>
      <c r="D85" s="116"/>
      <c r="E85" s="55" t="str">
        <f t="shared" si="39"/>
        <v/>
      </c>
      <c r="F85" s="55" t="str">
        <f t="shared" si="40"/>
        <v/>
      </c>
      <c r="G85" s="56" t="str">
        <f t="shared" si="41"/>
        <v/>
      </c>
      <c r="H85" s="55" t="str">
        <f t="shared" si="42"/>
        <v/>
      </c>
      <c r="I85" s="108" t="str">
        <f t="shared" si="43"/>
        <v/>
      </c>
      <c r="J85" s="116"/>
      <c r="K85" s="116"/>
      <c r="L85" s="55" t="str">
        <f t="shared" si="44"/>
        <v/>
      </c>
      <c r="M85" s="55" t="str">
        <f t="shared" si="45"/>
        <v/>
      </c>
      <c r="N85" s="56" t="str">
        <f t="shared" si="46"/>
        <v/>
      </c>
      <c r="O85" s="55" t="str">
        <f t="shared" si="47"/>
        <v/>
      </c>
      <c r="P85" s="108" t="str">
        <f t="shared" si="48"/>
        <v/>
      </c>
      <c r="Q85" s="116"/>
      <c r="R85" s="116"/>
      <c r="S85" s="55" t="str">
        <f t="shared" si="49"/>
        <v/>
      </c>
      <c r="T85" s="55" t="str">
        <f t="shared" si="50"/>
        <v/>
      </c>
      <c r="U85" s="56" t="str">
        <f t="shared" si="51"/>
        <v/>
      </c>
      <c r="V85" s="55" t="str">
        <f t="shared" si="52"/>
        <v/>
      </c>
      <c r="W85" s="108" t="str">
        <f t="shared" si="53"/>
        <v/>
      </c>
      <c r="X85" s="116"/>
      <c r="Y85" s="116"/>
      <c r="Z85" s="55" t="str">
        <f t="shared" si="54"/>
        <v/>
      </c>
      <c r="AA85" s="55" t="str">
        <f t="shared" si="55"/>
        <v/>
      </c>
      <c r="AB85" s="56" t="str">
        <f t="shared" si="56"/>
        <v/>
      </c>
      <c r="AC85" s="55" t="str">
        <f t="shared" si="57"/>
        <v/>
      </c>
      <c r="AD85" s="108" t="str">
        <f t="shared" si="58"/>
        <v/>
      </c>
      <c r="AE85" s="116">
        <f t="shared" si="59"/>
        <v>0</v>
      </c>
      <c r="AF85" s="117">
        <f t="shared" si="60"/>
        <v>0</v>
      </c>
      <c r="AG85" s="117">
        <f t="shared" ref="AG85:AG104" si="63">AE85-AI85</f>
        <v>0</v>
      </c>
      <c r="AH85" s="116">
        <f t="shared" ref="AH85:AH104" si="64">AF85-AJ85</f>
        <v>0</v>
      </c>
      <c r="AI85" s="116"/>
      <c r="AJ85" s="116"/>
      <c r="AK85" s="69"/>
    </row>
    <row r="86" spans="1:37" x14ac:dyDescent="0.25">
      <c r="A86" s="162" t="s">
        <v>1460</v>
      </c>
      <c r="B86" s="153" t="s">
        <v>1461</v>
      </c>
      <c r="C86" s="116"/>
      <c r="D86" s="116"/>
      <c r="E86" s="55" t="str">
        <f t="shared" si="39"/>
        <v/>
      </c>
      <c r="F86" s="55" t="str">
        <f t="shared" si="40"/>
        <v/>
      </c>
      <c r="G86" s="56" t="str">
        <f t="shared" si="41"/>
        <v/>
      </c>
      <c r="H86" s="55" t="str">
        <f t="shared" si="42"/>
        <v/>
      </c>
      <c r="I86" s="108" t="str">
        <f t="shared" si="43"/>
        <v/>
      </c>
      <c r="J86" s="116"/>
      <c r="K86" s="116"/>
      <c r="L86" s="55" t="str">
        <f t="shared" si="44"/>
        <v/>
      </c>
      <c r="M86" s="55" t="str">
        <f t="shared" si="45"/>
        <v/>
      </c>
      <c r="N86" s="56" t="str">
        <f t="shared" si="46"/>
        <v/>
      </c>
      <c r="O86" s="55" t="str">
        <f t="shared" si="47"/>
        <v/>
      </c>
      <c r="P86" s="108" t="str">
        <f t="shared" si="48"/>
        <v/>
      </c>
      <c r="Q86" s="116"/>
      <c r="R86" s="116"/>
      <c r="S86" s="55" t="str">
        <f t="shared" si="49"/>
        <v/>
      </c>
      <c r="T86" s="55" t="str">
        <f t="shared" si="50"/>
        <v/>
      </c>
      <c r="U86" s="56" t="str">
        <f t="shared" si="51"/>
        <v/>
      </c>
      <c r="V86" s="55" t="str">
        <f t="shared" si="52"/>
        <v/>
      </c>
      <c r="W86" s="108" t="str">
        <f t="shared" si="53"/>
        <v/>
      </c>
      <c r="X86" s="116"/>
      <c r="Y86" s="116"/>
      <c r="Z86" s="55" t="str">
        <f t="shared" si="54"/>
        <v/>
      </c>
      <c r="AA86" s="55" t="str">
        <f t="shared" si="55"/>
        <v/>
      </c>
      <c r="AB86" s="56" t="str">
        <f t="shared" si="56"/>
        <v/>
      </c>
      <c r="AC86" s="55" t="str">
        <f t="shared" si="57"/>
        <v/>
      </c>
      <c r="AD86" s="108" t="str">
        <f t="shared" si="58"/>
        <v/>
      </c>
      <c r="AE86" s="116">
        <f t="shared" si="59"/>
        <v>0</v>
      </c>
      <c r="AF86" s="117">
        <f t="shared" si="60"/>
        <v>0</v>
      </c>
      <c r="AG86" s="117">
        <f t="shared" si="63"/>
        <v>0</v>
      </c>
      <c r="AH86" s="116">
        <f t="shared" si="64"/>
        <v>0</v>
      </c>
      <c r="AI86" s="116"/>
      <c r="AJ86" s="116"/>
      <c r="AK86" s="69"/>
    </row>
    <row r="87" spans="1:37" x14ac:dyDescent="0.25">
      <c r="A87" s="162" t="s">
        <v>1462</v>
      </c>
      <c r="B87" s="153" t="s">
        <v>1463</v>
      </c>
      <c r="C87" s="116"/>
      <c r="D87" s="116"/>
      <c r="E87" s="55" t="str">
        <f t="shared" si="39"/>
        <v/>
      </c>
      <c r="F87" s="55" t="str">
        <f t="shared" si="40"/>
        <v/>
      </c>
      <c r="G87" s="56" t="str">
        <f t="shared" si="41"/>
        <v/>
      </c>
      <c r="H87" s="55" t="str">
        <f t="shared" si="42"/>
        <v/>
      </c>
      <c r="I87" s="108" t="str">
        <f t="shared" si="43"/>
        <v/>
      </c>
      <c r="J87" s="116"/>
      <c r="K87" s="116"/>
      <c r="L87" s="55" t="str">
        <f t="shared" si="44"/>
        <v/>
      </c>
      <c r="M87" s="55" t="str">
        <f t="shared" si="45"/>
        <v/>
      </c>
      <c r="N87" s="56" t="str">
        <f t="shared" si="46"/>
        <v/>
      </c>
      <c r="O87" s="55" t="str">
        <f t="shared" si="47"/>
        <v/>
      </c>
      <c r="P87" s="108" t="str">
        <f t="shared" si="48"/>
        <v/>
      </c>
      <c r="Q87" s="116"/>
      <c r="R87" s="116"/>
      <c r="S87" s="55" t="str">
        <f t="shared" si="49"/>
        <v/>
      </c>
      <c r="T87" s="55" t="str">
        <f t="shared" si="50"/>
        <v/>
      </c>
      <c r="U87" s="56" t="str">
        <f t="shared" si="51"/>
        <v/>
      </c>
      <c r="V87" s="55" t="str">
        <f t="shared" si="52"/>
        <v/>
      </c>
      <c r="W87" s="108" t="str">
        <f t="shared" si="53"/>
        <v/>
      </c>
      <c r="X87" s="116"/>
      <c r="Y87" s="116"/>
      <c r="Z87" s="55" t="str">
        <f t="shared" si="54"/>
        <v/>
      </c>
      <c r="AA87" s="55" t="str">
        <f t="shared" si="55"/>
        <v/>
      </c>
      <c r="AB87" s="56" t="str">
        <f t="shared" si="56"/>
        <v/>
      </c>
      <c r="AC87" s="55" t="str">
        <f t="shared" si="57"/>
        <v/>
      </c>
      <c r="AD87" s="108" t="str">
        <f t="shared" si="58"/>
        <v/>
      </c>
      <c r="AE87" s="116">
        <f t="shared" si="59"/>
        <v>0</v>
      </c>
      <c r="AF87" s="117">
        <f t="shared" si="60"/>
        <v>0</v>
      </c>
      <c r="AG87" s="117">
        <f t="shared" si="63"/>
        <v>0</v>
      </c>
      <c r="AH87" s="116">
        <f t="shared" si="64"/>
        <v>0</v>
      </c>
      <c r="AI87" s="116"/>
      <c r="AJ87" s="116"/>
      <c r="AK87" s="69"/>
    </row>
    <row r="88" spans="1:37" x14ac:dyDescent="0.25">
      <c r="A88" s="162" t="s">
        <v>1464</v>
      </c>
      <c r="B88" s="153" t="s">
        <v>1465</v>
      </c>
      <c r="C88" s="116"/>
      <c r="D88" s="116"/>
      <c r="E88" s="55" t="str">
        <f t="shared" si="39"/>
        <v/>
      </c>
      <c r="F88" s="55" t="str">
        <f t="shared" si="40"/>
        <v/>
      </c>
      <c r="G88" s="56" t="str">
        <f t="shared" si="41"/>
        <v/>
      </c>
      <c r="H88" s="55" t="str">
        <f t="shared" si="42"/>
        <v/>
      </c>
      <c r="I88" s="108" t="str">
        <f t="shared" si="43"/>
        <v/>
      </c>
      <c r="J88" s="116"/>
      <c r="K88" s="116"/>
      <c r="L88" s="55" t="str">
        <f t="shared" si="44"/>
        <v/>
      </c>
      <c r="M88" s="55" t="str">
        <f t="shared" si="45"/>
        <v/>
      </c>
      <c r="N88" s="56" t="str">
        <f t="shared" si="46"/>
        <v/>
      </c>
      <c r="O88" s="55" t="str">
        <f t="shared" si="47"/>
        <v/>
      </c>
      <c r="P88" s="108" t="str">
        <f t="shared" si="48"/>
        <v/>
      </c>
      <c r="Q88" s="116"/>
      <c r="R88" s="116"/>
      <c r="S88" s="55" t="str">
        <f t="shared" si="49"/>
        <v/>
      </c>
      <c r="T88" s="55" t="str">
        <f t="shared" si="50"/>
        <v/>
      </c>
      <c r="U88" s="56" t="str">
        <f t="shared" si="51"/>
        <v/>
      </c>
      <c r="V88" s="55" t="str">
        <f t="shared" si="52"/>
        <v/>
      </c>
      <c r="W88" s="108" t="str">
        <f t="shared" si="53"/>
        <v/>
      </c>
      <c r="X88" s="116"/>
      <c r="Y88" s="116"/>
      <c r="Z88" s="55" t="str">
        <f t="shared" si="54"/>
        <v/>
      </c>
      <c r="AA88" s="55" t="str">
        <f t="shared" si="55"/>
        <v/>
      </c>
      <c r="AB88" s="56" t="str">
        <f t="shared" si="56"/>
        <v/>
      </c>
      <c r="AC88" s="55" t="str">
        <f t="shared" si="57"/>
        <v/>
      </c>
      <c r="AD88" s="108" t="str">
        <f t="shared" si="58"/>
        <v/>
      </c>
      <c r="AE88" s="116">
        <f t="shared" si="59"/>
        <v>0</v>
      </c>
      <c r="AF88" s="117">
        <f t="shared" si="60"/>
        <v>0</v>
      </c>
      <c r="AG88" s="117">
        <f t="shared" si="63"/>
        <v>0</v>
      </c>
      <c r="AH88" s="116">
        <f t="shared" si="64"/>
        <v>0</v>
      </c>
      <c r="AI88" s="116"/>
      <c r="AJ88" s="116"/>
      <c r="AK88" s="69"/>
    </row>
    <row r="89" spans="1:37" x14ac:dyDescent="0.25">
      <c r="A89" s="162" t="s">
        <v>1466</v>
      </c>
      <c r="B89" s="153" t="s">
        <v>1467</v>
      </c>
      <c r="C89" s="116"/>
      <c r="D89" s="116"/>
      <c r="E89" s="55" t="str">
        <f t="shared" si="39"/>
        <v/>
      </c>
      <c r="F89" s="55" t="str">
        <f t="shared" si="40"/>
        <v/>
      </c>
      <c r="G89" s="56" t="str">
        <f t="shared" si="41"/>
        <v/>
      </c>
      <c r="H89" s="55" t="str">
        <f t="shared" si="42"/>
        <v/>
      </c>
      <c r="I89" s="108" t="str">
        <f t="shared" si="43"/>
        <v/>
      </c>
      <c r="J89" s="116"/>
      <c r="K89" s="116"/>
      <c r="L89" s="55" t="str">
        <f t="shared" si="44"/>
        <v/>
      </c>
      <c r="M89" s="55" t="str">
        <f t="shared" si="45"/>
        <v/>
      </c>
      <c r="N89" s="56" t="str">
        <f t="shared" si="46"/>
        <v/>
      </c>
      <c r="O89" s="55" t="str">
        <f t="shared" si="47"/>
        <v/>
      </c>
      <c r="P89" s="108" t="str">
        <f t="shared" si="48"/>
        <v/>
      </c>
      <c r="Q89" s="116"/>
      <c r="R89" s="116"/>
      <c r="S89" s="55" t="str">
        <f t="shared" si="49"/>
        <v/>
      </c>
      <c r="T89" s="55" t="str">
        <f t="shared" si="50"/>
        <v/>
      </c>
      <c r="U89" s="56" t="str">
        <f t="shared" si="51"/>
        <v/>
      </c>
      <c r="V89" s="55" t="str">
        <f t="shared" si="52"/>
        <v/>
      </c>
      <c r="W89" s="108" t="str">
        <f t="shared" si="53"/>
        <v/>
      </c>
      <c r="X89" s="116"/>
      <c r="Y89" s="116"/>
      <c r="Z89" s="55" t="str">
        <f t="shared" si="54"/>
        <v/>
      </c>
      <c r="AA89" s="55" t="str">
        <f t="shared" si="55"/>
        <v/>
      </c>
      <c r="AB89" s="56" t="str">
        <f t="shared" si="56"/>
        <v/>
      </c>
      <c r="AC89" s="55" t="str">
        <f t="shared" si="57"/>
        <v/>
      </c>
      <c r="AD89" s="108" t="str">
        <f t="shared" si="58"/>
        <v/>
      </c>
      <c r="AE89" s="116">
        <f t="shared" si="59"/>
        <v>0</v>
      </c>
      <c r="AF89" s="117">
        <f t="shared" si="60"/>
        <v>0</v>
      </c>
      <c r="AG89" s="117">
        <f t="shared" si="63"/>
        <v>0</v>
      </c>
      <c r="AH89" s="116">
        <f t="shared" si="64"/>
        <v>0</v>
      </c>
      <c r="AI89" s="116"/>
      <c r="AJ89" s="116"/>
      <c r="AK89" s="69"/>
    </row>
    <row r="90" spans="1:37" x14ac:dyDescent="0.25">
      <c r="A90" s="162" t="s">
        <v>1468</v>
      </c>
      <c r="B90" s="153" t="s">
        <v>1469</v>
      </c>
      <c r="C90" s="116"/>
      <c r="D90" s="116"/>
      <c r="E90" s="55" t="str">
        <f t="shared" si="39"/>
        <v/>
      </c>
      <c r="F90" s="55" t="str">
        <f t="shared" si="40"/>
        <v/>
      </c>
      <c r="G90" s="56" t="str">
        <f t="shared" si="41"/>
        <v/>
      </c>
      <c r="H90" s="55" t="str">
        <f t="shared" si="42"/>
        <v/>
      </c>
      <c r="I90" s="108" t="str">
        <f t="shared" si="43"/>
        <v/>
      </c>
      <c r="J90" s="116"/>
      <c r="K90" s="116"/>
      <c r="L90" s="55" t="str">
        <f t="shared" si="44"/>
        <v/>
      </c>
      <c r="M90" s="55" t="str">
        <f t="shared" si="45"/>
        <v/>
      </c>
      <c r="N90" s="56" t="str">
        <f t="shared" si="46"/>
        <v/>
      </c>
      <c r="O90" s="55" t="str">
        <f t="shared" si="47"/>
        <v/>
      </c>
      <c r="P90" s="108" t="str">
        <f t="shared" si="48"/>
        <v/>
      </c>
      <c r="Q90" s="116"/>
      <c r="R90" s="116"/>
      <c r="S90" s="55" t="str">
        <f t="shared" si="49"/>
        <v/>
      </c>
      <c r="T90" s="55" t="str">
        <f t="shared" si="50"/>
        <v/>
      </c>
      <c r="U90" s="56" t="str">
        <f t="shared" si="51"/>
        <v/>
      </c>
      <c r="V90" s="55" t="str">
        <f t="shared" si="52"/>
        <v/>
      </c>
      <c r="W90" s="108" t="str">
        <f t="shared" si="53"/>
        <v/>
      </c>
      <c r="X90" s="116"/>
      <c r="Y90" s="116"/>
      <c r="Z90" s="55" t="str">
        <f t="shared" si="54"/>
        <v/>
      </c>
      <c r="AA90" s="55" t="str">
        <f t="shared" si="55"/>
        <v/>
      </c>
      <c r="AB90" s="56" t="str">
        <f t="shared" si="56"/>
        <v/>
      </c>
      <c r="AC90" s="55" t="str">
        <f t="shared" si="57"/>
        <v/>
      </c>
      <c r="AD90" s="108" t="str">
        <f t="shared" si="58"/>
        <v/>
      </c>
      <c r="AE90" s="116">
        <f t="shared" si="59"/>
        <v>0</v>
      </c>
      <c r="AF90" s="117">
        <f t="shared" si="60"/>
        <v>0</v>
      </c>
      <c r="AG90" s="117">
        <f t="shared" si="63"/>
        <v>0</v>
      </c>
      <c r="AH90" s="116">
        <f t="shared" si="64"/>
        <v>0</v>
      </c>
      <c r="AI90" s="116"/>
      <c r="AJ90" s="116"/>
      <c r="AK90" s="69"/>
    </row>
    <row r="91" spans="1:37" x14ac:dyDescent="0.25">
      <c r="A91" s="162" t="s">
        <v>1470</v>
      </c>
      <c r="B91" s="153" t="s">
        <v>1242</v>
      </c>
      <c r="C91" s="116"/>
      <c r="D91" s="116"/>
      <c r="E91" s="55" t="str">
        <f t="shared" si="39"/>
        <v/>
      </c>
      <c r="F91" s="55" t="str">
        <f t="shared" si="40"/>
        <v/>
      </c>
      <c r="G91" s="56" t="str">
        <f t="shared" si="41"/>
        <v/>
      </c>
      <c r="H91" s="55" t="str">
        <f t="shared" si="42"/>
        <v/>
      </c>
      <c r="I91" s="108" t="str">
        <f t="shared" si="43"/>
        <v/>
      </c>
      <c r="J91" s="116"/>
      <c r="K91" s="116"/>
      <c r="L91" s="55" t="str">
        <f t="shared" si="44"/>
        <v/>
      </c>
      <c r="M91" s="55" t="str">
        <f t="shared" si="45"/>
        <v/>
      </c>
      <c r="N91" s="56" t="str">
        <f t="shared" si="46"/>
        <v/>
      </c>
      <c r="O91" s="55" t="str">
        <f t="shared" si="47"/>
        <v/>
      </c>
      <c r="P91" s="108" t="str">
        <f t="shared" si="48"/>
        <v/>
      </c>
      <c r="Q91" s="116"/>
      <c r="R91" s="116"/>
      <c r="S91" s="55" t="str">
        <f t="shared" si="49"/>
        <v/>
      </c>
      <c r="T91" s="55" t="str">
        <f t="shared" si="50"/>
        <v/>
      </c>
      <c r="U91" s="56" t="str">
        <f t="shared" si="51"/>
        <v/>
      </c>
      <c r="V91" s="55" t="str">
        <f t="shared" si="52"/>
        <v/>
      </c>
      <c r="W91" s="108" t="str">
        <f t="shared" si="53"/>
        <v/>
      </c>
      <c r="X91" s="116"/>
      <c r="Y91" s="116"/>
      <c r="Z91" s="55" t="str">
        <f t="shared" si="54"/>
        <v/>
      </c>
      <c r="AA91" s="55" t="str">
        <f t="shared" si="55"/>
        <v/>
      </c>
      <c r="AB91" s="56" t="str">
        <f t="shared" si="56"/>
        <v/>
      </c>
      <c r="AC91" s="55" t="str">
        <f t="shared" si="57"/>
        <v/>
      </c>
      <c r="AD91" s="108" t="str">
        <f t="shared" si="58"/>
        <v/>
      </c>
      <c r="AE91" s="116">
        <f t="shared" si="59"/>
        <v>0</v>
      </c>
      <c r="AF91" s="117">
        <f t="shared" si="60"/>
        <v>0</v>
      </c>
      <c r="AG91" s="117">
        <f t="shared" si="63"/>
        <v>0</v>
      </c>
      <c r="AH91" s="116">
        <f t="shared" si="64"/>
        <v>0</v>
      </c>
      <c r="AI91" s="116"/>
      <c r="AJ91" s="116"/>
      <c r="AK91" s="69"/>
    </row>
    <row r="92" spans="1:37" x14ac:dyDescent="0.25">
      <c r="A92" s="162" t="s">
        <v>1471</v>
      </c>
      <c r="B92" s="153" t="s">
        <v>1472</v>
      </c>
      <c r="C92" s="116"/>
      <c r="D92" s="116"/>
      <c r="E92" s="55" t="str">
        <f t="shared" si="39"/>
        <v/>
      </c>
      <c r="F92" s="55" t="str">
        <f t="shared" si="40"/>
        <v/>
      </c>
      <c r="G92" s="56" t="str">
        <f t="shared" si="41"/>
        <v/>
      </c>
      <c r="H92" s="55" t="str">
        <f t="shared" si="42"/>
        <v/>
      </c>
      <c r="I92" s="108" t="str">
        <f t="shared" si="43"/>
        <v/>
      </c>
      <c r="J92" s="116"/>
      <c r="K92" s="116"/>
      <c r="L92" s="55" t="str">
        <f t="shared" si="44"/>
        <v/>
      </c>
      <c r="M92" s="55" t="str">
        <f t="shared" si="45"/>
        <v/>
      </c>
      <c r="N92" s="56" t="str">
        <f t="shared" si="46"/>
        <v/>
      </c>
      <c r="O92" s="55" t="str">
        <f t="shared" si="47"/>
        <v/>
      </c>
      <c r="P92" s="108" t="str">
        <f t="shared" si="48"/>
        <v/>
      </c>
      <c r="Q92" s="116"/>
      <c r="R92" s="116"/>
      <c r="S92" s="55" t="str">
        <f t="shared" si="49"/>
        <v/>
      </c>
      <c r="T92" s="55" t="str">
        <f t="shared" si="50"/>
        <v/>
      </c>
      <c r="U92" s="56" t="str">
        <f t="shared" si="51"/>
        <v/>
      </c>
      <c r="V92" s="55" t="str">
        <f t="shared" si="52"/>
        <v/>
      </c>
      <c r="W92" s="108" t="str">
        <f t="shared" si="53"/>
        <v/>
      </c>
      <c r="X92" s="116"/>
      <c r="Y92" s="116"/>
      <c r="Z92" s="55" t="str">
        <f t="shared" si="54"/>
        <v/>
      </c>
      <c r="AA92" s="55" t="str">
        <f t="shared" si="55"/>
        <v/>
      </c>
      <c r="AB92" s="56" t="str">
        <f t="shared" si="56"/>
        <v/>
      </c>
      <c r="AC92" s="55" t="str">
        <f t="shared" si="57"/>
        <v/>
      </c>
      <c r="AD92" s="108" t="str">
        <f t="shared" si="58"/>
        <v/>
      </c>
      <c r="AE92" s="116">
        <f t="shared" si="59"/>
        <v>0</v>
      </c>
      <c r="AF92" s="117">
        <f t="shared" si="60"/>
        <v>0</v>
      </c>
      <c r="AG92" s="117">
        <f t="shared" si="63"/>
        <v>0</v>
      </c>
      <c r="AH92" s="116">
        <f t="shared" si="64"/>
        <v>0</v>
      </c>
      <c r="AI92" s="116"/>
      <c r="AJ92" s="116"/>
      <c r="AK92" s="69"/>
    </row>
    <row r="93" spans="1:37" x14ac:dyDescent="0.25">
      <c r="A93" s="162" t="s">
        <v>1473</v>
      </c>
      <c r="B93" s="153" t="s">
        <v>1474</v>
      </c>
      <c r="C93" s="116"/>
      <c r="D93" s="116"/>
      <c r="E93" s="55" t="str">
        <f t="shared" si="39"/>
        <v/>
      </c>
      <c r="F93" s="55" t="str">
        <f t="shared" si="40"/>
        <v/>
      </c>
      <c r="G93" s="56" t="str">
        <f t="shared" si="41"/>
        <v/>
      </c>
      <c r="H93" s="55" t="str">
        <f t="shared" si="42"/>
        <v/>
      </c>
      <c r="I93" s="108" t="str">
        <f t="shared" si="43"/>
        <v/>
      </c>
      <c r="J93" s="116"/>
      <c r="K93" s="116"/>
      <c r="L93" s="55" t="str">
        <f t="shared" si="44"/>
        <v/>
      </c>
      <c r="M93" s="55" t="str">
        <f t="shared" si="45"/>
        <v/>
      </c>
      <c r="N93" s="56" t="str">
        <f t="shared" si="46"/>
        <v/>
      </c>
      <c r="O93" s="55" t="str">
        <f t="shared" si="47"/>
        <v/>
      </c>
      <c r="P93" s="108" t="str">
        <f t="shared" si="48"/>
        <v/>
      </c>
      <c r="Q93" s="116"/>
      <c r="R93" s="116"/>
      <c r="S93" s="55" t="str">
        <f t="shared" si="49"/>
        <v/>
      </c>
      <c r="T93" s="55" t="str">
        <f t="shared" si="50"/>
        <v/>
      </c>
      <c r="U93" s="56" t="str">
        <f t="shared" si="51"/>
        <v/>
      </c>
      <c r="V93" s="55" t="str">
        <f t="shared" si="52"/>
        <v/>
      </c>
      <c r="W93" s="108" t="str">
        <f t="shared" si="53"/>
        <v/>
      </c>
      <c r="X93" s="116"/>
      <c r="Y93" s="116"/>
      <c r="Z93" s="55" t="str">
        <f t="shared" si="54"/>
        <v/>
      </c>
      <c r="AA93" s="55" t="str">
        <f t="shared" si="55"/>
        <v/>
      </c>
      <c r="AB93" s="56" t="str">
        <f t="shared" si="56"/>
        <v/>
      </c>
      <c r="AC93" s="55" t="str">
        <f t="shared" si="57"/>
        <v/>
      </c>
      <c r="AD93" s="108" t="str">
        <f t="shared" si="58"/>
        <v/>
      </c>
      <c r="AE93" s="116">
        <f t="shared" si="59"/>
        <v>0</v>
      </c>
      <c r="AF93" s="117">
        <f t="shared" si="60"/>
        <v>0</v>
      </c>
      <c r="AG93" s="117">
        <f t="shared" si="63"/>
        <v>0</v>
      </c>
      <c r="AH93" s="116">
        <f t="shared" si="64"/>
        <v>0</v>
      </c>
      <c r="AI93" s="116"/>
      <c r="AJ93" s="116"/>
      <c r="AK93" s="69"/>
    </row>
    <row r="94" spans="1:37" x14ac:dyDescent="0.25">
      <c r="A94" s="162" t="s">
        <v>1475</v>
      </c>
      <c r="B94" s="153" t="s">
        <v>1476</v>
      </c>
      <c r="C94" s="116"/>
      <c r="D94" s="116"/>
      <c r="E94" s="55" t="str">
        <f t="shared" si="39"/>
        <v/>
      </c>
      <c r="F94" s="55" t="str">
        <f t="shared" si="40"/>
        <v/>
      </c>
      <c r="G94" s="56" t="str">
        <f t="shared" si="41"/>
        <v/>
      </c>
      <c r="H94" s="55" t="str">
        <f t="shared" si="42"/>
        <v/>
      </c>
      <c r="I94" s="108" t="str">
        <f t="shared" si="43"/>
        <v/>
      </c>
      <c r="J94" s="116"/>
      <c r="K94" s="116"/>
      <c r="L94" s="55" t="str">
        <f t="shared" si="44"/>
        <v/>
      </c>
      <c r="M94" s="55" t="str">
        <f t="shared" si="45"/>
        <v/>
      </c>
      <c r="N94" s="56" t="str">
        <f t="shared" si="46"/>
        <v/>
      </c>
      <c r="O94" s="55" t="str">
        <f t="shared" si="47"/>
        <v/>
      </c>
      <c r="P94" s="108" t="str">
        <f t="shared" si="48"/>
        <v/>
      </c>
      <c r="Q94" s="116"/>
      <c r="R94" s="116"/>
      <c r="S94" s="55" t="str">
        <f t="shared" si="49"/>
        <v/>
      </c>
      <c r="T94" s="55" t="str">
        <f t="shared" si="50"/>
        <v/>
      </c>
      <c r="U94" s="56" t="str">
        <f t="shared" si="51"/>
        <v/>
      </c>
      <c r="V94" s="55" t="str">
        <f t="shared" si="52"/>
        <v/>
      </c>
      <c r="W94" s="108" t="str">
        <f t="shared" si="53"/>
        <v/>
      </c>
      <c r="X94" s="116"/>
      <c r="Y94" s="116"/>
      <c r="Z94" s="55" t="str">
        <f t="shared" si="54"/>
        <v/>
      </c>
      <c r="AA94" s="55" t="str">
        <f t="shared" si="55"/>
        <v/>
      </c>
      <c r="AB94" s="56" t="str">
        <f t="shared" si="56"/>
        <v/>
      </c>
      <c r="AC94" s="55" t="str">
        <f t="shared" si="57"/>
        <v/>
      </c>
      <c r="AD94" s="108" t="str">
        <f t="shared" si="58"/>
        <v/>
      </c>
      <c r="AE94" s="116">
        <f t="shared" si="59"/>
        <v>0</v>
      </c>
      <c r="AF94" s="117">
        <f t="shared" si="60"/>
        <v>0</v>
      </c>
      <c r="AG94" s="117">
        <f t="shared" si="63"/>
        <v>0</v>
      </c>
      <c r="AH94" s="116">
        <f t="shared" si="64"/>
        <v>0</v>
      </c>
      <c r="AI94" s="116"/>
      <c r="AJ94" s="116"/>
      <c r="AK94" s="69"/>
    </row>
    <row r="95" spans="1:37" x14ac:dyDescent="0.25">
      <c r="A95" s="162" t="s">
        <v>1477</v>
      </c>
      <c r="B95" s="153" t="s">
        <v>5703</v>
      </c>
      <c r="C95" s="116"/>
      <c r="D95" s="116"/>
      <c r="E95" s="55" t="str">
        <f t="shared" si="39"/>
        <v/>
      </c>
      <c r="F95" s="55" t="str">
        <f t="shared" si="40"/>
        <v/>
      </c>
      <c r="G95" s="56" t="str">
        <f t="shared" si="41"/>
        <v/>
      </c>
      <c r="H95" s="55" t="str">
        <f t="shared" si="42"/>
        <v/>
      </c>
      <c r="I95" s="108" t="str">
        <f t="shared" si="43"/>
        <v/>
      </c>
      <c r="J95" s="116"/>
      <c r="K95" s="116"/>
      <c r="L95" s="55" t="str">
        <f t="shared" si="44"/>
        <v/>
      </c>
      <c r="M95" s="55" t="str">
        <f t="shared" si="45"/>
        <v/>
      </c>
      <c r="N95" s="56" t="str">
        <f t="shared" si="46"/>
        <v/>
      </c>
      <c r="O95" s="55" t="str">
        <f t="shared" si="47"/>
        <v/>
      </c>
      <c r="P95" s="108" t="str">
        <f t="shared" si="48"/>
        <v/>
      </c>
      <c r="Q95" s="116"/>
      <c r="R95" s="116"/>
      <c r="S95" s="55" t="str">
        <f t="shared" si="49"/>
        <v/>
      </c>
      <c r="T95" s="55" t="str">
        <f t="shared" si="50"/>
        <v/>
      </c>
      <c r="U95" s="56" t="str">
        <f t="shared" si="51"/>
        <v/>
      </c>
      <c r="V95" s="55" t="str">
        <f t="shared" si="52"/>
        <v/>
      </c>
      <c r="W95" s="108" t="str">
        <f t="shared" si="53"/>
        <v/>
      </c>
      <c r="X95" s="116"/>
      <c r="Y95" s="116"/>
      <c r="Z95" s="55" t="str">
        <f t="shared" si="54"/>
        <v/>
      </c>
      <c r="AA95" s="55" t="str">
        <f t="shared" si="55"/>
        <v/>
      </c>
      <c r="AB95" s="56" t="str">
        <f t="shared" si="56"/>
        <v/>
      </c>
      <c r="AC95" s="55" t="str">
        <f t="shared" si="57"/>
        <v/>
      </c>
      <c r="AD95" s="108" t="str">
        <f t="shared" si="58"/>
        <v/>
      </c>
      <c r="AE95" s="116">
        <f t="shared" si="59"/>
        <v>0</v>
      </c>
      <c r="AF95" s="117">
        <f t="shared" si="60"/>
        <v>0</v>
      </c>
      <c r="AG95" s="117">
        <f t="shared" si="63"/>
        <v>0</v>
      </c>
      <c r="AH95" s="116">
        <f t="shared" si="64"/>
        <v>0</v>
      </c>
      <c r="AI95" s="116"/>
      <c r="AJ95" s="116"/>
      <c r="AK95" s="69"/>
    </row>
    <row r="96" spans="1:37" x14ac:dyDescent="0.25">
      <c r="A96" s="162" t="s">
        <v>1478</v>
      </c>
      <c r="B96" s="153" t="s">
        <v>5704</v>
      </c>
      <c r="C96" s="116"/>
      <c r="D96" s="116"/>
      <c r="E96" s="55" t="str">
        <f t="shared" si="39"/>
        <v/>
      </c>
      <c r="F96" s="55" t="str">
        <f t="shared" si="40"/>
        <v/>
      </c>
      <c r="G96" s="56" t="str">
        <f t="shared" si="41"/>
        <v/>
      </c>
      <c r="H96" s="55" t="str">
        <f t="shared" si="42"/>
        <v/>
      </c>
      <c r="I96" s="108" t="str">
        <f t="shared" si="43"/>
        <v/>
      </c>
      <c r="J96" s="116"/>
      <c r="K96" s="116"/>
      <c r="L96" s="55" t="str">
        <f t="shared" si="44"/>
        <v/>
      </c>
      <c r="M96" s="55" t="str">
        <f t="shared" si="45"/>
        <v/>
      </c>
      <c r="N96" s="56" t="str">
        <f t="shared" si="46"/>
        <v/>
      </c>
      <c r="O96" s="55" t="str">
        <f t="shared" si="47"/>
        <v/>
      </c>
      <c r="P96" s="108" t="str">
        <f t="shared" si="48"/>
        <v/>
      </c>
      <c r="Q96" s="116"/>
      <c r="R96" s="116"/>
      <c r="S96" s="55" t="str">
        <f t="shared" si="49"/>
        <v/>
      </c>
      <c r="T96" s="55" t="str">
        <f t="shared" si="50"/>
        <v/>
      </c>
      <c r="U96" s="56" t="str">
        <f t="shared" si="51"/>
        <v/>
      </c>
      <c r="V96" s="55" t="str">
        <f t="shared" si="52"/>
        <v/>
      </c>
      <c r="W96" s="108" t="str">
        <f t="shared" si="53"/>
        <v/>
      </c>
      <c r="X96" s="116"/>
      <c r="Y96" s="116"/>
      <c r="Z96" s="55" t="str">
        <f t="shared" si="54"/>
        <v/>
      </c>
      <c r="AA96" s="55" t="str">
        <f t="shared" si="55"/>
        <v/>
      </c>
      <c r="AB96" s="56" t="str">
        <f t="shared" si="56"/>
        <v/>
      </c>
      <c r="AC96" s="55" t="str">
        <f t="shared" si="57"/>
        <v/>
      </c>
      <c r="AD96" s="108" t="str">
        <f t="shared" si="58"/>
        <v/>
      </c>
      <c r="AE96" s="116">
        <f t="shared" si="59"/>
        <v>0</v>
      </c>
      <c r="AF96" s="117">
        <f t="shared" si="60"/>
        <v>0</v>
      </c>
      <c r="AG96" s="117">
        <f t="shared" si="63"/>
        <v>0</v>
      </c>
      <c r="AH96" s="116">
        <f t="shared" si="64"/>
        <v>0</v>
      </c>
      <c r="AI96" s="116"/>
      <c r="AJ96" s="116"/>
      <c r="AK96" s="69"/>
    </row>
    <row r="97" spans="1:37" x14ac:dyDescent="0.25">
      <c r="A97" s="162" t="s">
        <v>1479</v>
      </c>
      <c r="B97" s="153" t="s">
        <v>1480</v>
      </c>
      <c r="C97" s="116"/>
      <c r="D97" s="116"/>
      <c r="E97" s="55" t="str">
        <f t="shared" si="39"/>
        <v/>
      </c>
      <c r="F97" s="55" t="str">
        <f t="shared" si="40"/>
        <v/>
      </c>
      <c r="G97" s="56" t="str">
        <f t="shared" si="41"/>
        <v/>
      </c>
      <c r="H97" s="55" t="str">
        <f t="shared" si="42"/>
        <v/>
      </c>
      <c r="I97" s="108" t="str">
        <f t="shared" si="43"/>
        <v/>
      </c>
      <c r="J97" s="116"/>
      <c r="K97" s="116"/>
      <c r="L97" s="55" t="str">
        <f t="shared" si="44"/>
        <v/>
      </c>
      <c r="M97" s="55" t="str">
        <f t="shared" si="45"/>
        <v/>
      </c>
      <c r="N97" s="56" t="str">
        <f t="shared" si="46"/>
        <v/>
      </c>
      <c r="O97" s="55" t="str">
        <f t="shared" si="47"/>
        <v/>
      </c>
      <c r="P97" s="108" t="str">
        <f t="shared" si="48"/>
        <v/>
      </c>
      <c r="Q97" s="116"/>
      <c r="R97" s="116"/>
      <c r="S97" s="55" t="str">
        <f t="shared" si="49"/>
        <v/>
      </c>
      <c r="T97" s="55" t="str">
        <f t="shared" si="50"/>
        <v/>
      </c>
      <c r="U97" s="56" t="str">
        <f t="shared" si="51"/>
        <v/>
      </c>
      <c r="V97" s="55" t="str">
        <f t="shared" si="52"/>
        <v/>
      </c>
      <c r="W97" s="108" t="str">
        <f t="shared" si="53"/>
        <v/>
      </c>
      <c r="X97" s="116"/>
      <c r="Y97" s="116"/>
      <c r="Z97" s="55" t="str">
        <f t="shared" si="54"/>
        <v/>
      </c>
      <c r="AA97" s="55" t="str">
        <f t="shared" si="55"/>
        <v/>
      </c>
      <c r="AB97" s="56" t="str">
        <f t="shared" si="56"/>
        <v/>
      </c>
      <c r="AC97" s="55" t="str">
        <f t="shared" si="57"/>
        <v/>
      </c>
      <c r="AD97" s="108" t="str">
        <f t="shared" si="58"/>
        <v/>
      </c>
      <c r="AE97" s="116">
        <f t="shared" si="59"/>
        <v>0</v>
      </c>
      <c r="AF97" s="117">
        <f t="shared" si="60"/>
        <v>0</v>
      </c>
      <c r="AG97" s="117">
        <f t="shared" si="63"/>
        <v>0</v>
      </c>
      <c r="AH97" s="116">
        <f t="shared" si="64"/>
        <v>0</v>
      </c>
      <c r="AI97" s="116"/>
      <c r="AJ97" s="116"/>
      <c r="AK97" s="69"/>
    </row>
    <row r="98" spans="1:37" x14ac:dyDescent="0.25">
      <c r="A98" s="162" t="s">
        <v>1481</v>
      </c>
      <c r="B98" s="153" t="s">
        <v>5705</v>
      </c>
      <c r="C98" s="116"/>
      <c r="D98" s="116"/>
      <c r="E98" s="55" t="str">
        <f t="shared" si="39"/>
        <v/>
      </c>
      <c r="F98" s="55" t="str">
        <f t="shared" si="40"/>
        <v/>
      </c>
      <c r="G98" s="56" t="str">
        <f t="shared" si="41"/>
        <v/>
      </c>
      <c r="H98" s="55" t="str">
        <f t="shared" si="42"/>
        <v/>
      </c>
      <c r="I98" s="108" t="str">
        <f t="shared" si="43"/>
        <v/>
      </c>
      <c r="J98" s="116"/>
      <c r="K98" s="116"/>
      <c r="L98" s="55" t="str">
        <f t="shared" si="44"/>
        <v/>
      </c>
      <c r="M98" s="55" t="str">
        <f t="shared" si="45"/>
        <v/>
      </c>
      <c r="N98" s="56" t="str">
        <f t="shared" si="46"/>
        <v/>
      </c>
      <c r="O98" s="55" t="str">
        <f t="shared" si="47"/>
        <v/>
      </c>
      <c r="P98" s="108" t="str">
        <f t="shared" si="48"/>
        <v/>
      </c>
      <c r="Q98" s="116"/>
      <c r="R98" s="116"/>
      <c r="S98" s="55" t="str">
        <f t="shared" si="49"/>
        <v/>
      </c>
      <c r="T98" s="55" t="str">
        <f t="shared" si="50"/>
        <v/>
      </c>
      <c r="U98" s="56" t="str">
        <f t="shared" si="51"/>
        <v/>
      </c>
      <c r="V98" s="55" t="str">
        <f t="shared" si="52"/>
        <v/>
      </c>
      <c r="W98" s="108" t="str">
        <f t="shared" si="53"/>
        <v/>
      </c>
      <c r="X98" s="116"/>
      <c r="Y98" s="116"/>
      <c r="Z98" s="55" t="str">
        <f t="shared" si="54"/>
        <v/>
      </c>
      <c r="AA98" s="55" t="str">
        <f t="shared" si="55"/>
        <v/>
      </c>
      <c r="AB98" s="56" t="str">
        <f t="shared" si="56"/>
        <v/>
      </c>
      <c r="AC98" s="55" t="str">
        <f t="shared" si="57"/>
        <v/>
      </c>
      <c r="AD98" s="108" t="str">
        <f t="shared" si="58"/>
        <v/>
      </c>
      <c r="AE98" s="116">
        <f t="shared" si="59"/>
        <v>0</v>
      </c>
      <c r="AF98" s="117">
        <f t="shared" si="60"/>
        <v>0</v>
      </c>
      <c r="AG98" s="117">
        <f t="shared" si="63"/>
        <v>0</v>
      </c>
      <c r="AH98" s="116">
        <f t="shared" si="64"/>
        <v>0</v>
      </c>
      <c r="AI98" s="116"/>
      <c r="AJ98" s="116"/>
      <c r="AK98" s="69"/>
    </row>
    <row r="99" spans="1:37" x14ac:dyDescent="0.25">
      <c r="A99" s="162" t="s">
        <v>1482</v>
      </c>
      <c r="B99" s="153" t="s">
        <v>1483</v>
      </c>
      <c r="C99" s="116"/>
      <c r="D99" s="116"/>
      <c r="E99" s="55" t="str">
        <f t="shared" si="39"/>
        <v/>
      </c>
      <c r="F99" s="55" t="str">
        <f t="shared" si="40"/>
        <v/>
      </c>
      <c r="G99" s="56" t="str">
        <f t="shared" si="41"/>
        <v/>
      </c>
      <c r="H99" s="55" t="str">
        <f t="shared" si="42"/>
        <v/>
      </c>
      <c r="I99" s="108" t="str">
        <f t="shared" si="43"/>
        <v/>
      </c>
      <c r="J99" s="116"/>
      <c r="K99" s="116"/>
      <c r="L99" s="55" t="str">
        <f t="shared" si="44"/>
        <v/>
      </c>
      <c r="M99" s="55" t="str">
        <f t="shared" si="45"/>
        <v/>
      </c>
      <c r="N99" s="56" t="str">
        <f t="shared" si="46"/>
        <v/>
      </c>
      <c r="O99" s="55" t="str">
        <f t="shared" si="47"/>
        <v/>
      </c>
      <c r="P99" s="108" t="str">
        <f t="shared" si="48"/>
        <v/>
      </c>
      <c r="Q99" s="116"/>
      <c r="R99" s="116"/>
      <c r="S99" s="55" t="str">
        <f t="shared" si="49"/>
        <v/>
      </c>
      <c r="T99" s="55" t="str">
        <f t="shared" si="50"/>
        <v/>
      </c>
      <c r="U99" s="56" t="str">
        <f t="shared" si="51"/>
        <v/>
      </c>
      <c r="V99" s="55" t="str">
        <f t="shared" si="52"/>
        <v/>
      </c>
      <c r="W99" s="108" t="str">
        <f t="shared" si="53"/>
        <v/>
      </c>
      <c r="X99" s="116"/>
      <c r="Y99" s="116"/>
      <c r="Z99" s="55" t="str">
        <f t="shared" si="54"/>
        <v/>
      </c>
      <c r="AA99" s="55" t="str">
        <f t="shared" si="55"/>
        <v/>
      </c>
      <c r="AB99" s="56" t="str">
        <f t="shared" si="56"/>
        <v/>
      </c>
      <c r="AC99" s="55" t="str">
        <f t="shared" si="57"/>
        <v/>
      </c>
      <c r="AD99" s="108" t="str">
        <f t="shared" si="58"/>
        <v/>
      </c>
      <c r="AE99" s="116">
        <f t="shared" si="59"/>
        <v>0</v>
      </c>
      <c r="AF99" s="117">
        <f t="shared" si="60"/>
        <v>0</v>
      </c>
      <c r="AG99" s="117">
        <f t="shared" si="63"/>
        <v>0</v>
      </c>
      <c r="AH99" s="116">
        <f t="shared" si="64"/>
        <v>0</v>
      </c>
      <c r="AI99" s="116"/>
      <c r="AJ99" s="116"/>
      <c r="AK99" s="69"/>
    </row>
    <row r="100" spans="1:37" x14ac:dyDescent="0.25">
      <c r="A100" s="162" t="s">
        <v>1484</v>
      </c>
      <c r="B100" s="153" t="s">
        <v>1485</v>
      </c>
      <c r="C100" s="116"/>
      <c r="D100" s="116"/>
      <c r="E100" s="55" t="str">
        <f t="shared" si="39"/>
        <v/>
      </c>
      <c r="F100" s="55" t="str">
        <f t="shared" si="40"/>
        <v/>
      </c>
      <c r="G100" s="56" t="str">
        <f t="shared" si="41"/>
        <v/>
      </c>
      <c r="H100" s="55" t="str">
        <f t="shared" si="42"/>
        <v/>
      </c>
      <c r="I100" s="108" t="str">
        <f t="shared" si="43"/>
        <v/>
      </c>
      <c r="J100" s="116"/>
      <c r="K100" s="116"/>
      <c r="L100" s="55" t="str">
        <f t="shared" si="44"/>
        <v/>
      </c>
      <c r="M100" s="55" t="str">
        <f t="shared" si="45"/>
        <v/>
      </c>
      <c r="N100" s="56" t="str">
        <f t="shared" si="46"/>
        <v/>
      </c>
      <c r="O100" s="55" t="str">
        <f t="shared" si="47"/>
        <v/>
      </c>
      <c r="P100" s="108" t="str">
        <f t="shared" si="48"/>
        <v/>
      </c>
      <c r="Q100" s="116"/>
      <c r="R100" s="116"/>
      <c r="S100" s="55" t="str">
        <f t="shared" si="49"/>
        <v/>
      </c>
      <c r="T100" s="55" t="str">
        <f t="shared" si="50"/>
        <v/>
      </c>
      <c r="U100" s="56" t="str">
        <f t="shared" si="51"/>
        <v/>
      </c>
      <c r="V100" s="55" t="str">
        <f t="shared" si="52"/>
        <v/>
      </c>
      <c r="W100" s="108" t="str">
        <f t="shared" si="53"/>
        <v/>
      </c>
      <c r="X100" s="116"/>
      <c r="Y100" s="116"/>
      <c r="Z100" s="55" t="str">
        <f t="shared" si="54"/>
        <v/>
      </c>
      <c r="AA100" s="55" t="str">
        <f t="shared" si="55"/>
        <v/>
      </c>
      <c r="AB100" s="56" t="str">
        <f t="shared" si="56"/>
        <v/>
      </c>
      <c r="AC100" s="55" t="str">
        <f t="shared" si="57"/>
        <v/>
      </c>
      <c r="AD100" s="108" t="str">
        <f t="shared" si="58"/>
        <v/>
      </c>
      <c r="AE100" s="116">
        <f t="shared" si="59"/>
        <v>0</v>
      </c>
      <c r="AF100" s="117">
        <f t="shared" si="60"/>
        <v>0</v>
      </c>
      <c r="AG100" s="117">
        <f t="shared" si="63"/>
        <v>0</v>
      </c>
      <c r="AH100" s="116">
        <f t="shared" si="64"/>
        <v>0</v>
      </c>
      <c r="AI100" s="116"/>
      <c r="AJ100" s="116"/>
      <c r="AK100" s="69"/>
    </row>
    <row r="101" spans="1:37" x14ac:dyDescent="0.25">
      <c r="A101" s="162" t="s">
        <v>1486</v>
      </c>
      <c r="B101" s="153" t="s">
        <v>724</v>
      </c>
      <c r="C101" s="116"/>
      <c r="D101" s="116"/>
      <c r="E101" s="55" t="str">
        <f t="shared" si="39"/>
        <v/>
      </c>
      <c r="F101" s="55" t="str">
        <f t="shared" si="40"/>
        <v/>
      </c>
      <c r="G101" s="56" t="str">
        <f t="shared" si="41"/>
        <v/>
      </c>
      <c r="H101" s="55" t="str">
        <f t="shared" si="42"/>
        <v/>
      </c>
      <c r="I101" s="108" t="str">
        <f t="shared" si="43"/>
        <v/>
      </c>
      <c r="J101" s="116"/>
      <c r="K101" s="116"/>
      <c r="L101" s="55" t="str">
        <f t="shared" si="44"/>
        <v/>
      </c>
      <c r="M101" s="55" t="str">
        <f t="shared" si="45"/>
        <v/>
      </c>
      <c r="N101" s="56" t="str">
        <f t="shared" si="46"/>
        <v/>
      </c>
      <c r="O101" s="55" t="str">
        <f t="shared" si="47"/>
        <v/>
      </c>
      <c r="P101" s="108" t="str">
        <f t="shared" si="48"/>
        <v/>
      </c>
      <c r="Q101" s="116"/>
      <c r="R101" s="116"/>
      <c r="S101" s="55" t="str">
        <f t="shared" si="49"/>
        <v/>
      </c>
      <c r="T101" s="55" t="str">
        <f t="shared" si="50"/>
        <v/>
      </c>
      <c r="U101" s="56" t="str">
        <f t="shared" si="51"/>
        <v/>
      </c>
      <c r="V101" s="55" t="str">
        <f t="shared" si="52"/>
        <v/>
      </c>
      <c r="W101" s="108" t="str">
        <f t="shared" si="53"/>
        <v/>
      </c>
      <c r="X101" s="116"/>
      <c r="Y101" s="116"/>
      <c r="Z101" s="55" t="str">
        <f t="shared" si="54"/>
        <v/>
      </c>
      <c r="AA101" s="55" t="str">
        <f t="shared" si="55"/>
        <v/>
      </c>
      <c r="AB101" s="56" t="str">
        <f t="shared" si="56"/>
        <v/>
      </c>
      <c r="AC101" s="55" t="str">
        <f t="shared" si="57"/>
        <v/>
      </c>
      <c r="AD101" s="108" t="str">
        <f t="shared" si="58"/>
        <v/>
      </c>
      <c r="AE101" s="116">
        <f t="shared" si="59"/>
        <v>0</v>
      </c>
      <c r="AF101" s="117">
        <f t="shared" si="60"/>
        <v>0</v>
      </c>
      <c r="AG101" s="117">
        <f t="shared" si="63"/>
        <v>0</v>
      </c>
      <c r="AH101" s="116">
        <f t="shared" si="64"/>
        <v>0</v>
      </c>
      <c r="AI101" s="116"/>
      <c r="AJ101" s="116"/>
      <c r="AK101" s="69"/>
    </row>
    <row r="102" spans="1:37" x14ac:dyDescent="0.25">
      <c r="A102" s="162" t="s">
        <v>1487</v>
      </c>
      <c r="B102" s="153" t="s">
        <v>1488</v>
      </c>
      <c r="C102" s="116"/>
      <c r="D102" s="116"/>
      <c r="E102" s="55" t="str">
        <f t="shared" si="39"/>
        <v/>
      </c>
      <c r="F102" s="55" t="str">
        <f t="shared" si="40"/>
        <v/>
      </c>
      <c r="G102" s="56" t="str">
        <f t="shared" si="41"/>
        <v/>
      </c>
      <c r="H102" s="55" t="str">
        <f t="shared" si="42"/>
        <v/>
      </c>
      <c r="I102" s="108" t="str">
        <f t="shared" si="43"/>
        <v/>
      </c>
      <c r="J102" s="116"/>
      <c r="K102" s="116"/>
      <c r="L102" s="55" t="str">
        <f t="shared" si="44"/>
        <v/>
      </c>
      <c r="M102" s="55" t="str">
        <f t="shared" si="45"/>
        <v/>
      </c>
      <c r="N102" s="56" t="str">
        <f t="shared" si="46"/>
        <v/>
      </c>
      <c r="O102" s="55" t="str">
        <f t="shared" si="47"/>
        <v/>
      </c>
      <c r="P102" s="108" t="str">
        <f t="shared" si="48"/>
        <v/>
      </c>
      <c r="Q102" s="116"/>
      <c r="R102" s="116"/>
      <c r="S102" s="55" t="str">
        <f t="shared" si="49"/>
        <v/>
      </c>
      <c r="T102" s="55" t="str">
        <f t="shared" si="50"/>
        <v/>
      </c>
      <c r="U102" s="56" t="str">
        <f t="shared" si="51"/>
        <v/>
      </c>
      <c r="V102" s="55" t="str">
        <f t="shared" si="52"/>
        <v/>
      </c>
      <c r="W102" s="108" t="str">
        <f t="shared" si="53"/>
        <v/>
      </c>
      <c r="X102" s="116"/>
      <c r="Y102" s="116"/>
      <c r="Z102" s="55" t="str">
        <f t="shared" si="54"/>
        <v/>
      </c>
      <c r="AA102" s="55" t="str">
        <f t="shared" si="55"/>
        <v/>
      </c>
      <c r="AB102" s="56" t="str">
        <f t="shared" si="56"/>
        <v/>
      </c>
      <c r="AC102" s="55" t="str">
        <f t="shared" si="57"/>
        <v/>
      </c>
      <c r="AD102" s="108" t="str">
        <f t="shared" si="58"/>
        <v/>
      </c>
      <c r="AE102" s="116">
        <f t="shared" si="59"/>
        <v>0</v>
      </c>
      <c r="AF102" s="117">
        <f t="shared" si="60"/>
        <v>0</v>
      </c>
      <c r="AG102" s="117">
        <f t="shared" si="63"/>
        <v>0</v>
      </c>
      <c r="AH102" s="116">
        <f t="shared" si="64"/>
        <v>0</v>
      </c>
      <c r="AI102" s="116"/>
      <c r="AJ102" s="116"/>
      <c r="AK102" s="69"/>
    </row>
    <row r="103" spans="1:37" x14ac:dyDescent="0.25">
      <c r="A103" s="162" t="s">
        <v>1489</v>
      </c>
      <c r="B103" s="153" t="s">
        <v>1490</v>
      </c>
      <c r="C103" s="116"/>
      <c r="D103" s="116"/>
      <c r="E103" s="55" t="str">
        <f t="shared" si="39"/>
        <v/>
      </c>
      <c r="F103" s="55" t="str">
        <f t="shared" si="40"/>
        <v/>
      </c>
      <c r="G103" s="56" t="str">
        <f t="shared" si="41"/>
        <v/>
      </c>
      <c r="H103" s="55" t="str">
        <f t="shared" si="42"/>
        <v/>
      </c>
      <c r="I103" s="108" t="str">
        <f t="shared" si="43"/>
        <v/>
      </c>
      <c r="J103" s="116"/>
      <c r="K103" s="116"/>
      <c r="L103" s="55" t="str">
        <f t="shared" si="44"/>
        <v/>
      </c>
      <c r="M103" s="55" t="str">
        <f t="shared" si="45"/>
        <v/>
      </c>
      <c r="N103" s="56" t="str">
        <f t="shared" si="46"/>
        <v/>
      </c>
      <c r="O103" s="55" t="str">
        <f t="shared" si="47"/>
        <v/>
      </c>
      <c r="P103" s="108" t="str">
        <f t="shared" si="48"/>
        <v/>
      </c>
      <c r="Q103" s="116"/>
      <c r="R103" s="116"/>
      <c r="S103" s="55" t="str">
        <f t="shared" si="49"/>
        <v/>
      </c>
      <c r="T103" s="55" t="str">
        <f t="shared" si="50"/>
        <v/>
      </c>
      <c r="U103" s="56" t="str">
        <f t="shared" si="51"/>
        <v/>
      </c>
      <c r="V103" s="55" t="str">
        <f t="shared" si="52"/>
        <v/>
      </c>
      <c r="W103" s="108" t="str">
        <f t="shared" si="53"/>
        <v/>
      </c>
      <c r="X103" s="116"/>
      <c r="Y103" s="116"/>
      <c r="Z103" s="55" t="str">
        <f t="shared" si="54"/>
        <v/>
      </c>
      <c r="AA103" s="55" t="str">
        <f t="shared" si="55"/>
        <v/>
      </c>
      <c r="AB103" s="56" t="str">
        <f t="shared" si="56"/>
        <v/>
      </c>
      <c r="AC103" s="55" t="str">
        <f t="shared" si="57"/>
        <v/>
      </c>
      <c r="AD103" s="108" t="str">
        <f t="shared" si="58"/>
        <v/>
      </c>
      <c r="AE103" s="116">
        <f t="shared" si="59"/>
        <v>0</v>
      </c>
      <c r="AF103" s="117">
        <f t="shared" si="60"/>
        <v>0</v>
      </c>
      <c r="AG103" s="117">
        <f t="shared" si="63"/>
        <v>0</v>
      </c>
      <c r="AH103" s="116">
        <f t="shared" si="64"/>
        <v>0</v>
      </c>
      <c r="AI103" s="116"/>
      <c r="AJ103" s="116"/>
      <c r="AK103" s="69"/>
    </row>
    <row r="104" spans="1:37" x14ac:dyDescent="0.25">
      <c r="A104" s="162" t="s">
        <v>1491</v>
      </c>
      <c r="B104" s="153" t="s">
        <v>1492</v>
      </c>
      <c r="C104" s="116"/>
      <c r="D104" s="116"/>
      <c r="E104" s="55" t="str">
        <f t="shared" si="39"/>
        <v/>
      </c>
      <c r="F104" s="55" t="str">
        <f t="shared" si="40"/>
        <v/>
      </c>
      <c r="G104" s="56" t="str">
        <f t="shared" si="41"/>
        <v/>
      </c>
      <c r="H104" s="55" t="str">
        <f t="shared" si="42"/>
        <v/>
      </c>
      <c r="I104" s="108" t="str">
        <f t="shared" si="43"/>
        <v/>
      </c>
      <c r="J104" s="116"/>
      <c r="K104" s="116"/>
      <c r="L104" s="55" t="str">
        <f t="shared" si="44"/>
        <v/>
      </c>
      <c r="M104" s="55" t="str">
        <f t="shared" si="45"/>
        <v/>
      </c>
      <c r="N104" s="56" t="str">
        <f t="shared" si="46"/>
        <v/>
      </c>
      <c r="O104" s="55" t="str">
        <f t="shared" si="47"/>
        <v/>
      </c>
      <c r="P104" s="108" t="str">
        <f t="shared" si="48"/>
        <v/>
      </c>
      <c r="Q104" s="116"/>
      <c r="R104" s="116"/>
      <c r="S104" s="55" t="str">
        <f t="shared" si="49"/>
        <v/>
      </c>
      <c r="T104" s="55" t="str">
        <f t="shared" si="50"/>
        <v/>
      </c>
      <c r="U104" s="56" t="str">
        <f t="shared" si="51"/>
        <v/>
      </c>
      <c r="V104" s="55" t="str">
        <f t="shared" si="52"/>
        <v/>
      </c>
      <c r="W104" s="108" t="str">
        <f t="shared" si="53"/>
        <v/>
      </c>
      <c r="X104" s="116"/>
      <c r="Y104" s="116"/>
      <c r="Z104" s="55" t="str">
        <f t="shared" si="54"/>
        <v/>
      </c>
      <c r="AA104" s="55" t="str">
        <f t="shared" si="55"/>
        <v/>
      </c>
      <c r="AB104" s="56" t="str">
        <f t="shared" si="56"/>
        <v/>
      </c>
      <c r="AC104" s="55" t="str">
        <f t="shared" si="57"/>
        <v/>
      </c>
      <c r="AD104" s="108" t="str">
        <f t="shared" si="58"/>
        <v/>
      </c>
      <c r="AE104" s="116">
        <f t="shared" si="59"/>
        <v>0</v>
      </c>
      <c r="AF104" s="117">
        <f t="shared" si="60"/>
        <v>0</v>
      </c>
      <c r="AG104" s="117">
        <f t="shared" si="63"/>
        <v>0</v>
      </c>
      <c r="AH104" s="116">
        <f t="shared" si="64"/>
        <v>0</v>
      </c>
      <c r="AI104" s="116"/>
      <c r="AJ104" s="116"/>
      <c r="AK104" s="69"/>
    </row>
    <row r="105" spans="1:37" x14ac:dyDescent="0.25">
      <c r="A105" s="162" t="s">
        <v>1493</v>
      </c>
      <c r="B105" s="153" t="s">
        <v>1494</v>
      </c>
      <c r="C105" s="116"/>
      <c r="D105" s="116"/>
      <c r="E105" s="55" t="str">
        <f t="shared" si="39"/>
        <v/>
      </c>
      <c r="F105" s="55" t="str">
        <f t="shared" si="40"/>
        <v/>
      </c>
      <c r="G105" s="56" t="str">
        <f t="shared" si="41"/>
        <v/>
      </c>
      <c r="H105" s="55" t="str">
        <f t="shared" si="42"/>
        <v/>
      </c>
      <c r="I105" s="108" t="str">
        <f t="shared" si="43"/>
        <v/>
      </c>
      <c r="J105" s="116"/>
      <c r="K105" s="116"/>
      <c r="L105" s="55" t="str">
        <f t="shared" si="44"/>
        <v/>
      </c>
      <c r="M105" s="55" t="str">
        <f t="shared" si="45"/>
        <v/>
      </c>
      <c r="N105" s="56" t="str">
        <f t="shared" si="46"/>
        <v/>
      </c>
      <c r="O105" s="55" t="str">
        <f t="shared" si="47"/>
        <v/>
      </c>
      <c r="P105" s="108" t="str">
        <f t="shared" si="48"/>
        <v/>
      </c>
      <c r="Q105" s="116"/>
      <c r="R105" s="116"/>
      <c r="S105" s="55" t="str">
        <f t="shared" si="49"/>
        <v/>
      </c>
      <c r="T105" s="55" t="str">
        <f t="shared" si="50"/>
        <v/>
      </c>
      <c r="U105" s="56" t="str">
        <f t="shared" si="51"/>
        <v/>
      </c>
      <c r="V105" s="55" t="str">
        <f t="shared" si="52"/>
        <v/>
      </c>
      <c r="W105" s="108" t="str">
        <f t="shared" si="53"/>
        <v/>
      </c>
      <c r="X105" s="116"/>
      <c r="Y105" s="116"/>
      <c r="Z105" s="55" t="str">
        <f t="shared" si="54"/>
        <v/>
      </c>
      <c r="AA105" s="55" t="str">
        <f t="shared" si="55"/>
        <v/>
      </c>
      <c r="AB105" s="56" t="str">
        <f t="shared" si="56"/>
        <v/>
      </c>
      <c r="AC105" s="55" t="str">
        <f t="shared" si="57"/>
        <v/>
      </c>
      <c r="AD105" s="108" t="str">
        <f t="shared" si="58"/>
        <v/>
      </c>
      <c r="AE105" s="116">
        <f t="shared" si="59"/>
        <v>0</v>
      </c>
      <c r="AF105" s="116">
        <f t="shared" si="60"/>
        <v>0</v>
      </c>
      <c r="AG105" s="116"/>
      <c r="AH105" s="116"/>
      <c r="AI105" s="116">
        <f t="shared" ref="AI105:AJ112" si="65">AE105-AG105</f>
        <v>0</v>
      </c>
      <c r="AJ105" s="116">
        <f t="shared" si="65"/>
        <v>0</v>
      </c>
      <c r="AK105" s="69"/>
    </row>
    <row r="106" spans="1:37" ht="22.5" x14ac:dyDescent="0.25">
      <c r="A106" s="162" t="s">
        <v>1495</v>
      </c>
      <c r="B106" s="153" t="s">
        <v>1496</v>
      </c>
      <c r="C106" s="116"/>
      <c r="D106" s="116"/>
      <c r="E106" s="55" t="str">
        <f t="shared" si="39"/>
        <v/>
      </c>
      <c r="F106" s="55" t="str">
        <f t="shared" si="40"/>
        <v/>
      </c>
      <c r="G106" s="56" t="str">
        <f t="shared" si="41"/>
        <v/>
      </c>
      <c r="H106" s="55" t="str">
        <f t="shared" si="42"/>
        <v/>
      </c>
      <c r="I106" s="108" t="str">
        <f t="shared" si="43"/>
        <v/>
      </c>
      <c r="J106" s="116"/>
      <c r="K106" s="116"/>
      <c r="L106" s="55" t="str">
        <f t="shared" si="44"/>
        <v/>
      </c>
      <c r="M106" s="55" t="str">
        <f t="shared" si="45"/>
        <v/>
      </c>
      <c r="N106" s="56" t="str">
        <f t="shared" si="46"/>
        <v/>
      </c>
      <c r="O106" s="55" t="str">
        <f t="shared" si="47"/>
        <v/>
      </c>
      <c r="P106" s="108" t="str">
        <f t="shared" si="48"/>
        <v/>
      </c>
      <c r="Q106" s="116"/>
      <c r="R106" s="116"/>
      <c r="S106" s="55" t="str">
        <f t="shared" si="49"/>
        <v/>
      </c>
      <c r="T106" s="55" t="str">
        <f t="shared" si="50"/>
        <v/>
      </c>
      <c r="U106" s="56" t="str">
        <f t="shared" si="51"/>
        <v/>
      </c>
      <c r="V106" s="55" t="str">
        <f t="shared" si="52"/>
        <v/>
      </c>
      <c r="W106" s="108" t="str">
        <f t="shared" si="53"/>
        <v/>
      </c>
      <c r="X106" s="116"/>
      <c r="Y106" s="116"/>
      <c r="Z106" s="55" t="str">
        <f t="shared" si="54"/>
        <v/>
      </c>
      <c r="AA106" s="55" t="str">
        <f t="shared" si="55"/>
        <v/>
      </c>
      <c r="AB106" s="56" t="str">
        <f t="shared" si="56"/>
        <v/>
      </c>
      <c r="AC106" s="55" t="str">
        <f t="shared" si="57"/>
        <v/>
      </c>
      <c r="AD106" s="108" t="str">
        <f t="shared" si="58"/>
        <v/>
      </c>
      <c r="AE106" s="116">
        <f t="shared" si="59"/>
        <v>0</v>
      </c>
      <c r="AF106" s="116">
        <f t="shared" si="60"/>
        <v>0</v>
      </c>
      <c r="AG106" s="116"/>
      <c r="AH106" s="116"/>
      <c r="AI106" s="116">
        <f t="shared" si="65"/>
        <v>0</v>
      </c>
      <c r="AJ106" s="116">
        <f t="shared" si="65"/>
        <v>0</v>
      </c>
      <c r="AK106" s="69"/>
    </row>
    <row r="107" spans="1:37" x14ac:dyDescent="0.25">
      <c r="A107" s="162" t="s">
        <v>1497</v>
      </c>
      <c r="B107" s="153" t="s">
        <v>1498</v>
      </c>
      <c r="C107" s="116"/>
      <c r="D107" s="116"/>
      <c r="E107" s="55" t="str">
        <f t="shared" si="39"/>
        <v/>
      </c>
      <c r="F107" s="55" t="str">
        <f t="shared" si="40"/>
        <v/>
      </c>
      <c r="G107" s="56" t="str">
        <f t="shared" si="41"/>
        <v/>
      </c>
      <c r="H107" s="55" t="str">
        <f t="shared" si="42"/>
        <v/>
      </c>
      <c r="I107" s="108" t="str">
        <f t="shared" si="43"/>
        <v/>
      </c>
      <c r="J107" s="116"/>
      <c r="K107" s="116"/>
      <c r="L107" s="55" t="str">
        <f t="shared" si="44"/>
        <v/>
      </c>
      <c r="M107" s="55" t="str">
        <f t="shared" si="45"/>
        <v/>
      </c>
      <c r="N107" s="56" t="str">
        <f t="shared" si="46"/>
        <v/>
      </c>
      <c r="O107" s="55" t="str">
        <f t="shared" si="47"/>
        <v/>
      </c>
      <c r="P107" s="108" t="str">
        <f t="shared" si="48"/>
        <v/>
      </c>
      <c r="Q107" s="116"/>
      <c r="R107" s="116"/>
      <c r="S107" s="55" t="str">
        <f t="shared" si="49"/>
        <v/>
      </c>
      <c r="T107" s="55" t="str">
        <f t="shared" si="50"/>
        <v/>
      </c>
      <c r="U107" s="56" t="str">
        <f t="shared" si="51"/>
        <v/>
      </c>
      <c r="V107" s="55" t="str">
        <f t="shared" si="52"/>
        <v/>
      </c>
      <c r="W107" s="108" t="str">
        <f t="shared" si="53"/>
        <v/>
      </c>
      <c r="X107" s="116"/>
      <c r="Y107" s="116"/>
      <c r="Z107" s="55" t="str">
        <f t="shared" si="54"/>
        <v/>
      </c>
      <c r="AA107" s="55" t="str">
        <f t="shared" si="55"/>
        <v/>
      </c>
      <c r="AB107" s="56" t="str">
        <f t="shared" si="56"/>
        <v/>
      </c>
      <c r="AC107" s="55" t="str">
        <f t="shared" si="57"/>
        <v/>
      </c>
      <c r="AD107" s="108" t="str">
        <f t="shared" si="58"/>
        <v/>
      </c>
      <c r="AE107" s="116">
        <f t="shared" si="59"/>
        <v>0</v>
      </c>
      <c r="AF107" s="116">
        <f t="shared" si="60"/>
        <v>0</v>
      </c>
      <c r="AG107" s="116"/>
      <c r="AH107" s="116"/>
      <c r="AI107" s="116">
        <f t="shared" si="65"/>
        <v>0</v>
      </c>
      <c r="AJ107" s="116">
        <f t="shared" si="65"/>
        <v>0</v>
      </c>
      <c r="AK107" s="69"/>
    </row>
    <row r="108" spans="1:37" ht="22.5" x14ac:dyDescent="0.25">
      <c r="A108" s="162" t="s">
        <v>1499</v>
      </c>
      <c r="B108" s="153" t="s">
        <v>1500</v>
      </c>
      <c r="C108" s="116"/>
      <c r="D108" s="116"/>
      <c r="E108" s="55" t="str">
        <f t="shared" si="39"/>
        <v/>
      </c>
      <c r="F108" s="55" t="str">
        <f t="shared" si="40"/>
        <v/>
      </c>
      <c r="G108" s="56" t="str">
        <f t="shared" si="41"/>
        <v/>
      </c>
      <c r="H108" s="55" t="str">
        <f t="shared" si="42"/>
        <v/>
      </c>
      <c r="I108" s="108" t="str">
        <f t="shared" si="43"/>
        <v/>
      </c>
      <c r="J108" s="116"/>
      <c r="K108" s="116"/>
      <c r="L108" s="55" t="str">
        <f t="shared" si="44"/>
        <v/>
      </c>
      <c r="M108" s="55" t="str">
        <f t="shared" si="45"/>
        <v/>
      </c>
      <c r="N108" s="56" t="str">
        <f t="shared" si="46"/>
        <v/>
      </c>
      <c r="O108" s="55" t="str">
        <f t="shared" si="47"/>
        <v/>
      </c>
      <c r="P108" s="108" t="str">
        <f t="shared" si="48"/>
        <v/>
      </c>
      <c r="Q108" s="116"/>
      <c r="R108" s="116"/>
      <c r="S108" s="55" t="str">
        <f t="shared" si="49"/>
        <v/>
      </c>
      <c r="T108" s="55" t="str">
        <f t="shared" si="50"/>
        <v/>
      </c>
      <c r="U108" s="56" t="str">
        <f t="shared" si="51"/>
        <v/>
      </c>
      <c r="V108" s="55" t="str">
        <f t="shared" si="52"/>
        <v/>
      </c>
      <c r="W108" s="108" t="str">
        <f t="shared" si="53"/>
        <v/>
      </c>
      <c r="X108" s="116"/>
      <c r="Y108" s="116"/>
      <c r="Z108" s="55" t="str">
        <f t="shared" si="54"/>
        <v/>
      </c>
      <c r="AA108" s="55" t="str">
        <f t="shared" si="55"/>
        <v/>
      </c>
      <c r="AB108" s="56" t="str">
        <f t="shared" si="56"/>
        <v/>
      </c>
      <c r="AC108" s="55" t="str">
        <f t="shared" si="57"/>
        <v/>
      </c>
      <c r="AD108" s="108" t="str">
        <f t="shared" si="58"/>
        <v/>
      </c>
      <c r="AE108" s="116">
        <f t="shared" si="59"/>
        <v>0</v>
      </c>
      <c r="AF108" s="116">
        <f t="shared" si="60"/>
        <v>0</v>
      </c>
      <c r="AG108" s="116"/>
      <c r="AH108" s="116"/>
      <c r="AI108" s="116">
        <f t="shared" si="65"/>
        <v>0</v>
      </c>
      <c r="AJ108" s="116">
        <f t="shared" si="65"/>
        <v>0</v>
      </c>
      <c r="AK108" s="69"/>
    </row>
    <row r="109" spans="1:37" x14ac:dyDescent="0.25">
      <c r="A109" s="162" t="s">
        <v>1501</v>
      </c>
      <c r="B109" s="153" t="s">
        <v>1502</v>
      </c>
      <c r="C109" s="116"/>
      <c r="D109" s="116"/>
      <c r="E109" s="55" t="str">
        <f t="shared" si="39"/>
        <v/>
      </c>
      <c r="F109" s="55" t="str">
        <f t="shared" si="40"/>
        <v/>
      </c>
      <c r="G109" s="56" t="str">
        <f t="shared" si="41"/>
        <v/>
      </c>
      <c r="H109" s="55" t="str">
        <f t="shared" si="42"/>
        <v/>
      </c>
      <c r="I109" s="108" t="str">
        <f t="shared" si="43"/>
        <v/>
      </c>
      <c r="J109" s="116"/>
      <c r="K109" s="116"/>
      <c r="L109" s="55" t="str">
        <f t="shared" si="44"/>
        <v/>
      </c>
      <c r="M109" s="55" t="str">
        <f t="shared" si="45"/>
        <v/>
      </c>
      <c r="N109" s="56" t="str">
        <f t="shared" si="46"/>
        <v/>
      </c>
      <c r="O109" s="55" t="str">
        <f t="shared" si="47"/>
        <v/>
      </c>
      <c r="P109" s="108" t="str">
        <f t="shared" si="48"/>
        <v/>
      </c>
      <c r="Q109" s="116"/>
      <c r="R109" s="116"/>
      <c r="S109" s="55" t="str">
        <f t="shared" si="49"/>
        <v/>
      </c>
      <c r="T109" s="55" t="str">
        <f t="shared" si="50"/>
        <v/>
      </c>
      <c r="U109" s="56" t="str">
        <f t="shared" si="51"/>
        <v/>
      </c>
      <c r="V109" s="55" t="str">
        <f t="shared" si="52"/>
        <v/>
      </c>
      <c r="W109" s="108" t="str">
        <f t="shared" si="53"/>
        <v/>
      </c>
      <c r="X109" s="116"/>
      <c r="Y109" s="116"/>
      <c r="Z109" s="55" t="str">
        <f t="shared" si="54"/>
        <v/>
      </c>
      <c r="AA109" s="55" t="str">
        <f t="shared" si="55"/>
        <v/>
      </c>
      <c r="AB109" s="56" t="str">
        <f t="shared" si="56"/>
        <v/>
      </c>
      <c r="AC109" s="55" t="str">
        <f t="shared" si="57"/>
        <v/>
      </c>
      <c r="AD109" s="108" t="str">
        <f t="shared" si="58"/>
        <v/>
      </c>
      <c r="AE109" s="116">
        <f t="shared" si="59"/>
        <v>0</v>
      </c>
      <c r="AF109" s="116">
        <f t="shared" si="60"/>
        <v>0</v>
      </c>
      <c r="AG109" s="116"/>
      <c r="AH109" s="116"/>
      <c r="AI109" s="116">
        <f t="shared" si="65"/>
        <v>0</v>
      </c>
      <c r="AJ109" s="116">
        <f t="shared" si="65"/>
        <v>0</v>
      </c>
      <c r="AK109" s="69"/>
    </row>
    <row r="110" spans="1:37" x14ac:dyDescent="0.25">
      <c r="A110" s="162" t="s">
        <v>1503</v>
      </c>
      <c r="B110" s="153" t="s">
        <v>1504</v>
      </c>
      <c r="C110" s="116"/>
      <c r="D110" s="116"/>
      <c r="E110" s="55" t="str">
        <f t="shared" si="39"/>
        <v/>
      </c>
      <c r="F110" s="55" t="str">
        <f t="shared" si="40"/>
        <v/>
      </c>
      <c r="G110" s="56" t="str">
        <f t="shared" si="41"/>
        <v/>
      </c>
      <c r="H110" s="55" t="str">
        <f t="shared" si="42"/>
        <v/>
      </c>
      <c r="I110" s="108" t="str">
        <f t="shared" si="43"/>
        <v/>
      </c>
      <c r="J110" s="116"/>
      <c r="K110" s="116"/>
      <c r="L110" s="55" t="str">
        <f t="shared" si="44"/>
        <v/>
      </c>
      <c r="M110" s="55" t="str">
        <f t="shared" si="45"/>
        <v/>
      </c>
      <c r="N110" s="56" t="str">
        <f t="shared" si="46"/>
        <v/>
      </c>
      <c r="O110" s="55" t="str">
        <f t="shared" si="47"/>
        <v/>
      </c>
      <c r="P110" s="108" t="str">
        <f t="shared" si="48"/>
        <v/>
      </c>
      <c r="Q110" s="116"/>
      <c r="R110" s="116"/>
      <c r="S110" s="55" t="str">
        <f t="shared" si="49"/>
        <v/>
      </c>
      <c r="T110" s="55" t="str">
        <f t="shared" si="50"/>
        <v/>
      </c>
      <c r="U110" s="56" t="str">
        <f t="shared" si="51"/>
        <v/>
      </c>
      <c r="V110" s="55" t="str">
        <f t="shared" si="52"/>
        <v/>
      </c>
      <c r="W110" s="108" t="str">
        <f t="shared" si="53"/>
        <v/>
      </c>
      <c r="X110" s="116"/>
      <c r="Y110" s="116"/>
      <c r="Z110" s="55" t="str">
        <f t="shared" si="54"/>
        <v/>
      </c>
      <c r="AA110" s="55" t="str">
        <f t="shared" si="55"/>
        <v/>
      </c>
      <c r="AB110" s="56" t="str">
        <f t="shared" si="56"/>
        <v/>
      </c>
      <c r="AC110" s="55" t="str">
        <f t="shared" si="57"/>
        <v/>
      </c>
      <c r="AD110" s="108" t="str">
        <f t="shared" si="58"/>
        <v/>
      </c>
      <c r="AE110" s="116">
        <f t="shared" si="59"/>
        <v>0</v>
      </c>
      <c r="AF110" s="116">
        <f t="shared" si="60"/>
        <v>0</v>
      </c>
      <c r="AG110" s="116"/>
      <c r="AH110" s="116"/>
      <c r="AI110" s="116">
        <f t="shared" si="65"/>
        <v>0</v>
      </c>
      <c r="AJ110" s="116">
        <f t="shared" si="65"/>
        <v>0</v>
      </c>
      <c r="AK110" s="69"/>
    </row>
    <row r="111" spans="1:37" x14ac:dyDescent="0.25">
      <c r="A111" s="162" t="s">
        <v>1505</v>
      </c>
      <c r="B111" s="153" t="s">
        <v>1506</v>
      </c>
      <c r="C111" s="116"/>
      <c r="D111" s="116"/>
      <c r="E111" s="55" t="str">
        <f t="shared" si="39"/>
        <v/>
      </c>
      <c r="F111" s="55" t="str">
        <f t="shared" si="40"/>
        <v/>
      </c>
      <c r="G111" s="56" t="str">
        <f t="shared" si="41"/>
        <v/>
      </c>
      <c r="H111" s="55" t="str">
        <f t="shared" si="42"/>
        <v/>
      </c>
      <c r="I111" s="108" t="str">
        <f t="shared" si="43"/>
        <v/>
      </c>
      <c r="J111" s="116"/>
      <c r="K111" s="116"/>
      <c r="L111" s="55" t="str">
        <f t="shared" si="44"/>
        <v/>
      </c>
      <c r="M111" s="55" t="str">
        <f t="shared" si="45"/>
        <v/>
      </c>
      <c r="N111" s="56" t="str">
        <f t="shared" si="46"/>
        <v/>
      </c>
      <c r="O111" s="55" t="str">
        <f t="shared" si="47"/>
        <v/>
      </c>
      <c r="P111" s="108" t="str">
        <f t="shared" si="48"/>
        <v/>
      </c>
      <c r="Q111" s="116"/>
      <c r="R111" s="116"/>
      <c r="S111" s="55" t="str">
        <f t="shared" si="49"/>
        <v/>
      </c>
      <c r="T111" s="55" t="str">
        <f t="shared" si="50"/>
        <v/>
      </c>
      <c r="U111" s="56" t="str">
        <f t="shared" si="51"/>
        <v/>
      </c>
      <c r="V111" s="55" t="str">
        <f t="shared" si="52"/>
        <v/>
      </c>
      <c r="W111" s="108" t="str">
        <f t="shared" si="53"/>
        <v/>
      </c>
      <c r="X111" s="116"/>
      <c r="Y111" s="116"/>
      <c r="Z111" s="55" t="str">
        <f t="shared" si="54"/>
        <v/>
      </c>
      <c r="AA111" s="55" t="str">
        <f t="shared" si="55"/>
        <v/>
      </c>
      <c r="AB111" s="56" t="str">
        <f t="shared" si="56"/>
        <v/>
      </c>
      <c r="AC111" s="55" t="str">
        <f t="shared" si="57"/>
        <v/>
      </c>
      <c r="AD111" s="108" t="str">
        <f t="shared" si="58"/>
        <v/>
      </c>
      <c r="AE111" s="116">
        <f t="shared" si="59"/>
        <v>0</v>
      </c>
      <c r="AF111" s="116">
        <f t="shared" si="60"/>
        <v>0</v>
      </c>
      <c r="AG111" s="116"/>
      <c r="AH111" s="116"/>
      <c r="AI111" s="116">
        <f t="shared" si="65"/>
        <v>0</v>
      </c>
      <c r="AJ111" s="116">
        <f t="shared" si="65"/>
        <v>0</v>
      </c>
      <c r="AK111" s="69"/>
    </row>
    <row r="112" spans="1:37" x14ac:dyDescent="0.25">
      <c r="A112" s="162" t="s">
        <v>1507</v>
      </c>
      <c r="B112" s="153" t="s">
        <v>1068</v>
      </c>
      <c r="C112" s="116"/>
      <c r="D112" s="116"/>
      <c r="E112" s="55" t="str">
        <f t="shared" si="39"/>
        <v/>
      </c>
      <c r="F112" s="55" t="str">
        <f t="shared" si="40"/>
        <v/>
      </c>
      <c r="G112" s="56" t="str">
        <f t="shared" si="41"/>
        <v/>
      </c>
      <c r="H112" s="55" t="str">
        <f t="shared" si="42"/>
        <v/>
      </c>
      <c r="I112" s="108" t="str">
        <f t="shared" si="43"/>
        <v/>
      </c>
      <c r="J112" s="116"/>
      <c r="K112" s="116"/>
      <c r="L112" s="55" t="str">
        <f t="shared" si="44"/>
        <v/>
      </c>
      <c r="M112" s="55" t="str">
        <f t="shared" si="45"/>
        <v/>
      </c>
      <c r="N112" s="56" t="str">
        <f t="shared" si="46"/>
        <v/>
      </c>
      <c r="O112" s="55" t="str">
        <f t="shared" si="47"/>
        <v/>
      </c>
      <c r="P112" s="108" t="str">
        <f t="shared" si="48"/>
        <v/>
      </c>
      <c r="Q112" s="116"/>
      <c r="R112" s="116"/>
      <c r="S112" s="55" t="str">
        <f t="shared" si="49"/>
        <v/>
      </c>
      <c r="T112" s="55" t="str">
        <f t="shared" si="50"/>
        <v/>
      </c>
      <c r="U112" s="56" t="str">
        <f t="shared" si="51"/>
        <v/>
      </c>
      <c r="V112" s="55" t="str">
        <f t="shared" si="52"/>
        <v/>
      </c>
      <c r="W112" s="108" t="str">
        <f t="shared" si="53"/>
        <v/>
      </c>
      <c r="X112" s="116"/>
      <c r="Y112" s="116"/>
      <c r="Z112" s="55" t="str">
        <f t="shared" si="54"/>
        <v/>
      </c>
      <c r="AA112" s="55" t="str">
        <f t="shared" si="55"/>
        <v/>
      </c>
      <c r="AB112" s="56" t="str">
        <f t="shared" si="56"/>
        <v/>
      </c>
      <c r="AC112" s="55" t="str">
        <f t="shared" si="57"/>
        <v/>
      </c>
      <c r="AD112" s="108" t="str">
        <f t="shared" si="58"/>
        <v/>
      </c>
      <c r="AE112" s="116">
        <f t="shared" si="59"/>
        <v>0</v>
      </c>
      <c r="AF112" s="116">
        <f t="shared" si="60"/>
        <v>0</v>
      </c>
      <c r="AG112" s="116"/>
      <c r="AH112" s="116"/>
      <c r="AI112" s="116">
        <f t="shared" si="65"/>
        <v>0</v>
      </c>
      <c r="AJ112" s="116">
        <f t="shared" si="65"/>
        <v>0</v>
      </c>
      <c r="AK112" s="69"/>
    </row>
    <row r="113" spans="1:37" ht="56.25" x14ac:dyDescent="0.25">
      <c r="A113" s="162" t="s">
        <v>1508</v>
      </c>
      <c r="B113" s="153" t="s">
        <v>5408</v>
      </c>
      <c r="C113" s="116"/>
      <c r="D113" s="116"/>
      <c r="E113" s="55" t="str">
        <f t="shared" ref="E113" si="66">IFERROR(TRUNC(IF(C113&lt;&gt;0,C113/$C$121,"")*100,2),"")</f>
        <v/>
      </c>
      <c r="F113" s="55" t="str">
        <f t="shared" ref="F113" si="67">IFERROR(TRUNC(IF(D113&lt;&gt;0,D113/$D$121,"")*100,2),"")</f>
        <v/>
      </c>
      <c r="G113" s="56" t="str">
        <f t="shared" ref="G113" si="68">IF(OR(C113&lt;&gt;0,D113&lt;&gt;0),C113-D113,"")</f>
        <v/>
      </c>
      <c r="H113" s="55" t="str">
        <f t="shared" ref="H113" si="69">IFERROR(ABS(IF(G113&lt;&gt;0,IF(D113&lt;&gt;0,TRUNC(G113/D113*100,2),IF(C113&lt;&gt;0,TRUNC(G113/C113*100,2),"")),"")),"")</f>
        <v/>
      </c>
      <c r="I113" s="108" t="str">
        <f t="shared" ref="I113" si="70">IF(AND(AE$121=0,AF$121=0),"",IF(OR(N(E113)&lt;&gt;0,N(F113)&lt;&gt;0),IF(OR(N(E113)&gt;4,N(F113)&gt;4),IF(N(H113)&gt;14,"SI","NO"),"NO"),"NO"))</f>
        <v/>
      </c>
      <c r="J113" s="116"/>
      <c r="K113" s="116"/>
      <c r="L113" s="55" t="str">
        <f t="shared" ref="L113" si="71">IFERROR(TRUNC(IF(J113&lt;&gt;0,J113/$J$121,"")*100,2),"")</f>
        <v/>
      </c>
      <c r="M113" s="55" t="str">
        <f t="shared" ref="M113" si="72">IFERROR(TRUNC(IF(K113&lt;&gt;0,K113/$K$121,"")*100,2),"")</f>
        <v/>
      </c>
      <c r="N113" s="56" t="str">
        <f t="shared" ref="N113" si="73">IF(OR(J113&lt;&gt;0,K113&lt;&gt;0),J113-K113,"")</f>
        <v/>
      </c>
      <c r="O113" s="55" t="str">
        <f t="shared" ref="O113" si="74">IFERROR(ABS(IF(N113&lt;&gt;0,IF(K113&lt;&gt;0,TRUNC(N113/K113*100,2),IF(J113&lt;&gt;0,TRUNC(N113/J113*100,2),"")),"")),"")</f>
        <v/>
      </c>
      <c r="P113" s="108" t="str">
        <f t="shared" ref="P113" si="75">IF(AND(AE$121=0,AF$121=0),"",IF(OR(N(L113)&lt;&gt;0,N(M113)&lt;&gt;0),IF(OR(N(L113)&gt;4,N(M113)&gt;4),IF(N(O113)&gt;14,"SI","NO"),"NO"),"NO"))</f>
        <v/>
      </c>
      <c r="Q113" s="116"/>
      <c r="R113" s="116"/>
      <c r="S113" s="55" t="str">
        <f t="shared" ref="S113" si="76">IFERROR(TRUNC(IF(Q113&lt;&gt;0,Q113/$Q$121,"")*100,2),"")</f>
        <v/>
      </c>
      <c r="T113" s="55" t="str">
        <f t="shared" ref="T113" si="77">IFERROR(TRUNC(IF(R113&lt;&gt;0,R113/$R$121,"")*100,2),"")</f>
        <v/>
      </c>
      <c r="U113" s="56" t="str">
        <f t="shared" ref="U113" si="78">IF(OR(Q113&lt;&gt;0,R113&lt;&gt;0),Q113-R113,"")</f>
        <v/>
      </c>
      <c r="V113" s="55" t="str">
        <f t="shared" ref="V113" si="79">IFERROR(ABS(IF(U113&lt;&gt;0,IF(R113&lt;&gt;0,TRUNC(U113/R113*100,2),IF(Q113&lt;&gt;0,TRUNC(U113/Q113*100,2),"")),"")),"")</f>
        <v/>
      </c>
      <c r="W113" s="108" t="str">
        <f t="shared" ref="W113" si="80">IF(AND(AE$121=0,AF$121=0),"",IF(OR(N(S113)&lt;&gt;0,N(T113)&lt;&gt;0),IF(OR(N(S113)&gt;4,N(T113)&gt;4),IF(N(V113)&gt;14,"SI","NO"),"NO"),"NO"))</f>
        <v/>
      </c>
      <c r="X113" s="116"/>
      <c r="Y113" s="116"/>
      <c r="Z113" s="55" t="str">
        <f t="shared" ref="Z113" si="81">IFERROR(TRUNC(IF(X113&lt;&gt;0,X113/$X$121,"")*100,2),"")</f>
        <v/>
      </c>
      <c r="AA113" s="55" t="str">
        <f t="shared" ref="AA113" si="82">IFERROR(TRUNC(IF(Y113&lt;&gt;0,Y113/$Y$121,"")*100,2),"")</f>
        <v/>
      </c>
      <c r="AB113" s="56" t="str">
        <f t="shared" ref="AB113" si="83">IF(OR(X113&lt;&gt;0,Y113&lt;&gt;0),X113-Y113,"")</f>
        <v/>
      </c>
      <c r="AC113" s="55" t="str">
        <f t="shared" ref="AC113" si="84">IFERROR(ABS(IF(AB113&lt;&gt;0,IF(Y113&lt;&gt;0,TRUNC(AB113/Y113*100,2),IF(X113&lt;&gt;0,TRUNC(AB113/X113*100,2),"")),"")),"")</f>
        <v/>
      </c>
      <c r="AD113" s="108" t="str">
        <f t="shared" ref="AD113" si="85">IF(AND(AE$121=0,AF$121=0),"",IF(OR(N(Z113)&lt;&gt;0,N(AA113)&lt;&gt;0),IF(OR(N(Z113)&gt;4,N(AA113)&gt;4),IF(N(AC113)&gt;14,"SI","NO"),"NO"),"NO"))</f>
        <v/>
      </c>
      <c r="AE113" s="116">
        <f t="shared" ref="AE113" si="86">ROUND(C113+J113+Q113+X113,0)</f>
        <v>0</v>
      </c>
      <c r="AF113" s="116">
        <f t="shared" ref="AF113" si="87">ROUND(D113+K113+R113+Y113,0)</f>
        <v>0</v>
      </c>
      <c r="AG113" s="116"/>
      <c r="AH113" s="116"/>
      <c r="AI113" s="116">
        <f t="shared" ref="AI113" si="88">AE113-AG113</f>
        <v>0</v>
      </c>
      <c r="AJ113" s="116">
        <f t="shared" ref="AJ113" si="89">AF113-AH113</f>
        <v>0</v>
      </c>
      <c r="AK113" s="149"/>
    </row>
    <row r="114" spans="1:37" x14ac:dyDescent="0.25">
      <c r="A114" s="162" t="s">
        <v>1509</v>
      </c>
      <c r="B114" s="153" t="s">
        <v>638</v>
      </c>
      <c r="C114" s="52"/>
      <c r="D114" s="52"/>
      <c r="E114" s="57"/>
      <c r="F114" s="57"/>
      <c r="G114" s="52"/>
      <c r="H114" s="57"/>
      <c r="I114" s="58"/>
      <c r="J114" s="52"/>
      <c r="K114" s="52"/>
      <c r="L114" s="57"/>
      <c r="M114" s="57"/>
      <c r="N114" s="52"/>
      <c r="O114" s="57"/>
      <c r="P114" s="58"/>
      <c r="Q114" s="52"/>
      <c r="R114" s="52"/>
      <c r="S114" s="57"/>
      <c r="T114" s="57"/>
      <c r="U114" s="52"/>
      <c r="V114" s="57"/>
      <c r="W114" s="58"/>
      <c r="X114" s="52"/>
      <c r="Y114" s="52"/>
      <c r="Z114" s="57"/>
      <c r="AA114" s="57"/>
      <c r="AB114" s="52"/>
      <c r="AC114" s="57"/>
      <c r="AD114" s="58"/>
      <c r="AE114" s="52"/>
      <c r="AF114" s="52"/>
      <c r="AG114" s="52"/>
      <c r="AH114" s="52"/>
      <c r="AI114" s="52"/>
      <c r="AJ114" s="52"/>
      <c r="AK114" s="69"/>
    </row>
    <row r="115" spans="1:37" x14ac:dyDescent="0.25">
      <c r="A115" s="162" t="s">
        <v>1511</v>
      </c>
      <c r="B115" s="153" t="s">
        <v>1510</v>
      </c>
      <c r="C115" s="54">
        <f>ROUND(SUM(C71:C113)+C114,0)</f>
        <v>0</v>
      </c>
      <c r="D115" s="54">
        <f>ROUND(SUM(D71:D113)+D114,0)</f>
        <v>0</v>
      </c>
      <c r="E115" s="34"/>
      <c r="F115" s="34"/>
      <c r="G115" s="34"/>
      <c r="H115" s="34"/>
      <c r="I115" s="34"/>
      <c r="J115" s="54">
        <f>ROUND(SUM(J71:J113)+J114,0)</f>
        <v>0</v>
      </c>
      <c r="K115" s="54">
        <f>ROUND(SUM(K71:K113)+K114,0)</f>
        <v>0</v>
      </c>
      <c r="L115" s="29"/>
      <c r="M115" s="29"/>
      <c r="N115" s="29"/>
      <c r="O115" s="29"/>
      <c r="P115" s="29"/>
      <c r="Q115" s="54">
        <f>ROUND(SUM(Q71:Q113)+Q114,0)</f>
        <v>0</v>
      </c>
      <c r="R115" s="54">
        <f>ROUND(SUM(R71:R113)+R114,0)</f>
        <v>0</v>
      </c>
      <c r="S115" s="29"/>
      <c r="T115" s="29"/>
      <c r="U115" s="29"/>
      <c r="V115" s="29"/>
      <c r="W115" s="29"/>
      <c r="X115" s="54">
        <f>ROUND(SUM(X71:X113)+X114,0)</f>
        <v>0</v>
      </c>
      <c r="Y115" s="54">
        <f>ROUND(SUM(Y71:Y113)+Y114,0)</f>
        <v>0</v>
      </c>
      <c r="Z115" s="29"/>
      <c r="AA115" s="29"/>
      <c r="AB115" s="29"/>
      <c r="AC115" s="29"/>
      <c r="AD115" s="29"/>
      <c r="AE115" s="54">
        <f t="shared" ref="AE115:AJ115" si="90">ROUND(SUM(AE71:AE113)+AE114,0)</f>
        <v>0</v>
      </c>
      <c r="AF115" s="54">
        <f t="shared" si="90"/>
        <v>0</v>
      </c>
      <c r="AG115" s="54">
        <f t="shared" si="90"/>
        <v>0</v>
      </c>
      <c r="AH115" s="54">
        <f t="shared" si="90"/>
        <v>0</v>
      </c>
      <c r="AI115" s="54">
        <f t="shared" si="90"/>
        <v>0</v>
      </c>
      <c r="AJ115" s="54">
        <f t="shared" si="90"/>
        <v>0</v>
      </c>
      <c r="AK115" s="69"/>
    </row>
    <row r="116" spans="1:37" x14ac:dyDescent="0.25">
      <c r="A116" s="162"/>
      <c r="B116" s="153"/>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69"/>
    </row>
    <row r="117" spans="1:37" x14ac:dyDescent="0.25">
      <c r="A117" s="162" t="s">
        <v>1513</v>
      </c>
      <c r="B117" s="153" t="s">
        <v>1512</v>
      </c>
      <c r="C117" s="54">
        <f>ROUND(C19+C29+C39+C49+C57+C63+C67+C115,0)</f>
        <v>0</v>
      </c>
      <c r="D117" s="54">
        <f>ROUND(D19+D29+D39+D49+D57+D63+D67+D115,0)</f>
        <v>0</v>
      </c>
      <c r="E117" s="29"/>
      <c r="F117" s="29"/>
      <c r="G117" s="29"/>
      <c r="H117" s="29"/>
      <c r="I117" s="29"/>
      <c r="J117" s="54">
        <f>ROUND(J19+J29+J39+J49+J57+J63+J67+J115,0)</f>
        <v>0</v>
      </c>
      <c r="K117" s="54">
        <f>ROUND(K19+K29+K39+K49+K57+K63+K67+K115,0)</f>
        <v>0</v>
      </c>
      <c r="L117" s="29"/>
      <c r="M117" s="29"/>
      <c r="N117" s="29"/>
      <c r="O117" s="29"/>
      <c r="P117" s="29"/>
      <c r="Q117" s="54">
        <f>ROUND(Q19+Q29+Q39+Q49+Q57+Q63+Q67+Q115,0)</f>
        <v>0</v>
      </c>
      <c r="R117" s="54">
        <f>ROUND(R19+R29+R39+R49+R57+R63+R67+R115,0)</f>
        <v>0</v>
      </c>
      <c r="S117" s="29"/>
      <c r="T117" s="29"/>
      <c r="U117" s="29"/>
      <c r="V117" s="29"/>
      <c r="W117" s="29"/>
      <c r="X117" s="54">
        <f>ROUND(X19+X29+X39+X49+X57+X63+X67+X115,0)</f>
        <v>0</v>
      </c>
      <c r="Y117" s="54">
        <f>ROUND(Y19+Y29+Y39+Y49+Y57+Y63+Y67+Y115,0)</f>
        <v>0</v>
      </c>
      <c r="Z117" s="29"/>
      <c r="AA117" s="29"/>
      <c r="AB117" s="29"/>
      <c r="AC117" s="29"/>
      <c r="AD117" s="29"/>
      <c r="AE117" s="54">
        <f t="shared" ref="AE117:AJ117" si="91">ROUND(AE19+AE29+AE39+AE49+AE57+AE63+AE67+AE115,0)</f>
        <v>0</v>
      </c>
      <c r="AF117" s="54">
        <f t="shared" si="91"/>
        <v>0</v>
      </c>
      <c r="AG117" s="54">
        <f t="shared" si="91"/>
        <v>0</v>
      </c>
      <c r="AH117" s="54">
        <f t="shared" si="91"/>
        <v>0</v>
      </c>
      <c r="AI117" s="54">
        <f t="shared" si="91"/>
        <v>0</v>
      </c>
      <c r="AJ117" s="54">
        <f t="shared" si="91"/>
        <v>0</v>
      </c>
      <c r="AK117" s="69"/>
    </row>
    <row r="118" spans="1:37" x14ac:dyDescent="0.25">
      <c r="A118" s="162"/>
      <c r="B118" s="153"/>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69"/>
    </row>
    <row r="119" spans="1:37" x14ac:dyDescent="0.25">
      <c r="A119" s="162" t="s">
        <v>1515</v>
      </c>
      <c r="B119" s="153" t="s">
        <v>1514</v>
      </c>
      <c r="C119" s="116"/>
      <c r="D119" s="116"/>
      <c r="E119" s="29"/>
      <c r="F119" s="29"/>
      <c r="G119" s="29"/>
      <c r="H119" s="29"/>
      <c r="I119" s="29"/>
      <c r="J119" s="116"/>
      <c r="K119" s="116"/>
      <c r="L119" s="29"/>
      <c r="M119" s="29"/>
      <c r="N119" s="29"/>
      <c r="O119" s="29"/>
      <c r="P119" s="29"/>
      <c r="Q119" s="116"/>
      <c r="R119" s="116"/>
      <c r="S119" s="29"/>
      <c r="T119" s="29"/>
      <c r="U119" s="29"/>
      <c r="V119" s="29"/>
      <c r="W119" s="29"/>
      <c r="X119" s="116"/>
      <c r="Y119" s="116"/>
      <c r="Z119" s="29"/>
      <c r="AA119" s="29"/>
      <c r="AB119" s="29"/>
      <c r="AC119" s="29"/>
      <c r="AD119" s="29"/>
      <c r="AE119" s="116">
        <f>ROUND(C119+J119+Q119+X119,0)</f>
        <v>0</v>
      </c>
      <c r="AF119" s="116">
        <f>ROUND(D119+K119+R119+Y119,0)</f>
        <v>0</v>
      </c>
      <c r="AG119" s="116"/>
      <c r="AH119" s="116"/>
      <c r="AI119" s="116">
        <f>AE119-AG119</f>
        <v>0</v>
      </c>
      <c r="AJ119" s="116">
        <f>AF119-AH119</f>
        <v>0</v>
      </c>
      <c r="AK119" s="69"/>
    </row>
    <row r="120" spans="1:37" x14ac:dyDescent="0.25">
      <c r="A120" s="162"/>
      <c r="B120" s="153"/>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69"/>
    </row>
    <row r="121" spans="1:37" x14ac:dyDescent="0.25">
      <c r="A121" s="162" t="s">
        <v>5409</v>
      </c>
      <c r="B121" s="153" t="s">
        <v>1516</v>
      </c>
      <c r="C121" s="73">
        <f>C117+C119</f>
        <v>0</v>
      </c>
      <c r="D121" s="117">
        <f>D117+D119</f>
        <v>0</v>
      </c>
      <c r="E121" s="29"/>
      <c r="F121" s="29"/>
      <c r="G121" s="29"/>
      <c r="H121" s="29"/>
      <c r="I121" s="29"/>
      <c r="J121" s="73">
        <f>J117+J119</f>
        <v>0</v>
      </c>
      <c r="K121" s="117">
        <f>K117+K119</f>
        <v>0</v>
      </c>
      <c r="L121" s="29"/>
      <c r="M121" s="29"/>
      <c r="N121" s="29"/>
      <c r="O121" s="29"/>
      <c r="P121" s="29"/>
      <c r="Q121" s="73">
        <f>Q117+Q119</f>
        <v>0</v>
      </c>
      <c r="R121" s="117">
        <f>R117+R119</f>
        <v>0</v>
      </c>
      <c r="S121" s="29"/>
      <c r="T121" s="29"/>
      <c r="U121" s="29"/>
      <c r="V121" s="29"/>
      <c r="W121" s="29"/>
      <c r="X121" s="73">
        <f>X117+X119</f>
        <v>0</v>
      </c>
      <c r="Y121" s="117">
        <f>Y117+Y119</f>
        <v>0</v>
      </c>
      <c r="Z121" s="29"/>
      <c r="AA121" s="29"/>
      <c r="AB121" s="29"/>
      <c r="AC121" s="29"/>
      <c r="AD121" s="29"/>
      <c r="AE121" s="54">
        <f t="shared" ref="AE121:AJ121" si="92">AE117+AE119</f>
        <v>0</v>
      </c>
      <c r="AF121" s="54">
        <f t="shared" si="92"/>
        <v>0</v>
      </c>
      <c r="AG121" s="54">
        <f t="shared" si="92"/>
        <v>0</v>
      </c>
      <c r="AH121" s="54">
        <f t="shared" si="92"/>
        <v>0</v>
      </c>
      <c r="AI121" s="54">
        <f t="shared" si="92"/>
        <v>0</v>
      </c>
      <c r="AJ121" s="54">
        <f t="shared" si="92"/>
        <v>0</v>
      </c>
      <c r="AK121" s="69"/>
    </row>
    <row r="122" spans="1:37" x14ac:dyDescent="0.25">
      <c r="A122" s="163"/>
      <c r="B122" s="160"/>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69"/>
    </row>
    <row r="123" spans="1:37" ht="8.1" customHeight="1" x14ac:dyDescent="0.25">
      <c r="A123" s="166" t="s">
        <v>0</v>
      </c>
      <c r="B123" s="152"/>
      <c r="C123" s="70"/>
      <c r="D123" s="70"/>
      <c r="E123" s="70"/>
      <c r="F123" s="70"/>
      <c r="G123" s="70"/>
      <c r="H123" s="70"/>
      <c r="I123" s="70"/>
      <c r="J123" s="70"/>
      <c r="K123" s="70"/>
      <c r="L123" s="70"/>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99"/>
  <sheetViews>
    <sheetView workbookViewId="0"/>
  </sheetViews>
  <sheetFormatPr defaultColWidth="11.5703125" defaultRowHeight="15" x14ac:dyDescent="0.25"/>
  <cols>
    <col min="1" max="1" width="14.28515625" style="107" customWidth="1"/>
    <col min="2" max="2" width="35.7109375" style="107" customWidth="1"/>
    <col min="3" max="4" width="18.7109375" style="107" customWidth="1"/>
    <col min="5" max="5" width="1.7109375" style="107" customWidth="1"/>
    <col min="6" max="16384" width="11.5703125" style="107"/>
  </cols>
  <sheetData>
    <row r="1" spans="1:5" ht="34.5" x14ac:dyDescent="0.25">
      <c r="A1" s="42" t="s">
        <v>0</v>
      </c>
      <c r="B1" s="41" t="s">
        <v>5604</v>
      </c>
      <c r="C1" s="41"/>
      <c r="D1" s="42"/>
      <c r="E1" s="69" t="s">
        <v>0</v>
      </c>
    </row>
    <row r="2" spans="1:5" x14ac:dyDescent="0.25">
      <c r="A2" s="78" t="s">
        <v>5597</v>
      </c>
      <c r="B2" s="78" t="s">
        <v>5598</v>
      </c>
      <c r="C2" s="79" t="s">
        <v>5660</v>
      </c>
      <c r="D2" s="79" t="s">
        <v>586</v>
      </c>
      <c r="E2" s="69" t="s">
        <v>0</v>
      </c>
    </row>
    <row r="3" spans="1:5" x14ac:dyDescent="0.25">
      <c r="A3" s="163"/>
      <c r="B3" s="160"/>
      <c r="C3" s="47"/>
      <c r="D3" s="47"/>
      <c r="E3" s="69"/>
    </row>
    <row r="4" spans="1:5" x14ac:dyDescent="0.25">
      <c r="A4" s="163"/>
      <c r="B4" s="51" t="s">
        <v>5626</v>
      </c>
      <c r="C4" s="49"/>
      <c r="D4" s="47"/>
      <c r="E4" s="69"/>
    </row>
    <row r="5" spans="1:5" ht="57" x14ac:dyDescent="0.25">
      <c r="A5" s="163"/>
      <c r="B5" s="71" t="s">
        <v>5628</v>
      </c>
      <c r="C5" s="47"/>
      <c r="D5" s="71"/>
      <c r="E5" s="69"/>
    </row>
    <row r="6" spans="1:5" x14ac:dyDescent="0.25">
      <c r="A6" s="163"/>
      <c r="B6" s="71" t="s">
        <v>0</v>
      </c>
      <c r="C6" s="47"/>
      <c r="D6" s="47"/>
      <c r="E6" s="69"/>
    </row>
    <row r="7" spans="1:5" x14ac:dyDescent="0.25">
      <c r="A7" s="163"/>
      <c r="B7" s="53" t="s">
        <v>0</v>
      </c>
      <c r="C7" s="18"/>
      <c r="D7" s="18"/>
      <c r="E7" s="69"/>
    </row>
    <row r="8" spans="1:5" ht="78.75" x14ac:dyDescent="0.25">
      <c r="A8" s="163"/>
      <c r="B8" s="129" t="s">
        <v>5629</v>
      </c>
      <c r="C8" s="18"/>
      <c r="D8" s="18"/>
      <c r="E8" s="69"/>
    </row>
    <row r="9" spans="1:5" x14ac:dyDescent="0.25">
      <c r="A9" s="163"/>
      <c r="B9" s="160"/>
      <c r="C9" s="18"/>
      <c r="D9" s="18"/>
      <c r="E9" s="69"/>
    </row>
    <row r="10" spans="1:5" x14ac:dyDescent="0.25">
      <c r="A10" s="162" t="s">
        <v>1265</v>
      </c>
      <c r="B10" s="153" t="s">
        <v>1266</v>
      </c>
      <c r="C10" s="117">
        <f>ROUND(D18,0)</f>
        <v>0</v>
      </c>
      <c r="D10" s="116"/>
      <c r="E10" s="69"/>
    </row>
    <row r="11" spans="1:5" x14ac:dyDescent="0.25">
      <c r="A11" s="162"/>
      <c r="B11" s="153"/>
      <c r="C11" s="18"/>
      <c r="D11" s="18"/>
      <c r="E11" s="69"/>
    </row>
    <row r="12" spans="1:5" x14ac:dyDescent="0.25">
      <c r="A12" s="162"/>
      <c r="B12" s="153" t="s">
        <v>1267</v>
      </c>
      <c r="C12" s="18"/>
      <c r="D12" s="18"/>
      <c r="E12" s="69"/>
    </row>
    <row r="13" spans="1:5" x14ac:dyDescent="0.25">
      <c r="A13" s="162"/>
      <c r="B13" s="153"/>
      <c r="C13" s="18"/>
      <c r="D13" s="18"/>
      <c r="E13" s="69"/>
    </row>
    <row r="14" spans="1:5" x14ac:dyDescent="0.25">
      <c r="A14" s="162" t="s">
        <v>1268</v>
      </c>
      <c r="B14" s="153" t="s">
        <v>1269</v>
      </c>
      <c r="C14" s="116"/>
      <c r="D14" s="116"/>
      <c r="E14" s="69"/>
    </row>
    <row r="15" spans="1:5" x14ac:dyDescent="0.25">
      <c r="A15" s="164"/>
      <c r="B15" s="153"/>
      <c r="C15" s="18"/>
      <c r="D15" s="18"/>
      <c r="E15" s="69"/>
    </row>
    <row r="16" spans="1:5" x14ac:dyDescent="0.25">
      <c r="A16" s="164"/>
      <c r="B16" s="153" t="s">
        <v>890</v>
      </c>
      <c r="C16" s="18"/>
      <c r="D16" s="18"/>
      <c r="E16" s="69"/>
    </row>
    <row r="17" spans="1:5" x14ac:dyDescent="0.25">
      <c r="A17" s="162"/>
      <c r="B17" s="153"/>
      <c r="C17" s="18"/>
      <c r="D17" s="18"/>
      <c r="E17" s="69"/>
    </row>
    <row r="18" spans="1:5" x14ac:dyDescent="0.25">
      <c r="A18" s="162" t="s">
        <v>1270</v>
      </c>
      <c r="B18" s="153" t="s">
        <v>1271</v>
      </c>
      <c r="C18" s="116"/>
      <c r="D18" s="116"/>
      <c r="E18" s="69"/>
    </row>
    <row r="19" spans="1:5" ht="22.5" x14ac:dyDescent="0.25">
      <c r="A19" s="162" t="s">
        <v>1272</v>
      </c>
      <c r="B19" s="154" t="s">
        <v>1273</v>
      </c>
      <c r="C19" s="116">
        <f>ROUND(C10+C14-C18,0)</f>
        <v>0</v>
      </c>
      <c r="D19" s="116">
        <f>ROUND(D10+D14-D18,0)</f>
        <v>0</v>
      </c>
      <c r="E19" s="69"/>
    </row>
    <row r="20" spans="1:5" x14ac:dyDescent="0.25">
      <c r="A20" s="162"/>
      <c r="B20" s="153"/>
      <c r="C20" s="18"/>
      <c r="D20" s="18"/>
      <c r="E20" s="69"/>
    </row>
    <row r="21" spans="1:5" x14ac:dyDescent="0.25">
      <c r="A21" s="162"/>
      <c r="B21" s="153" t="s">
        <v>1267</v>
      </c>
      <c r="C21" s="18"/>
      <c r="D21" s="18"/>
      <c r="E21" s="69"/>
    </row>
    <row r="22" spans="1:5" x14ac:dyDescent="0.25">
      <c r="A22" s="162"/>
      <c r="B22" s="153"/>
      <c r="C22" s="18"/>
      <c r="D22" s="18"/>
      <c r="E22" s="69"/>
    </row>
    <row r="23" spans="1:5" x14ac:dyDescent="0.25">
      <c r="A23" s="162" t="s">
        <v>1274</v>
      </c>
      <c r="B23" s="153" t="s">
        <v>1275</v>
      </c>
      <c r="C23" s="116"/>
      <c r="D23" s="116"/>
      <c r="E23" s="69"/>
    </row>
    <row r="24" spans="1:5" x14ac:dyDescent="0.25">
      <c r="A24" s="162" t="s">
        <v>1276</v>
      </c>
      <c r="B24" s="153" t="s">
        <v>1277</v>
      </c>
      <c r="C24" s="116">
        <f>ROUND(C19+C23,0)</f>
        <v>0</v>
      </c>
      <c r="D24" s="116">
        <f>ROUND(D19+D23,0)</f>
        <v>0</v>
      </c>
      <c r="E24" s="69"/>
    </row>
    <row r="25" spans="1:5" x14ac:dyDescent="0.25">
      <c r="A25" s="162"/>
      <c r="B25" s="153"/>
      <c r="C25" s="18"/>
      <c r="D25" s="18"/>
      <c r="E25" s="69"/>
    </row>
    <row r="26" spans="1:5" x14ac:dyDescent="0.25">
      <c r="A26" s="162"/>
      <c r="B26" s="153" t="s">
        <v>1267</v>
      </c>
      <c r="C26" s="18"/>
      <c r="D26" s="18"/>
      <c r="E26" s="69"/>
    </row>
    <row r="27" spans="1:5" x14ac:dyDescent="0.25">
      <c r="A27" s="162"/>
      <c r="B27" s="153"/>
      <c r="C27" s="18"/>
      <c r="D27" s="18"/>
      <c r="E27" s="69"/>
    </row>
    <row r="28" spans="1:5" x14ac:dyDescent="0.25">
      <c r="A28" s="162" t="s">
        <v>1278</v>
      </c>
      <c r="B28" s="153" t="s">
        <v>1279</v>
      </c>
      <c r="C28" s="116"/>
      <c r="D28" s="116"/>
      <c r="E28" s="69"/>
    </row>
    <row r="29" spans="1:5" x14ac:dyDescent="0.25">
      <c r="A29" s="162" t="s">
        <v>1280</v>
      </c>
      <c r="B29" s="154" t="s">
        <v>1281</v>
      </c>
      <c r="C29" s="116"/>
      <c r="D29" s="116"/>
      <c r="E29" s="69"/>
    </row>
    <row r="30" spans="1:5" x14ac:dyDescent="0.25">
      <c r="A30" s="162" t="s">
        <v>1282</v>
      </c>
      <c r="B30" s="153" t="s">
        <v>1283</v>
      </c>
      <c r="C30" s="68">
        <f>IF(Generales!C37="SI",ROUND('ANEXO 7'!C121,0),IF(Generales!C38="SI",ROUND('ANEXO 7'!C121,0),IF(Generales!C39="SI",ROUND('ANEXO 7'!C121,0),0)))</f>
        <v>0</v>
      </c>
      <c r="D30" s="192">
        <f>IF(Generales!C37="SI",ROUND('ANEXO 7'!D121,0),IF(Generales!C38="SI",ROUND('ANEXO 7'!D121,0),IF(Generales!C39="SI",ROUND('ANEXO 7'!D121,0),0)))</f>
        <v>0</v>
      </c>
      <c r="E30" s="69"/>
    </row>
    <row r="31" spans="1:5" x14ac:dyDescent="0.25">
      <c r="A31" s="162"/>
      <c r="B31" s="153"/>
      <c r="C31" s="18"/>
      <c r="D31" s="18"/>
      <c r="E31" s="69"/>
    </row>
    <row r="32" spans="1:5" x14ac:dyDescent="0.25">
      <c r="A32" s="162" t="s">
        <v>1284</v>
      </c>
      <c r="B32" s="153" t="s">
        <v>5700</v>
      </c>
      <c r="C32" s="116">
        <f>ROUND(C24+C28+C29+C30,0)</f>
        <v>0</v>
      </c>
      <c r="D32" s="116">
        <f>ROUND(D24+D28+D29+D30,0)</f>
        <v>0</v>
      </c>
      <c r="E32" s="69"/>
    </row>
    <row r="33" spans="1:5" x14ac:dyDescent="0.25">
      <c r="A33" s="162"/>
      <c r="B33" s="153"/>
      <c r="C33" s="18"/>
      <c r="D33" s="18"/>
      <c r="E33" s="69"/>
    </row>
    <row r="34" spans="1:5" x14ac:dyDescent="0.25">
      <c r="A34" s="162"/>
      <c r="B34" s="153" t="s">
        <v>1267</v>
      </c>
      <c r="C34" s="18"/>
      <c r="D34" s="18"/>
      <c r="E34" s="69"/>
    </row>
    <row r="35" spans="1:5" x14ac:dyDescent="0.25">
      <c r="A35" s="162"/>
      <c r="B35" s="153"/>
      <c r="C35" s="18"/>
      <c r="D35" s="18"/>
      <c r="E35" s="69"/>
    </row>
    <row r="36" spans="1:5" ht="22.5" x14ac:dyDescent="0.25">
      <c r="A36" s="162" t="s">
        <v>1285</v>
      </c>
      <c r="B36" s="153" t="s">
        <v>1286</v>
      </c>
      <c r="C36" s="116">
        <f>ROUND(D41,0)</f>
        <v>0</v>
      </c>
      <c r="D36" s="116"/>
      <c r="E36" s="69"/>
    </row>
    <row r="37" spans="1:5" x14ac:dyDescent="0.25">
      <c r="A37" s="162" t="s">
        <v>1287</v>
      </c>
      <c r="B37" s="153" t="s">
        <v>1288</v>
      </c>
      <c r="C37" s="116"/>
      <c r="D37" s="116"/>
      <c r="E37" s="69"/>
    </row>
    <row r="38" spans="1:5" x14ac:dyDescent="0.25">
      <c r="A38" s="162"/>
      <c r="B38" s="153"/>
      <c r="C38" s="18"/>
      <c r="D38" s="18"/>
      <c r="E38" s="69"/>
    </row>
    <row r="39" spans="1:5" x14ac:dyDescent="0.25">
      <c r="A39" s="162"/>
      <c r="B39" s="153" t="s">
        <v>890</v>
      </c>
      <c r="C39" s="18"/>
      <c r="D39" s="18"/>
      <c r="E39" s="69"/>
    </row>
    <row r="40" spans="1:5" x14ac:dyDescent="0.25">
      <c r="A40" s="162"/>
      <c r="B40" s="153"/>
      <c r="C40" s="18"/>
      <c r="D40" s="18"/>
      <c r="E40" s="69"/>
    </row>
    <row r="41" spans="1:5" ht="22.5" x14ac:dyDescent="0.25">
      <c r="A41" s="162" t="s">
        <v>1289</v>
      </c>
      <c r="B41" s="153" t="s">
        <v>1290</v>
      </c>
      <c r="C41" s="116"/>
      <c r="D41" s="116"/>
      <c r="E41" s="69"/>
    </row>
    <row r="42" spans="1:5" x14ac:dyDescent="0.25">
      <c r="A42" s="162"/>
      <c r="B42" s="153"/>
      <c r="C42" s="18"/>
      <c r="D42" s="18"/>
      <c r="E42" s="69"/>
    </row>
    <row r="43" spans="1:5" x14ac:dyDescent="0.25">
      <c r="A43" s="162" t="s">
        <v>1291</v>
      </c>
      <c r="B43" s="153" t="s">
        <v>1292</v>
      </c>
      <c r="C43" s="116">
        <f>ROUND(C32+C36+C37-C41,0)</f>
        <v>0</v>
      </c>
      <c r="D43" s="116">
        <f>ROUND(D32+D36+D37-D41,0)</f>
        <v>0</v>
      </c>
      <c r="E43" s="69"/>
    </row>
    <row r="44" spans="1:5" x14ac:dyDescent="0.25">
      <c r="A44" s="162"/>
      <c r="B44" s="153"/>
      <c r="C44" s="18"/>
      <c r="D44" s="18"/>
      <c r="E44" s="69"/>
    </row>
    <row r="45" spans="1:5" x14ac:dyDescent="0.25">
      <c r="A45" s="162"/>
      <c r="B45" s="153" t="s">
        <v>1267</v>
      </c>
      <c r="C45" s="18"/>
      <c r="D45" s="18"/>
      <c r="E45" s="69"/>
    </row>
    <row r="46" spans="1:5" x14ac:dyDescent="0.25">
      <c r="A46" s="162"/>
      <c r="B46" s="153"/>
      <c r="C46" s="18"/>
      <c r="D46" s="18"/>
      <c r="E46" s="69"/>
    </row>
    <row r="47" spans="1:5" ht="22.5" x14ac:dyDescent="0.25">
      <c r="A47" s="162" t="s">
        <v>1293</v>
      </c>
      <c r="B47" s="153" t="s">
        <v>1294</v>
      </c>
      <c r="C47" s="116">
        <f>ROUND(D52,0)</f>
        <v>0</v>
      </c>
      <c r="D47" s="116"/>
      <c r="E47" s="69"/>
    </row>
    <row r="48" spans="1:5" x14ac:dyDescent="0.25">
      <c r="A48" s="162" t="s">
        <v>1295</v>
      </c>
      <c r="B48" s="153" t="s">
        <v>1296</v>
      </c>
      <c r="C48" s="116"/>
      <c r="D48" s="116"/>
      <c r="E48" s="69"/>
    </row>
    <row r="49" spans="1:5" x14ac:dyDescent="0.25">
      <c r="A49" s="162"/>
      <c r="B49" s="153"/>
      <c r="C49" s="18"/>
      <c r="D49" s="18"/>
      <c r="E49" s="69"/>
    </row>
    <row r="50" spans="1:5" x14ac:dyDescent="0.25">
      <c r="A50" s="162"/>
      <c r="B50" s="153" t="s">
        <v>890</v>
      </c>
      <c r="C50" s="18"/>
      <c r="D50" s="18"/>
      <c r="E50" s="69"/>
    </row>
    <row r="51" spans="1:5" x14ac:dyDescent="0.25">
      <c r="A51" s="162"/>
      <c r="B51" s="153"/>
      <c r="C51" s="18"/>
      <c r="D51" s="18"/>
      <c r="E51" s="69"/>
    </row>
    <row r="52" spans="1:5" ht="22.5" x14ac:dyDescent="0.25">
      <c r="A52" s="162" t="s">
        <v>1297</v>
      </c>
      <c r="B52" s="153" t="s">
        <v>1298</v>
      </c>
      <c r="C52" s="116"/>
      <c r="D52" s="116"/>
      <c r="E52" s="69"/>
    </row>
    <row r="53" spans="1:5" ht="22.5" x14ac:dyDescent="0.25">
      <c r="A53" s="162" t="s">
        <v>1299</v>
      </c>
      <c r="B53" s="153" t="s">
        <v>1300</v>
      </c>
      <c r="C53" s="116"/>
      <c r="D53" s="116"/>
      <c r="E53" s="69"/>
    </row>
    <row r="54" spans="1:5" x14ac:dyDescent="0.25">
      <c r="A54" s="162" t="s">
        <v>1301</v>
      </c>
      <c r="B54" s="153" t="s">
        <v>1302</v>
      </c>
      <c r="C54" s="52"/>
      <c r="D54" s="52"/>
      <c r="E54" s="69"/>
    </row>
    <row r="55" spans="1:5" x14ac:dyDescent="0.25">
      <c r="A55" s="162"/>
      <c r="B55" s="153"/>
      <c r="C55" s="18"/>
      <c r="D55" s="18"/>
      <c r="E55" s="69"/>
    </row>
    <row r="56" spans="1:5" x14ac:dyDescent="0.25">
      <c r="A56" s="162" t="s">
        <v>1303</v>
      </c>
      <c r="B56" s="153" t="s">
        <v>1304</v>
      </c>
      <c r="C56" s="73">
        <f>ROUND(C43+C47+C48-C52-C53-C54,0)</f>
        <v>0</v>
      </c>
      <c r="D56" s="117">
        <f>ROUND(D43+D47+D48-D52-D53-D54,0)</f>
        <v>0</v>
      </c>
      <c r="E56" s="69"/>
    </row>
    <row r="57" spans="1:5" x14ac:dyDescent="0.25">
      <c r="A57" s="162"/>
      <c r="B57" s="153"/>
      <c r="C57" s="18"/>
      <c r="D57" s="18"/>
      <c r="E57" s="69"/>
    </row>
    <row r="58" spans="1:5" ht="22.5" x14ac:dyDescent="0.25">
      <c r="A58" s="162" t="s">
        <v>1305</v>
      </c>
      <c r="B58" s="153" t="s">
        <v>1306</v>
      </c>
      <c r="C58" s="116"/>
      <c r="D58" s="116"/>
      <c r="E58" s="69"/>
    </row>
    <row r="59" spans="1:5" x14ac:dyDescent="0.25">
      <c r="A59" s="162"/>
      <c r="B59" s="153"/>
      <c r="C59" s="18"/>
      <c r="D59" s="18"/>
      <c r="E59" s="69"/>
    </row>
    <row r="60" spans="1:5" x14ac:dyDescent="0.25">
      <c r="A60" s="162" t="s">
        <v>1307</v>
      </c>
      <c r="B60" s="153" t="s">
        <v>1308</v>
      </c>
      <c r="C60" s="116">
        <f>ROUND(C56-C58,0)</f>
        <v>0</v>
      </c>
      <c r="D60" s="116">
        <f>ROUND(D56-D58,0)</f>
        <v>0</v>
      </c>
      <c r="E60" s="69"/>
    </row>
    <row r="61" spans="1:5" x14ac:dyDescent="0.25">
      <c r="A61" s="162"/>
      <c r="B61" s="153"/>
      <c r="C61" s="18"/>
      <c r="D61" s="18"/>
      <c r="E61" s="69"/>
    </row>
    <row r="62" spans="1:5" x14ac:dyDescent="0.25">
      <c r="A62" s="162"/>
      <c r="B62" s="153" t="s">
        <v>890</v>
      </c>
      <c r="C62" s="18"/>
      <c r="D62" s="18"/>
      <c r="E62" s="69"/>
    </row>
    <row r="63" spans="1:5" x14ac:dyDescent="0.25">
      <c r="A63" s="162"/>
      <c r="B63" s="153"/>
      <c r="C63" s="18"/>
      <c r="D63" s="18"/>
      <c r="E63" s="69"/>
    </row>
    <row r="64" spans="1:5" ht="22.5" x14ac:dyDescent="0.25">
      <c r="A64" s="162" t="s">
        <v>1309</v>
      </c>
      <c r="B64" s="153" t="s">
        <v>1310</v>
      </c>
      <c r="C64" s="116"/>
      <c r="D64" s="116"/>
      <c r="E64" s="69"/>
    </row>
    <row r="65" spans="1:5" x14ac:dyDescent="0.25">
      <c r="A65" s="162" t="s">
        <v>1311</v>
      </c>
      <c r="B65" s="153" t="s">
        <v>1312</v>
      </c>
      <c r="C65" s="116"/>
      <c r="D65" s="116"/>
      <c r="E65" s="69"/>
    </row>
    <row r="66" spans="1:5" x14ac:dyDescent="0.25">
      <c r="A66" s="162" t="s">
        <v>1313</v>
      </c>
      <c r="B66" s="153" t="s">
        <v>1314</v>
      </c>
      <c r="C66" s="193">
        <f>'ANEXO 7'!C84</f>
        <v>0</v>
      </c>
      <c r="D66" s="116"/>
      <c r="E66" s="69"/>
    </row>
    <row r="67" spans="1:5" ht="22.5" x14ac:dyDescent="0.25">
      <c r="A67" s="162" t="s">
        <v>1315</v>
      </c>
      <c r="B67" s="153" t="s">
        <v>1316</v>
      </c>
      <c r="C67" s="193">
        <f>'ANEXO 7'!C63</f>
        <v>0</v>
      </c>
      <c r="D67" s="116"/>
      <c r="E67" s="69"/>
    </row>
    <row r="68" spans="1:5" x14ac:dyDescent="0.25">
      <c r="A68" s="162" t="s">
        <v>1317</v>
      </c>
      <c r="B68" s="153" t="s">
        <v>1318</v>
      </c>
      <c r="C68" s="52"/>
      <c r="D68" s="52"/>
      <c r="E68" s="69"/>
    </row>
    <row r="69" spans="1:5" x14ac:dyDescent="0.25">
      <c r="A69" s="162"/>
      <c r="B69" s="153"/>
      <c r="C69" s="18"/>
      <c r="D69" s="18"/>
      <c r="E69" s="69"/>
    </row>
    <row r="70" spans="1:5" x14ac:dyDescent="0.25">
      <c r="A70" s="162"/>
      <c r="B70" s="153"/>
      <c r="C70" s="18"/>
      <c r="D70" s="18"/>
      <c r="E70" s="69"/>
    </row>
    <row r="71" spans="1:5" x14ac:dyDescent="0.25">
      <c r="A71" s="162"/>
      <c r="B71" s="153" t="s">
        <v>1267</v>
      </c>
      <c r="C71" s="18"/>
      <c r="D71" s="18"/>
      <c r="E71" s="69"/>
    </row>
    <row r="72" spans="1:5" ht="22.5" x14ac:dyDescent="0.25">
      <c r="A72" s="162" t="s">
        <v>1319</v>
      </c>
      <c r="B72" s="153" t="s">
        <v>5701</v>
      </c>
      <c r="C72" s="116"/>
      <c r="D72" s="116"/>
      <c r="E72" s="69"/>
    </row>
    <row r="73" spans="1:5" x14ac:dyDescent="0.25">
      <c r="A73" s="162" t="s">
        <v>1320</v>
      </c>
      <c r="B73" s="153" t="s">
        <v>1321</v>
      </c>
      <c r="C73" s="52"/>
      <c r="D73" s="52"/>
      <c r="E73" s="69"/>
    </row>
    <row r="74" spans="1:5" x14ac:dyDescent="0.25">
      <c r="A74" s="162"/>
      <c r="B74" s="153"/>
      <c r="C74" s="18"/>
      <c r="D74" s="18"/>
      <c r="E74" s="69"/>
    </row>
    <row r="75" spans="1:5" ht="22.5" x14ac:dyDescent="0.25">
      <c r="A75" s="162" t="s">
        <v>1322</v>
      </c>
      <c r="B75" s="153" t="s">
        <v>1323</v>
      </c>
      <c r="C75" s="117">
        <f>ROUND(C60-C64-C65-C66-C67-C68+C72+C73,0)</f>
        <v>0</v>
      </c>
      <c r="D75" s="116">
        <f>ROUND(D60-D64-D65-D66-D67-D68+D72+D73,0)</f>
        <v>0</v>
      </c>
      <c r="E75" s="69"/>
    </row>
    <row r="76" spans="1:5" x14ac:dyDescent="0.25">
      <c r="A76" s="162"/>
      <c r="B76" s="153"/>
      <c r="C76" s="18"/>
      <c r="D76" s="18"/>
      <c r="E76" s="69"/>
    </row>
    <row r="77" spans="1:5" x14ac:dyDescent="0.25">
      <c r="A77" s="162"/>
      <c r="B77" s="153"/>
      <c r="C77" s="29"/>
      <c r="D77" s="29"/>
      <c r="E77" s="69"/>
    </row>
    <row r="78" spans="1:5" ht="22.5" x14ac:dyDescent="0.25">
      <c r="A78" s="162"/>
      <c r="B78" s="179" t="s">
        <v>1324</v>
      </c>
      <c r="C78" s="18"/>
      <c r="D78" s="18"/>
      <c r="E78" s="69"/>
    </row>
    <row r="79" spans="1:5" x14ac:dyDescent="0.25">
      <c r="A79" s="162"/>
      <c r="B79" s="153"/>
      <c r="C79" s="18"/>
      <c r="D79" s="18"/>
      <c r="E79" s="69"/>
    </row>
    <row r="80" spans="1:5" x14ac:dyDescent="0.25">
      <c r="A80" s="162" t="s">
        <v>1325</v>
      </c>
      <c r="B80" s="153" t="s">
        <v>1283</v>
      </c>
      <c r="C80" s="68">
        <f>IF(Generales!C40="SI",ROUND('ANEXO 7'!C121,0),0)</f>
        <v>0</v>
      </c>
      <c r="D80" s="192">
        <f>IF(Generales!C40="SI",ROUND('ANEXO 7'!D121,0),0)</f>
        <v>0</v>
      </c>
      <c r="E80" s="69"/>
    </row>
    <row r="81" spans="1:5" x14ac:dyDescent="0.25">
      <c r="A81" s="162" t="s">
        <v>1326</v>
      </c>
      <c r="B81" s="153" t="s">
        <v>1302</v>
      </c>
      <c r="C81" s="52"/>
      <c r="D81" s="52"/>
      <c r="E81" s="69"/>
    </row>
    <row r="82" spans="1:5" x14ac:dyDescent="0.25">
      <c r="A82" s="162" t="s">
        <v>1327</v>
      </c>
      <c r="B82" s="153" t="s">
        <v>1304</v>
      </c>
      <c r="C82" s="73">
        <f>+C80+C81</f>
        <v>0</v>
      </c>
      <c r="D82" s="117">
        <f>+D80+D81</f>
        <v>0</v>
      </c>
      <c r="E82" s="69"/>
    </row>
    <row r="83" spans="1:5" x14ac:dyDescent="0.25">
      <c r="A83" s="162"/>
      <c r="B83" s="153"/>
      <c r="C83" s="18"/>
      <c r="D83" s="18"/>
      <c r="E83" s="69"/>
    </row>
    <row r="84" spans="1:5" ht="22.5" x14ac:dyDescent="0.25">
      <c r="A84" s="162" t="s">
        <v>1328</v>
      </c>
      <c r="B84" s="153" t="s">
        <v>1306</v>
      </c>
      <c r="C84" s="116"/>
      <c r="D84" s="116"/>
      <c r="E84" s="69"/>
    </row>
    <row r="85" spans="1:5" x14ac:dyDescent="0.25">
      <c r="A85" s="162"/>
      <c r="B85" s="153"/>
      <c r="C85" s="18"/>
      <c r="D85" s="18"/>
      <c r="E85" s="69"/>
    </row>
    <row r="86" spans="1:5" x14ac:dyDescent="0.25">
      <c r="A86" s="162" t="s">
        <v>1329</v>
      </c>
      <c r="B86" s="153" t="s">
        <v>1308</v>
      </c>
      <c r="C86" s="116">
        <f>ROUND(C82-C84,0)</f>
        <v>0</v>
      </c>
      <c r="D86" s="116">
        <f>ROUND(D82-D84,0)</f>
        <v>0</v>
      </c>
      <c r="E86" s="69"/>
    </row>
    <row r="87" spans="1:5" x14ac:dyDescent="0.25">
      <c r="A87" s="162"/>
      <c r="B87" s="153"/>
      <c r="C87" s="18"/>
      <c r="D87" s="18"/>
      <c r="E87" s="69"/>
    </row>
    <row r="88" spans="1:5" x14ac:dyDescent="0.25">
      <c r="A88" s="162"/>
      <c r="B88" s="153" t="s">
        <v>890</v>
      </c>
      <c r="C88" s="18"/>
      <c r="D88" s="18"/>
      <c r="E88" s="69"/>
    </row>
    <row r="89" spans="1:5" x14ac:dyDescent="0.25">
      <c r="A89" s="162"/>
      <c r="B89" s="153"/>
      <c r="C89" s="18"/>
      <c r="D89" s="18"/>
      <c r="E89" s="69"/>
    </row>
    <row r="90" spans="1:5" ht="22.5" x14ac:dyDescent="0.25">
      <c r="A90" s="162" t="s">
        <v>1330</v>
      </c>
      <c r="B90" s="153" t="s">
        <v>5702</v>
      </c>
      <c r="C90" s="116"/>
      <c r="D90" s="116"/>
      <c r="E90" s="69"/>
    </row>
    <row r="91" spans="1:5" x14ac:dyDescent="0.25">
      <c r="A91" s="162" t="s">
        <v>1331</v>
      </c>
      <c r="B91" s="153" t="s">
        <v>1332</v>
      </c>
      <c r="C91" s="116"/>
      <c r="D91" s="116"/>
      <c r="E91" s="69"/>
    </row>
    <row r="92" spans="1:5" x14ac:dyDescent="0.25">
      <c r="A92" s="162"/>
      <c r="B92" s="153"/>
      <c r="C92" s="18"/>
      <c r="D92" s="18"/>
      <c r="E92" s="69"/>
    </row>
    <row r="93" spans="1:5" x14ac:dyDescent="0.25">
      <c r="A93" s="162"/>
      <c r="B93" s="153" t="s">
        <v>1267</v>
      </c>
      <c r="C93" s="18"/>
      <c r="D93" s="18"/>
      <c r="E93" s="69"/>
    </row>
    <row r="94" spans="1:5" x14ac:dyDescent="0.25">
      <c r="A94" s="162"/>
      <c r="B94" s="153"/>
      <c r="C94" s="18"/>
      <c r="D94" s="18"/>
      <c r="E94" s="69"/>
    </row>
    <row r="95" spans="1:5" x14ac:dyDescent="0.25">
      <c r="A95" s="162" t="s">
        <v>1333</v>
      </c>
      <c r="B95" s="153" t="s">
        <v>1334</v>
      </c>
      <c r="C95" s="116"/>
      <c r="D95" s="116"/>
      <c r="E95" s="69"/>
    </row>
    <row r="96" spans="1:5" x14ac:dyDescent="0.25">
      <c r="A96" s="162" t="s">
        <v>1335</v>
      </c>
      <c r="B96" s="153" t="s">
        <v>1321</v>
      </c>
      <c r="C96" s="52"/>
      <c r="D96" s="52"/>
      <c r="E96" s="69"/>
    </row>
    <row r="97" spans="1:5" x14ac:dyDescent="0.25">
      <c r="A97" s="162"/>
      <c r="B97" s="153"/>
      <c r="C97" s="18"/>
      <c r="D97" s="18"/>
      <c r="E97" s="69"/>
    </row>
    <row r="98" spans="1:5" ht="22.5" x14ac:dyDescent="0.25">
      <c r="A98" s="162" t="s">
        <v>1336</v>
      </c>
      <c r="B98" s="153" t="s">
        <v>1323</v>
      </c>
      <c r="C98" s="117">
        <f>ROUND(C86-C90-C91+C95+C96,0)</f>
        <v>0</v>
      </c>
      <c r="D98" s="116">
        <f>ROUND(D86-D90-D91+D95+D96,0)</f>
        <v>0</v>
      </c>
      <c r="E98" s="69"/>
    </row>
    <row r="99" spans="1:5" ht="8.1" customHeight="1" x14ac:dyDescent="0.25">
      <c r="A99" s="70" t="s">
        <v>0</v>
      </c>
      <c r="B99" s="152"/>
      <c r="C99" s="70"/>
      <c r="D99" s="70"/>
      <c r="E99"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70"/>
  <sheetViews>
    <sheetView zoomScaleNormal="100" workbookViewId="0"/>
  </sheetViews>
  <sheetFormatPr defaultColWidth="11.5703125" defaultRowHeight="15" x14ac:dyDescent="0.25"/>
  <cols>
    <col min="1" max="1" width="14.28515625" style="107" customWidth="1"/>
    <col min="2" max="2" width="35.7109375" style="107" customWidth="1"/>
    <col min="3" max="8" width="18.7109375" style="107" customWidth="1"/>
    <col min="9" max="9" width="1.7109375" style="107" customWidth="1"/>
    <col min="10" max="16384" width="11.5703125" style="107"/>
  </cols>
  <sheetData>
    <row r="1" spans="1:9" ht="34.5" x14ac:dyDescent="0.25">
      <c r="A1" s="42" t="s">
        <v>0</v>
      </c>
      <c r="B1" s="41" t="s">
        <v>5605</v>
      </c>
      <c r="C1" s="41"/>
      <c r="D1" s="42"/>
      <c r="E1" s="42" t="s">
        <v>0</v>
      </c>
      <c r="F1" s="42" t="s">
        <v>0</v>
      </c>
      <c r="G1" s="42" t="s">
        <v>0</v>
      </c>
      <c r="H1" s="42" t="s">
        <v>0</v>
      </c>
      <c r="I1" s="69" t="s">
        <v>0</v>
      </c>
    </row>
    <row r="2" spans="1:9" ht="78.75" x14ac:dyDescent="0.25">
      <c r="A2" s="121" t="s">
        <v>5597</v>
      </c>
      <c r="B2" s="121" t="s">
        <v>5598</v>
      </c>
      <c r="C2" s="45">
        <v>2017</v>
      </c>
      <c r="D2" s="43">
        <v>2016</v>
      </c>
      <c r="E2" s="45" t="s">
        <v>5682</v>
      </c>
      <c r="F2" s="45" t="s">
        <v>5684</v>
      </c>
      <c r="G2" s="45" t="s">
        <v>5683</v>
      </c>
      <c r="H2" s="45" t="s">
        <v>5685</v>
      </c>
      <c r="I2" s="69" t="s">
        <v>0</v>
      </c>
    </row>
    <row r="3" spans="1:9" x14ac:dyDescent="0.25">
      <c r="A3" s="163"/>
      <c r="B3" s="160"/>
      <c r="C3" s="47"/>
      <c r="D3" s="47"/>
      <c r="E3" s="47"/>
      <c r="F3" s="47"/>
      <c r="G3" s="47"/>
      <c r="H3" s="47"/>
      <c r="I3" s="69"/>
    </row>
    <row r="4" spans="1:9" x14ac:dyDescent="0.25">
      <c r="A4" s="163"/>
      <c r="B4" s="51" t="s">
        <v>5626</v>
      </c>
      <c r="C4" s="49"/>
      <c r="D4" s="47"/>
      <c r="E4" s="47"/>
      <c r="F4" s="47"/>
      <c r="G4" s="47"/>
      <c r="H4" s="47"/>
      <c r="I4" s="69"/>
    </row>
    <row r="5" spans="1:9" x14ac:dyDescent="0.25">
      <c r="A5" s="163"/>
      <c r="B5" s="18" t="s">
        <v>0</v>
      </c>
      <c r="C5" s="47"/>
      <c r="D5" s="47"/>
      <c r="E5" s="47"/>
      <c r="F5" s="47"/>
      <c r="G5" s="47"/>
      <c r="H5" s="47"/>
      <c r="I5" s="69"/>
    </row>
    <row r="6" spans="1:9" x14ac:dyDescent="0.25">
      <c r="A6" s="163"/>
      <c r="B6" s="51" t="s">
        <v>924</v>
      </c>
      <c r="C6" s="49"/>
      <c r="D6" s="47"/>
      <c r="E6" s="47"/>
      <c r="F6" s="47"/>
      <c r="G6" s="47"/>
      <c r="H6" s="47"/>
      <c r="I6" s="69"/>
    </row>
    <row r="7" spans="1:9" x14ac:dyDescent="0.25">
      <c r="A7" s="163"/>
      <c r="B7" s="51" t="s">
        <v>0</v>
      </c>
      <c r="C7" s="49"/>
      <c r="D7" s="47"/>
      <c r="E7" s="47"/>
      <c r="F7" s="47"/>
      <c r="G7" s="47"/>
      <c r="H7" s="47"/>
      <c r="I7" s="69"/>
    </row>
    <row r="8" spans="1:9" x14ac:dyDescent="0.25">
      <c r="A8" s="163"/>
      <c r="B8" s="51" t="s">
        <v>753</v>
      </c>
      <c r="C8" s="51"/>
      <c r="D8" s="47"/>
      <c r="E8" s="47"/>
      <c r="F8" s="47"/>
      <c r="G8" s="47"/>
      <c r="H8" s="47"/>
      <c r="I8" s="69"/>
    </row>
    <row r="9" spans="1:9" x14ac:dyDescent="0.25">
      <c r="A9" s="163"/>
      <c r="B9" s="160"/>
      <c r="C9" s="47"/>
      <c r="D9" s="47"/>
      <c r="E9" s="47"/>
      <c r="F9" s="47"/>
      <c r="G9" s="47"/>
      <c r="H9" s="47"/>
      <c r="I9" s="69"/>
    </row>
    <row r="10" spans="1:9" x14ac:dyDescent="0.25">
      <c r="A10" s="162" t="s">
        <v>1517</v>
      </c>
      <c r="B10" s="153" t="s">
        <v>1518</v>
      </c>
      <c r="C10" s="116">
        <f t="shared" ref="C10:D12" si="0">ROUND(E10+G10,0)</f>
        <v>0</v>
      </c>
      <c r="D10" s="116">
        <f t="shared" si="0"/>
        <v>0</v>
      </c>
      <c r="E10" s="116"/>
      <c r="F10" s="116"/>
      <c r="G10" s="116"/>
      <c r="H10" s="116"/>
      <c r="I10" s="69"/>
    </row>
    <row r="11" spans="1:9" x14ac:dyDescent="0.25">
      <c r="A11" s="162" t="s">
        <v>1519</v>
      </c>
      <c r="B11" s="153" t="s">
        <v>1520</v>
      </c>
      <c r="C11" s="116">
        <f t="shared" si="0"/>
        <v>0</v>
      </c>
      <c r="D11" s="116">
        <f t="shared" si="0"/>
        <v>0</v>
      </c>
      <c r="E11" s="116"/>
      <c r="F11" s="116"/>
      <c r="G11" s="116"/>
      <c r="H11" s="116"/>
      <c r="I11" s="69"/>
    </row>
    <row r="12" spans="1:9" x14ac:dyDescent="0.25">
      <c r="A12" s="162" t="s">
        <v>1521</v>
      </c>
      <c r="B12" s="153" t="s">
        <v>1522</v>
      </c>
      <c r="C12" s="116">
        <f t="shared" si="0"/>
        <v>0</v>
      </c>
      <c r="D12" s="116">
        <f t="shared" si="0"/>
        <v>0</v>
      </c>
      <c r="E12" s="116"/>
      <c r="F12" s="116"/>
      <c r="G12" s="116"/>
      <c r="H12" s="116"/>
      <c r="I12" s="69"/>
    </row>
    <row r="13" spans="1:9" x14ac:dyDescent="0.25">
      <c r="A13" s="162"/>
      <c r="B13" s="153"/>
      <c r="C13" s="18"/>
      <c r="D13" s="18"/>
      <c r="E13" s="18"/>
      <c r="F13" s="18"/>
      <c r="G13" s="18"/>
      <c r="H13" s="18"/>
      <c r="I13" s="69"/>
    </row>
    <row r="14" spans="1:9" x14ac:dyDescent="0.25">
      <c r="A14" s="162"/>
      <c r="B14" s="153" t="s">
        <v>1523</v>
      </c>
      <c r="C14" s="51"/>
      <c r="D14" s="18"/>
      <c r="E14" s="18"/>
      <c r="F14" s="18"/>
      <c r="G14" s="18"/>
      <c r="H14" s="18"/>
      <c r="I14" s="69"/>
    </row>
    <row r="15" spans="1:9" x14ac:dyDescent="0.25">
      <c r="A15" s="162"/>
      <c r="B15" s="153"/>
      <c r="C15" s="18"/>
      <c r="D15" s="18"/>
      <c r="E15" s="18"/>
      <c r="F15" s="18"/>
      <c r="G15" s="18"/>
      <c r="H15" s="18"/>
      <c r="I15" s="69"/>
    </row>
    <row r="16" spans="1:9" x14ac:dyDescent="0.25">
      <c r="A16" s="162" t="s">
        <v>1524</v>
      </c>
      <c r="B16" s="153" t="s">
        <v>1518</v>
      </c>
      <c r="C16" s="116">
        <f t="shared" ref="C16:D19" si="1">ROUND(E16+G16,0)</f>
        <v>0</v>
      </c>
      <c r="D16" s="116">
        <f t="shared" si="1"/>
        <v>0</v>
      </c>
      <c r="E16" s="116"/>
      <c r="F16" s="116"/>
      <c r="G16" s="116"/>
      <c r="H16" s="116"/>
      <c r="I16" s="69"/>
    </row>
    <row r="17" spans="1:9" x14ac:dyDescent="0.25">
      <c r="A17" s="162" t="s">
        <v>1525</v>
      </c>
      <c r="B17" s="153" t="s">
        <v>1520</v>
      </c>
      <c r="C17" s="116">
        <f t="shared" si="1"/>
        <v>0</v>
      </c>
      <c r="D17" s="116">
        <f t="shared" si="1"/>
        <v>0</v>
      </c>
      <c r="E17" s="116"/>
      <c r="F17" s="116"/>
      <c r="G17" s="116"/>
      <c r="H17" s="116"/>
      <c r="I17" s="69"/>
    </row>
    <row r="18" spans="1:9" x14ac:dyDescent="0.25">
      <c r="A18" s="162" t="s">
        <v>1526</v>
      </c>
      <c r="B18" s="153" t="s">
        <v>1522</v>
      </c>
      <c r="C18" s="116">
        <f t="shared" si="1"/>
        <v>0</v>
      </c>
      <c r="D18" s="116">
        <f t="shared" si="1"/>
        <v>0</v>
      </c>
      <c r="E18" s="116"/>
      <c r="F18" s="116"/>
      <c r="G18" s="116"/>
      <c r="H18" s="116"/>
      <c r="I18" s="69"/>
    </row>
    <row r="19" spans="1:9" x14ac:dyDescent="0.25">
      <c r="A19" s="162" t="s">
        <v>1527</v>
      </c>
      <c r="B19" s="153" t="s">
        <v>1514</v>
      </c>
      <c r="C19" s="116">
        <f t="shared" si="1"/>
        <v>0</v>
      </c>
      <c r="D19" s="116">
        <f t="shared" si="1"/>
        <v>0</v>
      </c>
      <c r="E19" s="116"/>
      <c r="F19" s="116"/>
      <c r="G19" s="116"/>
      <c r="H19" s="116"/>
      <c r="I19" s="69"/>
    </row>
    <row r="20" spans="1:9" x14ac:dyDescent="0.25">
      <c r="A20" s="162" t="s">
        <v>1528</v>
      </c>
      <c r="B20" s="153" t="s">
        <v>1529</v>
      </c>
      <c r="C20" s="77">
        <f t="shared" ref="C20:H20" si="2">ROUND(SUM(C10:C19),0)</f>
        <v>0</v>
      </c>
      <c r="D20" s="54">
        <f t="shared" si="2"/>
        <v>0</v>
      </c>
      <c r="E20" s="54">
        <f t="shared" si="2"/>
        <v>0</v>
      </c>
      <c r="F20" s="54">
        <f t="shared" si="2"/>
        <v>0</v>
      </c>
      <c r="G20" s="54">
        <f t="shared" si="2"/>
        <v>0</v>
      </c>
      <c r="H20" s="54">
        <f t="shared" si="2"/>
        <v>0</v>
      </c>
      <c r="I20" s="69"/>
    </row>
    <row r="21" spans="1:9" x14ac:dyDescent="0.25">
      <c r="A21" s="162"/>
      <c r="B21" s="153"/>
      <c r="C21" s="18"/>
      <c r="D21" s="18"/>
      <c r="E21" s="18"/>
      <c r="F21" s="18"/>
      <c r="G21" s="18"/>
      <c r="H21" s="18"/>
      <c r="I21" s="69"/>
    </row>
    <row r="22" spans="1:9" x14ac:dyDescent="0.25">
      <c r="A22" s="162"/>
      <c r="B22" s="153" t="s">
        <v>926</v>
      </c>
      <c r="C22" s="51"/>
      <c r="D22" s="18"/>
      <c r="E22" s="18"/>
      <c r="F22" s="18"/>
      <c r="G22" s="18"/>
      <c r="H22" s="18"/>
      <c r="I22" s="69"/>
    </row>
    <row r="23" spans="1:9" x14ac:dyDescent="0.25">
      <c r="A23" s="162"/>
      <c r="B23" s="153"/>
      <c r="C23" s="51"/>
      <c r="D23" s="18"/>
      <c r="E23" s="18"/>
      <c r="F23" s="18"/>
      <c r="G23" s="18"/>
      <c r="H23" s="18"/>
      <c r="I23" s="69"/>
    </row>
    <row r="24" spans="1:9" x14ac:dyDescent="0.25">
      <c r="A24" s="162"/>
      <c r="B24" s="153" t="s">
        <v>753</v>
      </c>
      <c r="C24" s="51"/>
      <c r="D24" s="18"/>
      <c r="E24" s="18"/>
      <c r="F24" s="18"/>
      <c r="G24" s="18"/>
      <c r="H24" s="18"/>
      <c r="I24" s="69"/>
    </row>
    <row r="25" spans="1:9" x14ac:dyDescent="0.25">
      <c r="A25" s="162"/>
      <c r="B25" s="153"/>
      <c r="C25" s="18"/>
      <c r="D25" s="18"/>
      <c r="E25" s="18"/>
      <c r="F25" s="18"/>
      <c r="G25" s="18"/>
      <c r="H25" s="18"/>
      <c r="I25" s="69"/>
    </row>
    <row r="26" spans="1:9" x14ac:dyDescent="0.25">
      <c r="A26" s="162" t="s">
        <v>1530</v>
      </c>
      <c r="B26" s="153" t="s">
        <v>1518</v>
      </c>
      <c r="C26" s="116">
        <f t="shared" ref="C26:D28" si="3">ROUND(E26+G26,0)</f>
        <v>0</v>
      </c>
      <c r="D26" s="116">
        <f t="shared" si="3"/>
        <v>0</v>
      </c>
      <c r="E26" s="116"/>
      <c r="F26" s="116"/>
      <c r="G26" s="116"/>
      <c r="H26" s="116"/>
      <c r="I26" s="69"/>
    </row>
    <row r="27" spans="1:9" x14ac:dyDescent="0.25">
      <c r="A27" s="162" t="s">
        <v>1531</v>
      </c>
      <c r="B27" s="153" t="s">
        <v>1520</v>
      </c>
      <c r="C27" s="116">
        <f t="shared" si="3"/>
        <v>0</v>
      </c>
      <c r="D27" s="116">
        <f t="shared" si="3"/>
        <v>0</v>
      </c>
      <c r="E27" s="116"/>
      <c r="F27" s="116"/>
      <c r="G27" s="116"/>
      <c r="H27" s="116"/>
      <c r="I27" s="69"/>
    </row>
    <row r="28" spans="1:9" x14ac:dyDescent="0.25">
      <c r="A28" s="162" t="s">
        <v>1532</v>
      </c>
      <c r="B28" s="153" t="s">
        <v>1522</v>
      </c>
      <c r="C28" s="116">
        <f t="shared" si="3"/>
        <v>0</v>
      </c>
      <c r="D28" s="116">
        <f t="shared" si="3"/>
        <v>0</v>
      </c>
      <c r="E28" s="116"/>
      <c r="F28" s="116"/>
      <c r="G28" s="116"/>
      <c r="H28" s="116"/>
      <c r="I28" s="69"/>
    </row>
    <row r="29" spans="1:9" x14ac:dyDescent="0.25">
      <c r="A29" s="162"/>
      <c r="B29" s="153"/>
      <c r="C29" s="18"/>
      <c r="D29" s="18"/>
      <c r="E29" s="18"/>
      <c r="F29" s="18"/>
      <c r="G29" s="18"/>
      <c r="H29" s="18"/>
      <c r="I29" s="69"/>
    </row>
    <row r="30" spans="1:9" x14ac:dyDescent="0.25">
      <c r="A30" s="162"/>
      <c r="B30" s="153" t="s">
        <v>1523</v>
      </c>
      <c r="C30" s="51"/>
      <c r="D30" s="18"/>
      <c r="E30" s="18"/>
      <c r="F30" s="18"/>
      <c r="G30" s="18"/>
      <c r="H30" s="18"/>
      <c r="I30" s="69"/>
    </row>
    <row r="31" spans="1:9" x14ac:dyDescent="0.25">
      <c r="A31" s="162"/>
      <c r="B31" s="153"/>
      <c r="C31" s="18"/>
      <c r="D31" s="18"/>
      <c r="E31" s="18"/>
      <c r="F31" s="18"/>
      <c r="G31" s="18"/>
      <c r="H31" s="18"/>
      <c r="I31" s="69"/>
    </row>
    <row r="32" spans="1:9" x14ac:dyDescent="0.25">
      <c r="A32" s="162" t="s">
        <v>1533</v>
      </c>
      <c r="B32" s="153" t="s">
        <v>1518</v>
      </c>
      <c r="C32" s="116">
        <f t="shared" ref="C32:D35" si="4">ROUND(E32+G32,0)</f>
        <v>0</v>
      </c>
      <c r="D32" s="116">
        <f t="shared" si="4"/>
        <v>0</v>
      </c>
      <c r="E32" s="116"/>
      <c r="F32" s="116"/>
      <c r="G32" s="116"/>
      <c r="H32" s="116"/>
      <c r="I32" s="69"/>
    </row>
    <row r="33" spans="1:9" x14ac:dyDescent="0.25">
      <c r="A33" s="162" t="s">
        <v>1534</v>
      </c>
      <c r="B33" s="153" t="s">
        <v>1520</v>
      </c>
      <c r="C33" s="116">
        <f t="shared" si="4"/>
        <v>0</v>
      </c>
      <c r="D33" s="116">
        <f t="shared" si="4"/>
        <v>0</v>
      </c>
      <c r="E33" s="116"/>
      <c r="F33" s="116"/>
      <c r="G33" s="116"/>
      <c r="H33" s="116"/>
      <c r="I33" s="69"/>
    </row>
    <row r="34" spans="1:9" x14ac:dyDescent="0.25">
      <c r="A34" s="162" t="s">
        <v>1535</v>
      </c>
      <c r="B34" s="153" t="s">
        <v>1522</v>
      </c>
      <c r="C34" s="116">
        <f t="shared" si="4"/>
        <v>0</v>
      </c>
      <c r="D34" s="116">
        <f t="shared" si="4"/>
        <v>0</v>
      </c>
      <c r="E34" s="116"/>
      <c r="F34" s="116"/>
      <c r="G34" s="116"/>
      <c r="H34" s="116"/>
      <c r="I34" s="69"/>
    </row>
    <row r="35" spans="1:9" x14ac:dyDescent="0.25">
      <c r="A35" s="162" t="s">
        <v>1536</v>
      </c>
      <c r="B35" s="153" t="s">
        <v>1514</v>
      </c>
      <c r="C35" s="116">
        <f t="shared" si="4"/>
        <v>0</v>
      </c>
      <c r="D35" s="116">
        <f t="shared" si="4"/>
        <v>0</v>
      </c>
      <c r="E35" s="116"/>
      <c r="F35" s="116"/>
      <c r="G35" s="116"/>
      <c r="H35" s="116"/>
      <c r="I35" s="69"/>
    </row>
    <row r="36" spans="1:9" x14ac:dyDescent="0.25">
      <c r="A36" s="162" t="s">
        <v>1537</v>
      </c>
      <c r="B36" s="153" t="s">
        <v>1538</v>
      </c>
      <c r="C36" s="77">
        <f t="shared" ref="C36:H36" si="5">ROUND(SUM(C26:C35),0)</f>
        <v>0</v>
      </c>
      <c r="D36" s="54">
        <f t="shared" si="5"/>
        <v>0</v>
      </c>
      <c r="E36" s="54">
        <f t="shared" si="5"/>
        <v>0</v>
      </c>
      <c r="F36" s="54">
        <f t="shared" si="5"/>
        <v>0</v>
      </c>
      <c r="G36" s="54">
        <f t="shared" si="5"/>
        <v>0</v>
      </c>
      <c r="H36" s="54">
        <f t="shared" si="5"/>
        <v>0</v>
      </c>
      <c r="I36" s="69"/>
    </row>
    <row r="37" spans="1:9" x14ac:dyDescent="0.25">
      <c r="A37" s="162"/>
      <c r="B37" s="153"/>
      <c r="C37" s="18"/>
      <c r="D37" s="18"/>
      <c r="E37" s="18"/>
      <c r="F37" s="18"/>
      <c r="G37" s="18"/>
      <c r="H37" s="18"/>
      <c r="I37" s="69"/>
    </row>
    <row r="38" spans="1:9" x14ac:dyDescent="0.25">
      <c r="A38" s="162"/>
      <c r="B38" s="153" t="s">
        <v>1539</v>
      </c>
      <c r="C38" s="51"/>
      <c r="D38" s="18"/>
      <c r="E38" s="18"/>
      <c r="F38" s="18"/>
      <c r="G38" s="18"/>
      <c r="H38" s="18"/>
      <c r="I38" s="69"/>
    </row>
    <row r="39" spans="1:9" x14ac:dyDescent="0.25">
      <c r="A39" s="162"/>
      <c r="B39" s="153"/>
      <c r="C39" s="18"/>
      <c r="D39" s="18"/>
      <c r="E39" s="18"/>
      <c r="F39" s="18"/>
      <c r="G39" s="18"/>
      <c r="H39" s="18"/>
      <c r="I39" s="69"/>
    </row>
    <row r="40" spans="1:9" x14ac:dyDescent="0.25">
      <c r="A40" s="162" t="s">
        <v>1540</v>
      </c>
      <c r="B40" s="153" t="s">
        <v>930</v>
      </c>
      <c r="C40" s="116">
        <f t="shared" ref="C40:D43" si="6">ROUND(E40+G40,0)</f>
        <v>0</v>
      </c>
      <c r="D40" s="117">
        <f t="shared" si="6"/>
        <v>0</v>
      </c>
      <c r="E40" s="117"/>
      <c r="F40" s="116"/>
      <c r="G40" s="116"/>
      <c r="H40" s="116"/>
      <c r="I40" s="69"/>
    </row>
    <row r="41" spans="1:9" x14ac:dyDescent="0.25">
      <c r="A41" s="162" t="s">
        <v>1541</v>
      </c>
      <c r="B41" s="153" t="s">
        <v>1514</v>
      </c>
      <c r="C41" s="116">
        <f t="shared" si="6"/>
        <v>0</v>
      </c>
      <c r="D41" s="117">
        <f t="shared" si="6"/>
        <v>0</v>
      </c>
      <c r="E41" s="117"/>
      <c r="F41" s="116"/>
      <c r="G41" s="116"/>
      <c r="H41" s="116"/>
      <c r="I41" s="69"/>
    </row>
    <row r="42" spans="1:9" x14ac:dyDescent="0.25">
      <c r="A42" s="162" t="s">
        <v>1542</v>
      </c>
      <c r="B42" s="153" t="s">
        <v>928</v>
      </c>
      <c r="C42" s="116">
        <f t="shared" si="6"/>
        <v>0</v>
      </c>
      <c r="D42" s="117">
        <f t="shared" si="6"/>
        <v>0</v>
      </c>
      <c r="E42" s="117"/>
      <c r="F42" s="116"/>
      <c r="G42" s="116"/>
      <c r="H42" s="116"/>
      <c r="I42" s="69"/>
    </row>
    <row r="43" spans="1:9" x14ac:dyDescent="0.25">
      <c r="A43" s="162" t="s">
        <v>1543</v>
      </c>
      <c r="B43" s="153" t="s">
        <v>1514</v>
      </c>
      <c r="C43" s="116">
        <f t="shared" si="6"/>
        <v>0</v>
      </c>
      <c r="D43" s="117">
        <f t="shared" si="6"/>
        <v>0</v>
      </c>
      <c r="E43" s="117"/>
      <c r="F43" s="116"/>
      <c r="G43" s="116"/>
      <c r="H43" s="116"/>
      <c r="I43" s="69"/>
    </row>
    <row r="44" spans="1:9" x14ac:dyDescent="0.25">
      <c r="A44" s="162" t="s">
        <v>1544</v>
      </c>
      <c r="B44" s="153" t="s">
        <v>1545</v>
      </c>
      <c r="C44" s="54">
        <f t="shared" ref="C44:H44" si="7">ROUND(SUM(C42:C43)+SUM(C40:C41),0)</f>
        <v>0</v>
      </c>
      <c r="D44" s="54">
        <f t="shared" si="7"/>
        <v>0</v>
      </c>
      <c r="E44" s="54">
        <f t="shared" si="7"/>
        <v>0</v>
      </c>
      <c r="F44" s="54">
        <f t="shared" si="7"/>
        <v>0</v>
      </c>
      <c r="G44" s="54">
        <f t="shared" si="7"/>
        <v>0</v>
      </c>
      <c r="H44" s="54">
        <f t="shared" si="7"/>
        <v>0</v>
      </c>
      <c r="I44" s="69"/>
    </row>
    <row r="45" spans="1:9" x14ac:dyDescent="0.25">
      <c r="A45" s="162"/>
      <c r="B45" s="153"/>
      <c r="C45" s="18"/>
      <c r="D45" s="18"/>
      <c r="E45" s="18"/>
      <c r="F45" s="18"/>
      <c r="G45" s="18"/>
      <c r="H45" s="18"/>
      <c r="I45" s="69"/>
    </row>
    <row r="46" spans="1:9" x14ac:dyDescent="0.25">
      <c r="A46" s="162"/>
      <c r="B46" s="153" t="s">
        <v>1546</v>
      </c>
      <c r="C46" s="51"/>
      <c r="D46" s="18"/>
      <c r="E46" s="18"/>
      <c r="F46" s="18"/>
      <c r="G46" s="18"/>
      <c r="H46" s="18"/>
      <c r="I46" s="69"/>
    </row>
    <row r="47" spans="1:9" x14ac:dyDescent="0.25">
      <c r="A47" s="162"/>
      <c r="B47" s="153"/>
      <c r="C47" s="18"/>
      <c r="D47" s="18"/>
      <c r="E47" s="18"/>
      <c r="F47" s="18"/>
      <c r="G47" s="18"/>
      <c r="H47" s="18"/>
      <c r="I47" s="69"/>
    </row>
    <row r="48" spans="1:9" ht="22.5" x14ac:dyDescent="0.25">
      <c r="A48" s="162" t="s">
        <v>1547</v>
      </c>
      <c r="B48" s="153" t="s">
        <v>932</v>
      </c>
      <c r="C48" s="116">
        <f t="shared" ref="C48:D51" si="8">ROUND(E48+G48,0)</f>
        <v>0</v>
      </c>
      <c r="D48" s="117">
        <f t="shared" si="8"/>
        <v>0</v>
      </c>
      <c r="E48" s="117"/>
      <c r="F48" s="116"/>
      <c r="G48" s="116"/>
      <c r="H48" s="116"/>
      <c r="I48" s="69"/>
    </row>
    <row r="49" spans="1:9" x14ac:dyDescent="0.25">
      <c r="A49" s="162" t="s">
        <v>1548</v>
      </c>
      <c r="B49" s="153" t="s">
        <v>1514</v>
      </c>
      <c r="C49" s="116">
        <f t="shared" si="8"/>
        <v>0</v>
      </c>
      <c r="D49" s="117">
        <f t="shared" si="8"/>
        <v>0</v>
      </c>
      <c r="E49" s="117"/>
      <c r="F49" s="116"/>
      <c r="G49" s="116"/>
      <c r="H49" s="116"/>
      <c r="I49" s="69"/>
    </row>
    <row r="50" spans="1:9" ht="22.5" x14ac:dyDescent="0.25">
      <c r="A50" s="162" t="s">
        <v>1549</v>
      </c>
      <c r="B50" s="153" t="s">
        <v>934</v>
      </c>
      <c r="C50" s="116">
        <f t="shared" si="8"/>
        <v>0</v>
      </c>
      <c r="D50" s="117">
        <f t="shared" si="8"/>
        <v>0</v>
      </c>
      <c r="E50" s="117"/>
      <c r="F50" s="116"/>
      <c r="G50" s="116"/>
      <c r="H50" s="116"/>
      <c r="I50" s="69"/>
    </row>
    <row r="51" spans="1:9" x14ac:dyDescent="0.25">
      <c r="A51" s="162" t="s">
        <v>1550</v>
      </c>
      <c r="B51" s="153" t="s">
        <v>1514</v>
      </c>
      <c r="C51" s="116">
        <f t="shared" si="8"/>
        <v>0</v>
      </c>
      <c r="D51" s="117">
        <f t="shared" si="8"/>
        <v>0</v>
      </c>
      <c r="E51" s="117"/>
      <c r="F51" s="116"/>
      <c r="G51" s="116"/>
      <c r="H51" s="116"/>
      <c r="I51" s="69"/>
    </row>
    <row r="52" spans="1:9" ht="22.5" x14ac:dyDescent="0.25">
      <c r="A52" s="162" t="s">
        <v>1551</v>
      </c>
      <c r="B52" s="153" t="s">
        <v>1552</v>
      </c>
      <c r="C52" s="54">
        <f t="shared" ref="C52:H52" si="9">ROUND(SUM(C48:C49)+SUM(C50:C51),0)</f>
        <v>0</v>
      </c>
      <c r="D52" s="54">
        <f t="shared" si="9"/>
        <v>0</v>
      </c>
      <c r="E52" s="54">
        <f t="shared" si="9"/>
        <v>0</v>
      </c>
      <c r="F52" s="54">
        <f t="shared" si="9"/>
        <v>0</v>
      </c>
      <c r="G52" s="54">
        <f t="shared" si="9"/>
        <v>0</v>
      </c>
      <c r="H52" s="54">
        <f t="shared" si="9"/>
        <v>0</v>
      </c>
      <c r="I52" s="69"/>
    </row>
    <row r="53" spans="1:9" x14ac:dyDescent="0.25">
      <c r="A53" s="162"/>
      <c r="B53" s="153"/>
      <c r="C53" s="18"/>
      <c r="D53" s="18"/>
      <c r="E53" s="18"/>
      <c r="F53" s="18"/>
      <c r="G53" s="18"/>
      <c r="H53" s="18"/>
      <c r="I53" s="69"/>
    </row>
    <row r="54" spans="1:9" ht="22.5" x14ac:dyDescent="0.25">
      <c r="A54" s="162"/>
      <c r="B54" s="153" t="s">
        <v>1553</v>
      </c>
      <c r="C54" s="18"/>
      <c r="D54" s="18"/>
      <c r="E54" s="18"/>
      <c r="F54" s="18"/>
      <c r="G54" s="18"/>
      <c r="H54" s="18"/>
      <c r="I54" s="69"/>
    </row>
    <row r="55" spans="1:9" x14ac:dyDescent="0.25">
      <c r="A55" s="162"/>
      <c r="B55" s="153"/>
      <c r="C55" s="18"/>
      <c r="D55" s="18"/>
      <c r="E55" s="18"/>
      <c r="F55" s="18"/>
      <c r="G55" s="18"/>
      <c r="H55" s="18"/>
      <c r="I55" s="69"/>
    </row>
    <row r="56" spans="1:9" ht="22.5" x14ac:dyDescent="0.25">
      <c r="A56" s="162" t="s">
        <v>1554</v>
      </c>
      <c r="B56" s="153" t="s">
        <v>936</v>
      </c>
      <c r="C56" s="116">
        <f t="shared" ref="C56:D59" si="10">ROUND(E56+G56,0)</f>
        <v>0</v>
      </c>
      <c r="D56" s="116">
        <f t="shared" si="10"/>
        <v>0</v>
      </c>
      <c r="E56" s="116"/>
      <c r="F56" s="116"/>
      <c r="G56" s="116"/>
      <c r="H56" s="116"/>
      <c r="I56" s="69"/>
    </row>
    <row r="57" spans="1:9" x14ac:dyDescent="0.25">
      <c r="A57" s="162" t="s">
        <v>1555</v>
      </c>
      <c r="B57" s="153" t="s">
        <v>1514</v>
      </c>
      <c r="C57" s="116">
        <f t="shared" si="10"/>
        <v>0</v>
      </c>
      <c r="D57" s="116">
        <f t="shared" si="10"/>
        <v>0</v>
      </c>
      <c r="E57" s="116"/>
      <c r="F57" s="116"/>
      <c r="G57" s="116"/>
      <c r="H57" s="116"/>
      <c r="I57" s="69"/>
    </row>
    <row r="58" spans="1:9" ht="22.5" x14ac:dyDescent="0.25">
      <c r="A58" s="162" t="s">
        <v>1556</v>
      </c>
      <c r="B58" s="153" t="s">
        <v>938</v>
      </c>
      <c r="C58" s="116">
        <f t="shared" si="10"/>
        <v>0</v>
      </c>
      <c r="D58" s="116">
        <f t="shared" si="10"/>
        <v>0</v>
      </c>
      <c r="E58" s="116"/>
      <c r="F58" s="116"/>
      <c r="G58" s="116"/>
      <c r="H58" s="116"/>
      <c r="I58" s="69"/>
    </row>
    <row r="59" spans="1:9" x14ac:dyDescent="0.25">
      <c r="A59" s="162" t="s">
        <v>1557</v>
      </c>
      <c r="B59" s="153" t="s">
        <v>1514</v>
      </c>
      <c r="C59" s="116">
        <f t="shared" si="10"/>
        <v>0</v>
      </c>
      <c r="D59" s="116">
        <f t="shared" si="10"/>
        <v>0</v>
      </c>
      <c r="E59" s="116"/>
      <c r="F59" s="116"/>
      <c r="G59" s="116"/>
      <c r="H59" s="116"/>
      <c r="I59" s="69"/>
    </row>
    <row r="60" spans="1:9" ht="33.75" x14ac:dyDescent="0.25">
      <c r="A60" s="162" t="s">
        <v>1558</v>
      </c>
      <c r="B60" s="153" t="s">
        <v>1559</v>
      </c>
      <c r="C60" s="54">
        <f t="shared" ref="C60:H60" si="11">ROUND(SUM(C56:C57)+SUM(C58:C59),0)</f>
        <v>0</v>
      </c>
      <c r="D60" s="54">
        <f t="shared" si="11"/>
        <v>0</v>
      </c>
      <c r="E60" s="54">
        <f t="shared" si="11"/>
        <v>0</v>
      </c>
      <c r="F60" s="54">
        <f t="shared" si="11"/>
        <v>0</v>
      </c>
      <c r="G60" s="54">
        <f t="shared" si="11"/>
        <v>0</v>
      </c>
      <c r="H60" s="54">
        <f t="shared" si="11"/>
        <v>0</v>
      </c>
      <c r="I60" s="69"/>
    </row>
    <row r="61" spans="1:9" x14ac:dyDescent="0.25">
      <c r="A61" s="162"/>
      <c r="B61" s="153"/>
      <c r="C61" s="18"/>
      <c r="D61" s="18"/>
      <c r="E61" s="18"/>
      <c r="F61" s="18"/>
      <c r="G61" s="18"/>
      <c r="H61" s="18"/>
      <c r="I61" s="69"/>
    </row>
    <row r="62" spans="1:9" x14ac:dyDescent="0.25">
      <c r="A62" s="162"/>
      <c r="B62" s="153" t="s">
        <v>1560</v>
      </c>
      <c r="C62" s="51"/>
      <c r="D62" s="18"/>
      <c r="E62" s="18"/>
      <c r="F62" s="18"/>
      <c r="G62" s="18"/>
      <c r="H62" s="18"/>
      <c r="I62" s="69"/>
    </row>
    <row r="63" spans="1:9" x14ac:dyDescent="0.25">
      <c r="A63" s="162"/>
      <c r="B63" s="153"/>
      <c r="C63" s="18"/>
      <c r="D63" s="18"/>
      <c r="E63" s="18"/>
      <c r="F63" s="18"/>
      <c r="G63" s="18"/>
      <c r="H63" s="18"/>
      <c r="I63" s="69"/>
    </row>
    <row r="64" spans="1:9" x14ac:dyDescent="0.25">
      <c r="A64" s="162" t="s">
        <v>1561</v>
      </c>
      <c r="B64" s="153" t="s">
        <v>1562</v>
      </c>
      <c r="C64" s="52"/>
      <c r="D64" s="52"/>
      <c r="E64" s="52"/>
      <c r="F64" s="52"/>
      <c r="G64" s="52"/>
      <c r="H64" s="52"/>
      <c r="I64" s="69"/>
    </row>
    <row r="65" spans="1:9" x14ac:dyDescent="0.25">
      <c r="A65" s="162" t="s">
        <v>1563</v>
      </c>
      <c r="B65" s="153" t="s">
        <v>1514</v>
      </c>
      <c r="C65" s="116">
        <f>ROUND(E65+G65,0)</f>
        <v>0</v>
      </c>
      <c r="D65" s="117">
        <f>ROUND(F65+H65,0)</f>
        <v>0</v>
      </c>
      <c r="E65" s="117"/>
      <c r="F65" s="116"/>
      <c r="G65" s="116"/>
      <c r="H65" s="116"/>
      <c r="I65" s="69"/>
    </row>
    <row r="66" spans="1:9" x14ac:dyDescent="0.25">
      <c r="A66" s="162" t="s">
        <v>1564</v>
      </c>
      <c r="B66" s="153" t="s">
        <v>1565</v>
      </c>
      <c r="C66" s="52"/>
      <c r="D66" s="52"/>
      <c r="E66" s="52"/>
      <c r="F66" s="52"/>
      <c r="G66" s="52"/>
      <c r="H66" s="52"/>
      <c r="I66" s="69"/>
    </row>
    <row r="67" spans="1:9" x14ac:dyDescent="0.25">
      <c r="A67" s="162" t="s">
        <v>1566</v>
      </c>
      <c r="B67" s="153" t="s">
        <v>1514</v>
      </c>
      <c r="C67" s="116">
        <f>ROUND(E67+G67,0)</f>
        <v>0</v>
      </c>
      <c r="D67" s="117">
        <f>ROUND(F67+H67,0)</f>
        <v>0</v>
      </c>
      <c r="E67" s="117"/>
      <c r="F67" s="116"/>
      <c r="G67" s="116"/>
      <c r="H67" s="116"/>
      <c r="I67" s="69"/>
    </row>
    <row r="68" spans="1:9" x14ac:dyDescent="0.25">
      <c r="A68" s="162" t="s">
        <v>1567</v>
      </c>
      <c r="B68" s="153" t="s">
        <v>1568</v>
      </c>
      <c r="C68" s="54">
        <f t="shared" ref="C68:H68" si="12">ROUND(C64+C65+C66+C67,0)</f>
        <v>0</v>
      </c>
      <c r="D68" s="54">
        <f t="shared" si="12"/>
        <v>0</v>
      </c>
      <c r="E68" s="54">
        <f t="shared" si="12"/>
        <v>0</v>
      </c>
      <c r="F68" s="54">
        <f t="shared" si="12"/>
        <v>0</v>
      </c>
      <c r="G68" s="54">
        <f t="shared" si="12"/>
        <v>0</v>
      </c>
      <c r="H68" s="54">
        <f t="shared" si="12"/>
        <v>0</v>
      </c>
      <c r="I68" s="69"/>
    </row>
    <row r="69" spans="1:9" ht="22.5" x14ac:dyDescent="0.25">
      <c r="A69" s="162" t="s">
        <v>1569</v>
      </c>
      <c r="B69" s="153" t="s">
        <v>1570</v>
      </c>
      <c r="C69" s="116">
        <f t="shared" ref="C69:H69" si="13">ROUND(C20-C36+C44+C52+C60+C68,0)</f>
        <v>0</v>
      </c>
      <c r="D69" s="116">
        <f t="shared" si="13"/>
        <v>0</v>
      </c>
      <c r="E69" s="116">
        <f t="shared" si="13"/>
        <v>0</v>
      </c>
      <c r="F69" s="116">
        <f t="shared" si="13"/>
        <v>0</v>
      </c>
      <c r="G69" s="116">
        <f t="shared" si="13"/>
        <v>0</v>
      </c>
      <c r="H69" s="116">
        <f t="shared" si="13"/>
        <v>0</v>
      </c>
      <c r="I69" s="69"/>
    </row>
    <row r="70" spans="1:9" ht="8.1" customHeight="1" x14ac:dyDescent="0.25">
      <c r="A70" s="70" t="s">
        <v>0</v>
      </c>
      <c r="B70" s="152"/>
      <c r="C70" s="70"/>
      <c r="D70" s="70"/>
      <c r="E70" s="70"/>
      <c r="F70" s="70"/>
      <c r="G70" s="70"/>
      <c r="H70" s="70"/>
      <c r="I70"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100"/>
  <sheetViews>
    <sheetView workbookViewId="0"/>
  </sheetViews>
  <sheetFormatPr defaultColWidth="11.5703125" defaultRowHeight="15" x14ac:dyDescent="0.25"/>
  <cols>
    <col min="1" max="1" width="14.28515625" style="107" customWidth="1"/>
    <col min="2" max="2" width="35.7109375" style="107" customWidth="1"/>
    <col min="3" max="8" width="18.7109375" style="107" customWidth="1"/>
    <col min="9" max="9" width="1.7109375" style="107" customWidth="1"/>
    <col min="10" max="16384" width="11.5703125" style="107"/>
  </cols>
  <sheetData>
    <row r="1" spans="1:9" x14ac:dyDescent="0.25">
      <c r="A1" s="42" t="s">
        <v>0</v>
      </c>
      <c r="B1" s="42" t="s">
        <v>5606</v>
      </c>
      <c r="C1" s="42"/>
      <c r="D1" s="42"/>
      <c r="E1" s="42" t="s">
        <v>0</v>
      </c>
      <c r="F1" s="42" t="s">
        <v>0</v>
      </c>
      <c r="G1" s="42" t="s">
        <v>0</v>
      </c>
      <c r="H1" s="42" t="s">
        <v>0</v>
      </c>
      <c r="I1" s="69" t="s">
        <v>0</v>
      </c>
    </row>
    <row r="2" spans="1:9" ht="33.75" x14ac:dyDescent="0.25">
      <c r="A2" s="121" t="s">
        <v>5597</v>
      </c>
      <c r="B2" s="121" t="s">
        <v>5598</v>
      </c>
      <c r="C2" s="43" t="s">
        <v>5661</v>
      </c>
      <c r="D2" s="45" t="s">
        <v>5662</v>
      </c>
      <c r="E2" s="45" t="s">
        <v>5663</v>
      </c>
      <c r="F2" s="43" t="s">
        <v>886</v>
      </c>
      <c r="G2" s="45" t="s">
        <v>887</v>
      </c>
      <c r="H2" s="45" t="s">
        <v>5664</v>
      </c>
      <c r="I2" s="69" t="s">
        <v>0</v>
      </c>
    </row>
    <row r="3" spans="1:9" x14ac:dyDescent="0.25">
      <c r="A3" s="163"/>
      <c r="B3" s="46" t="s">
        <v>0</v>
      </c>
      <c r="C3" s="18"/>
      <c r="D3" s="18"/>
      <c r="E3" s="18"/>
      <c r="F3" s="18"/>
      <c r="G3" s="18"/>
      <c r="H3" s="18"/>
      <c r="I3" s="69"/>
    </row>
    <row r="4" spans="1:9" x14ac:dyDescent="0.25">
      <c r="A4" s="163"/>
      <c r="B4" s="51" t="s">
        <v>5626</v>
      </c>
      <c r="C4" s="49"/>
      <c r="D4" s="49"/>
      <c r="E4" s="49"/>
      <c r="F4" s="47"/>
      <c r="G4" s="47"/>
      <c r="H4" s="47"/>
      <c r="I4" s="69"/>
    </row>
    <row r="5" spans="1:9" ht="57" x14ac:dyDescent="0.25">
      <c r="A5" s="163"/>
      <c r="B5" s="71" t="s">
        <v>5630</v>
      </c>
      <c r="C5" s="47"/>
      <c r="D5" s="47"/>
      <c r="E5" s="47"/>
      <c r="F5" s="71"/>
      <c r="G5" s="71"/>
      <c r="H5" s="71"/>
      <c r="I5" s="69"/>
    </row>
    <row r="6" spans="1:9" x14ac:dyDescent="0.25">
      <c r="A6" s="163"/>
      <c r="B6" s="160"/>
      <c r="C6" s="47"/>
      <c r="D6" s="47"/>
      <c r="E6" s="47"/>
      <c r="F6" s="47"/>
      <c r="G6" s="47"/>
      <c r="H6" s="47"/>
      <c r="I6" s="69"/>
    </row>
    <row r="7" spans="1:9" x14ac:dyDescent="0.25">
      <c r="A7" s="162" t="s">
        <v>888</v>
      </c>
      <c r="B7" s="153" t="s">
        <v>889</v>
      </c>
      <c r="C7" s="68">
        <f>ROUND('ANEXO 5'!C43,0)</f>
        <v>0</v>
      </c>
      <c r="D7" s="117"/>
      <c r="E7" s="117">
        <f>ROUND(C7-D7,0)</f>
        <v>0</v>
      </c>
      <c r="F7" s="192">
        <f>ROUND('ANEXO 5'!D43,0)</f>
        <v>0</v>
      </c>
      <c r="G7" s="117"/>
      <c r="H7" s="117">
        <f>ROUND(F7-G7,0)</f>
        <v>0</v>
      </c>
      <c r="I7" s="69"/>
    </row>
    <row r="8" spans="1:9" x14ac:dyDescent="0.25">
      <c r="A8" s="162"/>
      <c r="B8" s="153"/>
      <c r="C8" s="20"/>
      <c r="D8" s="20"/>
      <c r="E8" s="20"/>
      <c r="F8" s="20"/>
      <c r="G8" s="20"/>
      <c r="H8" s="20"/>
      <c r="I8" s="69"/>
    </row>
    <row r="9" spans="1:9" x14ac:dyDescent="0.25">
      <c r="A9" s="162"/>
      <c r="B9" s="153" t="s">
        <v>890</v>
      </c>
      <c r="C9" s="20"/>
      <c r="D9" s="20"/>
      <c r="E9" s="20"/>
      <c r="F9" s="20"/>
      <c r="G9" s="20"/>
      <c r="H9" s="20"/>
      <c r="I9" s="69"/>
    </row>
    <row r="10" spans="1:9" x14ac:dyDescent="0.25">
      <c r="A10" s="162"/>
      <c r="B10" s="153"/>
      <c r="C10" s="20"/>
      <c r="D10" s="20"/>
      <c r="E10" s="20"/>
      <c r="F10" s="20"/>
      <c r="G10" s="20"/>
      <c r="H10" s="20"/>
      <c r="I10" s="69"/>
    </row>
    <row r="11" spans="1:9" x14ac:dyDescent="0.25">
      <c r="A11" s="162" t="s">
        <v>891</v>
      </c>
      <c r="B11" s="153" t="s">
        <v>892</v>
      </c>
      <c r="C11" s="68">
        <f>ROUND('ANEXO 6'!C56+'ANEXO 6'!C82,0)</f>
        <v>0</v>
      </c>
      <c r="D11" s="117"/>
      <c r="E11" s="117">
        <f>ROUND(C11-D11,0)</f>
        <v>0</v>
      </c>
      <c r="F11" s="192">
        <f>ROUND('ANEXO 6'!D56+'ANEXO 6'!D82,0)</f>
        <v>0</v>
      </c>
      <c r="G11" s="117"/>
      <c r="H11" s="117">
        <f>ROUND(F11-G11,0)</f>
        <v>0</v>
      </c>
      <c r="I11" s="69"/>
    </row>
    <row r="12" spans="1:9" x14ac:dyDescent="0.25">
      <c r="A12" s="162"/>
      <c r="B12" s="153"/>
      <c r="C12" s="18"/>
      <c r="D12" s="18"/>
      <c r="E12" s="18"/>
      <c r="F12" s="20"/>
      <c r="G12" s="20"/>
      <c r="H12" s="20"/>
      <c r="I12" s="69"/>
    </row>
    <row r="13" spans="1:9" x14ac:dyDescent="0.25">
      <c r="A13" s="162" t="s">
        <v>893</v>
      </c>
      <c r="B13" s="153" t="s">
        <v>894</v>
      </c>
      <c r="C13" s="72">
        <f t="shared" ref="C13:H13" si="0">ROUND(IF(C7-C11&lt;0,-C7+C11, 0),0)</f>
        <v>0</v>
      </c>
      <c r="D13" s="72">
        <f t="shared" si="0"/>
        <v>0</v>
      </c>
      <c r="E13" s="72">
        <f t="shared" si="0"/>
        <v>0</v>
      </c>
      <c r="F13" s="72">
        <f t="shared" si="0"/>
        <v>0</v>
      </c>
      <c r="G13" s="72">
        <f t="shared" si="0"/>
        <v>0</v>
      </c>
      <c r="H13" s="72">
        <f t="shared" si="0"/>
        <v>0</v>
      </c>
      <c r="I13" s="69"/>
    </row>
    <row r="14" spans="1:9" x14ac:dyDescent="0.25">
      <c r="A14" s="162" t="s">
        <v>895</v>
      </c>
      <c r="B14" s="153" t="s">
        <v>896</v>
      </c>
      <c r="C14" s="72">
        <f t="shared" ref="C14:H14" si="1">ROUND(IF(C7-C11&gt;0,C7-C11, 0),0)</f>
        <v>0</v>
      </c>
      <c r="D14" s="72">
        <f t="shared" si="1"/>
        <v>0</v>
      </c>
      <c r="E14" s="72">
        <f t="shared" si="1"/>
        <v>0</v>
      </c>
      <c r="F14" s="72">
        <f t="shared" si="1"/>
        <v>0</v>
      </c>
      <c r="G14" s="72">
        <f t="shared" si="1"/>
        <v>0</v>
      </c>
      <c r="H14" s="72">
        <f t="shared" si="1"/>
        <v>0</v>
      </c>
      <c r="I14" s="69"/>
    </row>
    <row r="15" spans="1:9" x14ac:dyDescent="0.25">
      <c r="A15" s="162"/>
      <c r="B15" s="153"/>
      <c r="C15" s="18"/>
      <c r="D15" s="18"/>
      <c r="E15" s="18"/>
      <c r="F15" s="18"/>
      <c r="G15" s="18"/>
      <c r="H15" s="18"/>
      <c r="I15" s="69"/>
    </row>
    <row r="16" spans="1:9" x14ac:dyDescent="0.25">
      <c r="A16" s="162"/>
      <c r="B16" s="153" t="s">
        <v>890</v>
      </c>
      <c r="C16" s="18"/>
      <c r="D16" s="18"/>
      <c r="E16" s="18"/>
      <c r="F16" s="18"/>
      <c r="G16" s="18"/>
      <c r="H16" s="18"/>
      <c r="I16" s="69"/>
    </row>
    <row r="17" spans="1:9" x14ac:dyDescent="0.25">
      <c r="A17" s="162"/>
      <c r="B17" s="153"/>
      <c r="C17" s="18"/>
      <c r="D17" s="18"/>
      <c r="E17" s="18"/>
      <c r="F17" s="18"/>
      <c r="G17" s="18"/>
      <c r="H17" s="18"/>
      <c r="I17" s="69"/>
    </row>
    <row r="18" spans="1:9" x14ac:dyDescent="0.25">
      <c r="A18" s="162"/>
      <c r="B18" s="154" t="s">
        <v>897</v>
      </c>
      <c r="C18" s="18"/>
      <c r="D18" s="18"/>
      <c r="E18" s="18"/>
      <c r="F18" s="18"/>
      <c r="G18" s="18"/>
      <c r="H18" s="18"/>
      <c r="I18" s="69"/>
    </row>
    <row r="19" spans="1:9" x14ac:dyDescent="0.25">
      <c r="A19" s="162"/>
      <c r="B19" s="153"/>
      <c r="C19" s="18"/>
      <c r="D19" s="18"/>
      <c r="E19" s="18"/>
      <c r="F19" s="18"/>
      <c r="G19" s="18"/>
      <c r="H19" s="18"/>
      <c r="I19" s="69"/>
    </row>
    <row r="20" spans="1:9" x14ac:dyDescent="0.25">
      <c r="A20" s="162" t="s">
        <v>898</v>
      </c>
      <c r="B20" s="153" t="s">
        <v>899</v>
      </c>
      <c r="C20" s="68">
        <f>ROUND('ANEXO 7'!X121,0)</f>
        <v>0</v>
      </c>
      <c r="D20" s="117"/>
      <c r="E20" s="117">
        <f>ROUND(C20-D20,0)</f>
        <v>0</v>
      </c>
      <c r="F20" s="192">
        <f>ROUND('ANEXO 7'!Y121,0)</f>
        <v>0</v>
      </c>
      <c r="G20" s="117"/>
      <c r="H20" s="117">
        <f>ROUND(F20-G20,0)</f>
        <v>0</v>
      </c>
      <c r="I20" s="69"/>
    </row>
    <row r="21" spans="1:9" x14ac:dyDescent="0.25">
      <c r="A21" s="162" t="s">
        <v>900</v>
      </c>
      <c r="B21" s="153" t="s">
        <v>901</v>
      </c>
      <c r="C21" s="68">
        <f>ROUND('ANEXO 7'!Q121,0)</f>
        <v>0</v>
      </c>
      <c r="D21" s="117"/>
      <c r="E21" s="117">
        <f>ROUND(C21-D21,0)</f>
        <v>0</v>
      </c>
      <c r="F21" s="192">
        <f>ROUND('ANEXO 7'!R121,0)</f>
        <v>0</v>
      </c>
      <c r="G21" s="117"/>
      <c r="H21" s="117">
        <f>ROUND(F21-G21,0)</f>
        <v>0</v>
      </c>
      <c r="I21" s="69"/>
    </row>
    <row r="22" spans="1:9" x14ac:dyDescent="0.25">
      <c r="A22" s="162" t="s">
        <v>902</v>
      </c>
      <c r="B22" s="153" t="s">
        <v>903</v>
      </c>
      <c r="C22" s="68">
        <f>ROUND('ANEXO 7'!J121,0)</f>
        <v>0</v>
      </c>
      <c r="D22" s="117"/>
      <c r="E22" s="117">
        <f>ROUND(C22-D22,0)</f>
        <v>0</v>
      </c>
      <c r="F22" s="192">
        <f>ROUND('ANEXO 7'!K121,0)</f>
        <v>0</v>
      </c>
      <c r="G22" s="117"/>
      <c r="H22" s="117">
        <f>ROUND(F22-G22,0)</f>
        <v>0</v>
      </c>
      <c r="I22" s="69"/>
    </row>
    <row r="23" spans="1:9" x14ac:dyDescent="0.25">
      <c r="A23" s="162" t="s">
        <v>904</v>
      </c>
      <c r="B23" s="153" t="s">
        <v>905</v>
      </c>
      <c r="C23" s="54">
        <f t="shared" ref="C23:H23" si="2">ROUND(SUM(C20:C22),0)</f>
        <v>0</v>
      </c>
      <c r="D23" s="54">
        <f t="shared" si="2"/>
        <v>0</v>
      </c>
      <c r="E23" s="54">
        <f t="shared" si="2"/>
        <v>0</v>
      </c>
      <c r="F23" s="54">
        <f t="shared" si="2"/>
        <v>0</v>
      </c>
      <c r="G23" s="54">
        <f t="shared" si="2"/>
        <v>0</v>
      </c>
      <c r="H23" s="54">
        <f t="shared" si="2"/>
        <v>0</v>
      </c>
      <c r="I23" s="69"/>
    </row>
    <row r="24" spans="1:9" x14ac:dyDescent="0.25">
      <c r="A24" s="162"/>
      <c r="B24" s="153"/>
      <c r="C24" s="18"/>
      <c r="D24" s="18"/>
      <c r="E24" s="18"/>
      <c r="F24" s="18"/>
      <c r="G24" s="18"/>
      <c r="H24" s="18"/>
      <c r="I24" s="69"/>
    </row>
    <row r="25" spans="1:9" x14ac:dyDescent="0.25">
      <c r="A25" s="162" t="s">
        <v>906</v>
      </c>
      <c r="B25" s="153" t="s">
        <v>907</v>
      </c>
      <c r="C25" s="72">
        <f t="shared" ref="C25:H25" si="3">ROUND(IF(C14-C13-C23&lt;0,C13-C14+C23, 0),0)</f>
        <v>0</v>
      </c>
      <c r="D25" s="72">
        <f t="shared" si="3"/>
        <v>0</v>
      </c>
      <c r="E25" s="72">
        <f t="shared" si="3"/>
        <v>0</v>
      </c>
      <c r="F25" s="72">
        <f t="shared" si="3"/>
        <v>0</v>
      </c>
      <c r="G25" s="72">
        <f t="shared" si="3"/>
        <v>0</v>
      </c>
      <c r="H25" s="72">
        <f t="shared" si="3"/>
        <v>0</v>
      </c>
      <c r="I25" s="69"/>
    </row>
    <row r="26" spans="1:9" x14ac:dyDescent="0.25">
      <c r="A26" s="162" t="s">
        <v>908</v>
      </c>
      <c r="B26" s="153" t="s">
        <v>909</v>
      </c>
      <c r="C26" s="72">
        <f t="shared" ref="C26:H26" si="4">ROUND(IF(C14-C13-C23&gt;0,-C13+C14-C23, 0),0)</f>
        <v>0</v>
      </c>
      <c r="D26" s="72">
        <f t="shared" si="4"/>
        <v>0</v>
      </c>
      <c r="E26" s="72">
        <f t="shared" si="4"/>
        <v>0</v>
      </c>
      <c r="F26" s="72">
        <f t="shared" si="4"/>
        <v>0</v>
      </c>
      <c r="G26" s="72">
        <f t="shared" si="4"/>
        <v>0</v>
      </c>
      <c r="H26" s="72">
        <f t="shared" si="4"/>
        <v>0</v>
      </c>
      <c r="I26" s="69"/>
    </row>
    <row r="27" spans="1:9" x14ac:dyDescent="0.25">
      <c r="A27" s="162"/>
      <c r="B27" s="153"/>
      <c r="C27" s="18"/>
      <c r="D27" s="18"/>
      <c r="E27" s="18"/>
      <c r="F27" s="18"/>
      <c r="G27" s="18"/>
      <c r="H27" s="18"/>
      <c r="I27" s="69"/>
    </row>
    <row r="28" spans="1:9" x14ac:dyDescent="0.25">
      <c r="A28" s="162"/>
      <c r="B28" s="153" t="s">
        <v>910</v>
      </c>
      <c r="C28" s="18"/>
      <c r="D28" s="18"/>
      <c r="E28" s="18"/>
      <c r="F28" s="18"/>
      <c r="G28" s="18"/>
      <c r="H28" s="18"/>
      <c r="I28" s="69"/>
    </row>
    <row r="29" spans="1:9" x14ac:dyDescent="0.25">
      <c r="A29" s="162"/>
      <c r="B29" s="153"/>
      <c r="C29" s="18"/>
      <c r="D29" s="18"/>
      <c r="E29" s="18"/>
      <c r="F29" s="18"/>
      <c r="G29" s="18"/>
      <c r="H29" s="18"/>
      <c r="I29" s="69"/>
    </row>
    <row r="30" spans="1:9" x14ac:dyDescent="0.25">
      <c r="A30" s="162"/>
      <c r="B30" s="154" t="s">
        <v>911</v>
      </c>
      <c r="C30" s="18"/>
      <c r="D30" s="18"/>
      <c r="E30" s="18"/>
      <c r="F30" s="18"/>
      <c r="G30" s="18"/>
      <c r="H30" s="18"/>
      <c r="I30" s="69"/>
    </row>
    <row r="31" spans="1:9" x14ac:dyDescent="0.25">
      <c r="A31" s="162"/>
      <c r="B31" s="153"/>
      <c r="C31" s="18"/>
      <c r="D31" s="18"/>
      <c r="E31" s="18"/>
      <c r="F31" s="18"/>
      <c r="G31" s="18"/>
      <c r="H31" s="18"/>
      <c r="I31" s="69"/>
    </row>
    <row r="32" spans="1:9" ht="22.5" x14ac:dyDescent="0.25">
      <c r="A32" s="162" t="s">
        <v>912</v>
      </c>
      <c r="B32" s="153" t="s">
        <v>913</v>
      </c>
      <c r="C32" s="117"/>
      <c r="D32" s="117"/>
      <c r="E32" s="117">
        <f>ROUND(C32-D32,0)</f>
        <v>0</v>
      </c>
      <c r="F32" s="117"/>
      <c r="G32" s="117"/>
      <c r="H32" s="117">
        <f>ROUND(F32-G32,0)</f>
        <v>0</v>
      </c>
      <c r="I32" s="69"/>
    </row>
    <row r="33" spans="1:9" ht="22.5" x14ac:dyDescent="0.25">
      <c r="A33" s="162" t="s">
        <v>914</v>
      </c>
      <c r="B33" s="153" t="s">
        <v>915</v>
      </c>
      <c r="C33" s="117"/>
      <c r="D33" s="117"/>
      <c r="E33" s="117">
        <f>ROUND(C33-D33,0)</f>
        <v>0</v>
      </c>
      <c r="F33" s="117"/>
      <c r="G33" s="117"/>
      <c r="H33" s="117">
        <f>ROUND(F33-G33,0)</f>
        <v>0</v>
      </c>
      <c r="I33" s="69"/>
    </row>
    <row r="34" spans="1:9" ht="22.5" x14ac:dyDescent="0.25">
      <c r="A34" s="162" t="s">
        <v>916</v>
      </c>
      <c r="B34" s="153" t="s">
        <v>917</v>
      </c>
      <c r="C34" s="117"/>
      <c r="D34" s="117"/>
      <c r="E34" s="117">
        <f>ROUND(C34-D34,0)</f>
        <v>0</v>
      </c>
      <c r="F34" s="117"/>
      <c r="G34" s="117"/>
      <c r="H34" s="117">
        <f>ROUND(F34-G34,0)</f>
        <v>0</v>
      </c>
      <c r="I34" s="69"/>
    </row>
    <row r="35" spans="1:9" ht="22.5" x14ac:dyDescent="0.25">
      <c r="A35" s="162" t="s">
        <v>918</v>
      </c>
      <c r="B35" s="153" t="s">
        <v>919</v>
      </c>
      <c r="C35" s="117"/>
      <c r="D35" s="117"/>
      <c r="E35" s="117">
        <f>ROUND(C35-D35,0)</f>
        <v>0</v>
      </c>
      <c r="F35" s="117"/>
      <c r="G35" s="117"/>
      <c r="H35" s="117">
        <f>ROUND(F35-G35,0)</f>
        <v>0</v>
      </c>
      <c r="I35" s="69"/>
    </row>
    <row r="36" spans="1:9" x14ac:dyDescent="0.25">
      <c r="A36" s="162" t="s">
        <v>920</v>
      </c>
      <c r="B36" s="153" t="s">
        <v>921</v>
      </c>
      <c r="C36" s="54">
        <f t="shared" ref="C36:H36" si="5">ROUND(SUM(C32:C35),0)</f>
        <v>0</v>
      </c>
      <c r="D36" s="54">
        <f t="shared" si="5"/>
        <v>0</v>
      </c>
      <c r="E36" s="54">
        <f t="shared" si="5"/>
        <v>0</v>
      </c>
      <c r="F36" s="54">
        <f t="shared" si="5"/>
        <v>0</v>
      </c>
      <c r="G36" s="54">
        <f t="shared" si="5"/>
        <v>0</v>
      </c>
      <c r="H36" s="54">
        <f t="shared" si="5"/>
        <v>0</v>
      </c>
      <c r="I36" s="69"/>
    </row>
    <row r="37" spans="1:9" x14ac:dyDescent="0.25">
      <c r="A37" s="162"/>
      <c r="B37" s="153"/>
      <c r="C37" s="18"/>
      <c r="D37" s="18"/>
      <c r="E37" s="18"/>
      <c r="F37" s="18"/>
      <c r="G37" s="18"/>
      <c r="H37" s="18"/>
      <c r="I37" s="69"/>
    </row>
    <row r="38" spans="1:9" x14ac:dyDescent="0.25">
      <c r="A38" s="163"/>
      <c r="B38" s="160"/>
      <c r="C38" s="18"/>
      <c r="D38" s="18"/>
      <c r="E38" s="18"/>
      <c r="F38" s="18"/>
      <c r="G38" s="18"/>
      <c r="H38" s="18"/>
      <c r="I38" s="69"/>
    </row>
    <row r="39" spans="1:9" x14ac:dyDescent="0.25">
      <c r="A39" s="162"/>
      <c r="B39" s="153" t="s">
        <v>922</v>
      </c>
      <c r="C39" s="18"/>
      <c r="D39" s="18"/>
      <c r="E39" s="18"/>
      <c r="F39" s="18"/>
      <c r="G39" s="18"/>
      <c r="H39" s="18"/>
      <c r="I39" s="69"/>
    </row>
    <row r="40" spans="1:9" x14ac:dyDescent="0.25">
      <c r="A40" s="162"/>
      <c r="B40" s="153"/>
      <c r="C40" s="18"/>
      <c r="D40" s="18"/>
      <c r="E40" s="18"/>
      <c r="F40" s="18"/>
      <c r="G40" s="18"/>
      <c r="H40" s="18"/>
      <c r="I40" s="69"/>
    </row>
    <row r="41" spans="1:9" x14ac:dyDescent="0.25">
      <c r="A41" s="162" t="s">
        <v>923</v>
      </c>
      <c r="B41" s="153" t="s">
        <v>924</v>
      </c>
      <c r="C41" s="68">
        <f>ROUND('ANEXO 8'!C20,0)</f>
        <v>0</v>
      </c>
      <c r="D41" s="117"/>
      <c r="E41" s="117">
        <f t="shared" ref="E41:E50" si="6">ROUND(C41-D41,0)</f>
        <v>0</v>
      </c>
      <c r="F41" s="192">
        <f>ROUND('ANEXO 8'!D20,0)</f>
        <v>0</v>
      </c>
      <c r="G41" s="117"/>
      <c r="H41" s="117">
        <f t="shared" ref="H41:H50" si="7">ROUND(F41-G41,0)</f>
        <v>0</v>
      </c>
      <c r="I41" s="69"/>
    </row>
    <row r="42" spans="1:9" x14ac:dyDescent="0.25">
      <c r="A42" s="162" t="s">
        <v>925</v>
      </c>
      <c r="B42" s="153" t="s">
        <v>926</v>
      </c>
      <c r="C42" s="68">
        <f>ROUND('ANEXO 8'!C36,0)</f>
        <v>0</v>
      </c>
      <c r="D42" s="117"/>
      <c r="E42" s="117">
        <f t="shared" si="6"/>
        <v>0</v>
      </c>
      <c r="F42" s="192">
        <f>ROUND('ANEXO 8'!D36,0)</f>
        <v>0</v>
      </c>
      <c r="G42" s="117"/>
      <c r="H42" s="117">
        <f t="shared" si="7"/>
        <v>0</v>
      </c>
      <c r="I42" s="69"/>
    </row>
    <row r="43" spans="1:9" x14ac:dyDescent="0.25">
      <c r="A43" s="162" t="s">
        <v>927</v>
      </c>
      <c r="B43" s="153" t="s">
        <v>928</v>
      </c>
      <c r="C43" s="54">
        <f>ROUND('ANEXO 8'!C42+'ANEXO 8'!C43,0)</f>
        <v>0</v>
      </c>
      <c r="D43" s="117"/>
      <c r="E43" s="117">
        <f t="shared" si="6"/>
        <v>0</v>
      </c>
      <c r="F43" s="192">
        <f>ROUND('ANEXO 8'!D42+'ANEXO 8'!D43,0)</f>
        <v>0</v>
      </c>
      <c r="G43" s="36"/>
      <c r="H43" s="36">
        <f t="shared" si="7"/>
        <v>0</v>
      </c>
      <c r="I43" s="69"/>
    </row>
    <row r="44" spans="1:9" x14ac:dyDescent="0.25">
      <c r="A44" s="162" t="s">
        <v>929</v>
      </c>
      <c r="B44" s="153" t="s">
        <v>930</v>
      </c>
      <c r="C44" s="54">
        <f>ROUND('ANEXO 8'!C40+'ANEXO 8'!C41,0)</f>
        <v>0</v>
      </c>
      <c r="D44" s="117"/>
      <c r="E44" s="117">
        <f t="shared" si="6"/>
        <v>0</v>
      </c>
      <c r="F44" s="192">
        <f>ROUND('ANEXO 8'!D40+'ANEXO 8'!D41,0)</f>
        <v>0</v>
      </c>
      <c r="G44" s="36"/>
      <c r="H44" s="36">
        <f t="shared" si="7"/>
        <v>0</v>
      </c>
      <c r="I44" s="69"/>
    </row>
    <row r="45" spans="1:9" ht="22.5" x14ac:dyDescent="0.25">
      <c r="A45" s="162" t="s">
        <v>931</v>
      </c>
      <c r="B45" s="153" t="s">
        <v>932</v>
      </c>
      <c r="C45" s="54">
        <f>ROUND('ANEXO 8'!C48+'ANEXO 8'!C49,0)</f>
        <v>0</v>
      </c>
      <c r="D45" s="117"/>
      <c r="E45" s="117">
        <f t="shared" si="6"/>
        <v>0</v>
      </c>
      <c r="F45" s="192">
        <f>ROUND('ANEXO 8'!D48+'ANEXO 8'!D49,0)</f>
        <v>0</v>
      </c>
      <c r="G45" s="36"/>
      <c r="H45" s="36">
        <f t="shared" si="7"/>
        <v>0</v>
      </c>
      <c r="I45" s="69"/>
    </row>
    <row r="46" spans="1:9" ht="22.5" x14ac:dyDescent="0.25">
      <c r="A46" s="162" t="s">
        <v>933</v>
      </c>
      <c r="B46" s="153" t="s">
        <v>934</v>
      </c>
      <c r="C46" s="54">
        <f>ROUND('ANEXO 8'!C50+'ANEXO 8'!C51,0)</f>
        <v>0</v>
      </c>
      <c r="D46" s="117"/>
      <c r="E46" s="117">
        <f t="shared" si="6"/>
        <v>0</v>
      </c>
      <c r="F46" s="192">
        <f>ROUND('ANEXO 8'!D50+'ANEXO 8'!D51,0)</f>
        <v>0</v>
      </c>
      <c r="G46" s="36"/>
      <c r="H46" s="36">
        <f t="shared" si="7"/>
        <v>0</v>
      </c>
      <c r="I46" s="69"/>
    </row>
    <row r="47" spans="1:9" ht="22.5" x14ac:dyDescent="0.25">
      <c r="A47" s="162" t="s">
        <v>935</v>
      </c>
      <c r="B47" s="153" t="s">
        <v>936</v>
      </c>
      <c r="C47" s="54">
        <f>ROUND('ANEXO 8'!C56+'ANEXO 8'!C57,0)</f>
        <v>0</v>
      </c>
      <c r="D47" s="117"/>
      <c r="E47" s="117">
        <f t="shared" si="6"/>
        <v>0</v>
      </c>
      <c r="F47" s="192">
        <f>ROUND('ANEXO 8'!D56+'ANEXO 8'!D57,0)</f>
        <v>0</v>
      </c>
      <c r="G47" s="36"/>
      <c r="H47" s="36">
        <f t="shared" si="7"/>
        <v>0</v>
      </c>
      <c r="I47" s="69"/>
    </row>
    <row r="48" spans="1:9" ht="22.5" x14ac:dyDescent="0.25">
      <c r="A48" s="162" t="s">
        <v>937</v>
      </c>
      <c r="B48" s="153" t="s">
        <v>938</v>
      </c>
      <c r="C48" s="54">
        <f>ROUND('ANEXO 8'!C58+'ANEXO 8'!C59,0)</f>
        <v>0</v>
      </c>
      <c r="D48" s="117"/>
      <c r="E48" s="117">
        <f t="shared" si="6"/>
        <v>0</v>
      </c>
      <c r="F48" s="192">
        <f>ROUND('ANEXO 8'!D58+'ANEXO 8'!D59,0)</f>
        <v>0</v>
      </c>
      <c r="G48" s="36"/>
      <c r="H48" s="36">
        <f t="shared" si="7"/>
        <v>0</v>
      </c>
      <c r="I48" s="69"/>
    </row>
    <row r="49" spans="1:9" x14ac:dyDescent="0.25">
      <c r="A49" s="162" t="s">
        <v>939</v>
      </c>
      <c r="B49" s="153" t="s">
        <v>940</v>
      </c>
      <c r="C49" s="54">
        <f>ROUND('ANEXO 8'!C64+'ANEXO 8'!C65,0)</f>
        <v>0</v>
      </c>
      <c r="D49" s="117"/>
      <c r="E49" s="117">
        <f t="shared" si="6"/>
        <v>0</v>
      </c>
      <c r="F49" s="192">
        <f>ROUND('ANEXO 8'!D64+'ANEXO 8'!D65,0)</f>
        <v>0</v>
      </c>
      <c r="G49" s="36"/>
      <c r="H49" s="36">
        <f t="shared" si="7"/>
        <v>0</v>
      </c>
      <c r="I49" s="69"/>
    </row>
    <row r="50" spans="1:9" x14ac:dyDescent="0.25">
      <c r="A50" s="162" t="s">
        <v>941</v>
      </c>
      <c r="B50" s="153" t="s">
        <v>942</v>
      </c>
      <c r="C50" s="54">
        <f>ROUND('ANEXO 8'!C66+'ANEXO 8'!C67,0)</f>
        <v>0</v>
      </c>
      <c r="D50" s="117"/>
      <c r="E50" s="117">
        <f t="shared" si="6"/>
        <v>0</v>
      </c>
      <c r="F50" s="192">
        <f>ROUND('ANEXO 8'!D66+'ANEXO 8'!D67,0)</f>
        <v>0</v>
      </c>
      <c r="G50" s="36"/>
      <c r="H50" s="36">
        <f t="shared" si="7"/>
        <v>0</v>
      </c>
      <c r="I50" s="69"/>
    </row>
    <row r="51" spans="1:9" x14ac:dyDescent="0.25">
      <c r="A51" s="162" t="s">
        <v>943</v>
      </c>
      <c r="B51" s="153" t="s">
        <v>905</v>
      </c>
      <c r="C51" s="116">
        <f t="shared" ref="C51:H51" si="8">ROUND(C41+C43+C45-C42+C44+C46+C47+C48+C49+C50,0)</f>
        <v>0</v>
      </c>
      <c r="D51" s="116">
        <f t="shared" si="8"/>
        <v>0</v>
      </c>
      <c r="E51" s="116">
        <f t="shared" si="8"/>
        <v>0</v>
      </c>
      <c r="F51" s="117">
        <f t="shared" si="8"/>
        <v>0</v>
      </c>
      <c r="G51" s="117">
        <f t="shared" si="8"/>
        <v>0</v>
      </c>
      <c r="H51" s="117">
        <f t="shared" si="8"/>
        <v>0</v>
      </c>
      <c r="I51" s="69"/>
    </row>
    <row r="52" spans="1:9" x14ac:dyDescent="0.25">
      <c r="A52" s="162"/>
      <c r="B52" s="153"/>
      <c r="C52" s="18"/>
      <c r="D52" s="18"/>
      <c r="E52" s="18"/>
      <c r="F52" s="18"/>
      <c r="G52" s="18"/>
      <c r="H52" s="18"/>
      <c r="I52" s="69"/>
    </row>
    <row r="53" spans="1:9" x14ac:dyDescent="0.25">
      <c r="A53" s="162"/>
      <c r="B53" s="153" t="s">
        <v>910</v>
      </c>
      <c r="C53" s="18"/>
      <c r="D53" s="18"/>
      <c r="E53" s="18"/>
      <c r="F53" s="18"/>
      <c r="G53" s="18"/>
      <c r="H53" s="18"/>
      <c r="I53" s="69"/>
    </row>
    <row r="54" spans="1:9" x14ac:dyDescent="0.25">
      <c r="A54" s="162"/>
      <c r="B54" s="153"/>
      <c r="C54" s="18"/>
      <c r="D54" s="18"/>
      <c r="E54" s="18"/>
      <c r="F54" s="18"/>
      <c r="G54" s="18"/>
      <c r="H54" s="18"/>
      <c r="I54" s="69"/>
    </row>
    <row r="55" spans="1:9" ht="22.5" x14ac:dyDescent="0.25">
      <c r="A55" s="162"/>
      <c r="B55" s="153" t="s">
        <v>944</v>
      </c>
      <c r="C55" s="18"/>
      <c r="D55" s="18"/>
      <c r="E55" s="18"/>
      <c r="F55" s="18"/>
      <c r="G55" s="18"/>
      <c r="H55" s="18"/>
      <c r="I55" s="69"/>
    </row>
    <row r="56" spans="1:9" x14ac:dyDescent="0.25">
      <c r="A56" s="162"/>
      <c r="B56" s="153"/>
      <c r="C56" s="18"/>
      <c r="D56" s="18"/>
      <c r="E56" s="18"/>
      <c r="F56" s="18"/>
      <c r="G56" s="18"/>
      <c r="H56" s="18"/>
      <c r="I56" s="69"/>
    </row>
    <row r="57" spans="1:9" ht="45" x14ac:dyDescent="0.25">
      <c r="A57" s="162" t="s">
        <v>945</v>
      </c>
      <c r="B57" s="153" t="s">
        <v>946</v>
      </c>
      <c r="C57" s="72"/>
      <c r="D57" s="72"/>
      <c r="E57" s="72">
        <f>ROUND(C57-D57,0)</f>
        <v>0</v>
      </c>
      <c r="F57" s="72"/>
      <c r="G57" s="72"/>
      <c r="H57" s="72">
        <f>ROUND(F57-G57,0)</f>
        <v>0</v>
      </c>
      <c r="I57" s="69"/>
    </row>
    <row r="58" spans="1:9" ht="45" x14ac:dyDescent="0.25">
      <c r="A58" s="162" t="s">
        <v>947</v>
      </c>
      <c r="B58" s="153" t="s">
        <v>948</v>
      </c>
      <c r="C58" s="72"/>
      <c r="D58" s="72"/>
      <c r="E58" s="72">
        <f>ROUND(C58-D58,0)</f>
        <v>0</v>
      </c>
      <c r="F58" s="72"/>
      <c r="G58" s="72"/>
      <c r="H58" s="72">
        <f>ROUND(F58-G58,0)</f>
        <v>0</v>
      </c>
      <c r="I58" s="69"/>
    </row>
    <row r="59" spans="1:9" x14ac:dyDescent="0.25">
      <c r="A59" s="162"/>
      <c r="B59" s="153"/>
      <c r="C59" s="18"/>
      <c r="D59" s="18"/>
      <c r="E59" s="18"/>
      <c r="F59" s="18"/>
      <c r="G59" s="18"/>
      <c r="H59" s="18"/>
      <c r="I59" s="69"/>
    </row>
    <row r="60" spans="1:9" x14ac:dyDescent="0.25">
      <c r="A60" s="162" t="s">
        <v>949</v>
      </c>
      <c r="B60" s="153" t="s">
        <v>950</v>
      </c>
      <c r="C60" s="73">
        <f t="shared" ref="C60:H60" si="9">ROUND(IF(C26-C25+C36+C51-C57+C58&lt;0,C25-C26-C36-C51+C57-C58, 0),0)</f>
        <v>0</v>
      </c>
      <c r="D60" s="72">
        <f t="shared" si="9"/>
        <v>0</v>
      </c>
      <c r="E60" s="72">
        <f t="shared" si="9"/>
        <v>0</v>
      </c>
      <c r="F60" s="72">
        <f t="shared" si="9"/>
        <v>0</v>
      </c>
      <c r="G60" s="72">
        <f t="shared" si="9"/>
        <v>0</v>
      </c>
      <c r="H60" s="72">
        <f t="shared" si="9"/>
        <v>0</v>
      </c>
      <c r="I60" s="69"/>
    </row>
    <row r="61" spans="1:9" x14ac:dyDescent="0.25">
      <c r="A61" s="162" t="s">
        <v>951</v>
      </c>
      <c r="B61" s="153" t="s">
        <v>952</v>
      </c>
      <c r="C61" s="73">
        <f t="shared" ref="C61:H61" si="10">ROUND(IF(C26-C25+C36+C51-C57+C58&gt;0,C26-C25+C36+C51-C57+C58, 0),0)</f>
        <v>0</v>
      </c>
      <c r="D61" s="72">
        <f t="shared" si="10"/>
        <v>0</v>
      </c>
      <c r="E61" s="72">
        <f t="shared" si="10"/>
        <v>0</v>
      </c>
      <c r="F61" s="72">
        <f t="shared" si="10"/>
        <v>0</v>
      </c>
      <c r="G61" s="72">
        <f t="shared" si="10"/>
        <v>0</v>
      </c>
      <c r="H61" s="72">
        <f t="shared" si="10"/>
        <v>0</v>
      </c>
      <c r="I61" s="69"/>
    </row>
    <row r="62" spans="1:9" x14ac:dyDescent="0.25">
      <c r="A62" s="162"/>
      <c r="B62" s="153"/>
      <c r="C62" s="18"/>
      <c r="D62" s="18"/>
      <c r="E62" s="18"/>
      <c r="F62" s="18"/>
      <c r="G62" s="18"/>
      <c r="H62" s="18"/>
      <c r="I62" s="69"/>
    </row>
    <row r="63" spans="1:9" x14ac:dyDescent="0.25">
      <c r="A63" s="162"/>
      <c r="B63" s="153" t="s">
        <v>890</v>
      </c>
      <c r="C63" s="18"/>
      <c r="D63" s="18"/>
      <c r="E63" s="18"/>
      <c r="F63" s="18"/>
      <c r="G63" s="18"/>
      <c r="H63" s="18"/>
      <c r="I63" s="69"/>
    </row>
    <row r="64" spans="1:9" x14ac:dyDescent="0.25">
      <c r="A64" s="162"/>
      <c r="B64" s="153"/>
      <c r="C64" s="18"/>
      <c r="D64" s="18"/>
      <c r="E64" s="18"/>
      <c r="F64" s="18"/>
      <c r="G64" s="18"/>
      <c r="H64" s="18"/>
      <c r="I64" s="69"/>
    </row>
    <row r="65" spans="1:9" x14ac:dyDescent="0.25">
      <c r="A65" s="162"/>
      <c r="B65" s="153" t="s">
        <v>953</v>
      </c>
      <c r="C65" s="18"/>
      <c r="D65" s="18"/>
      <c r="E65" s="18"/>
      <c r="F65" s="18"/>
      <c r="G65" s="18"/>
      <c r="H65" s="18"/>
      <c r="I65" s="69"/>
    </row>
    <row r="66" spans="1:9" x14ac:dyDescent="0.25">
      <c r="A66" s="162"/>
      <c r="B66" s="153"/>
      <c r="C66" s="18"/>
      <c r="D66" s="18"/>
      <c r="E66" s="18"/>
      <c r="F66" s="18"/>
      <c r="G66" s="18"/>
      <c r="H66" s="18"/>
      <c r="I66" s="69"/>
    </row>
    <row r="67" spans="1:9" x14ac:dyDescent="0.25">
      <c r="A67" s="162" t="s">
        <v>954</v>
      </c>
      <c r="B67" s="153" t="s">
        <v>775</v>
      </c>
      <c r="C67" s="116"/>
      <c r="D67" s="116"/>
      <c r="E67" s="116">
        <f>ROUND(C67-D67,0)</f>
        <v>0</v>
      </c>
      <c r="F67" s="116"/>
      <c r="G67" s="116"/>
      <c r="H67" s="116">
        <f>ROUND(F67-G67,0)</f>
        <v>0</v>
      </c>
      <c r="I67" s="69"/>
    </row>
    <row r="68" spans="1:9" x14ac:dyDescent="0.25">
      <c r="A68" s="162" t="s">
        <v>955</v>
      </c>
      <c r="B68" s="153" t="s">
        <v>737</v>
      </c>
      <c r="C68" s="116"/>
      <c r="D68" s="116"/>
      <c r="E68" s="116">
        <f>ROUND(C68-D68,0)</f>
        <v>0</v>
      </c>
      <c r="F68" s="117"/>
      <c r="G68" s="117"/>
      <c r="H68" s="117">
        <f>ROUND(F68-G68,0)</f>
        <v>0</v>
      </c>
      <c r="I68" s="69"/>
    </row>
    <row r="69" spans="1:9" x14ac:dyDescent="0.25">
      <c r="A69" s="162" t="s">
        <v>956</v>
      </c>
      <c r="B69" s="153" t="s">
        <v>957</v>
      </c>
      <c r="C69" s="52"/>
      <c r="D69" s="52"/>
      <c r="E69" s="52"/>
      <c r="F69" s="52"/>
      <c r="G69" s="52"/>
      <c r="H69" s="52"/>
      <c r="I69" s="69"/>
    </row>
    <row r="70" spans="1:9" x14ac:dyDescent="0.25">
      <c r="A70" s="162" t="s">
        <v>958</v>
      </c>
      <c r="B70" s="153" t="s">
        <v>905</v>
      </c>
      <c r="C70" s="116">
        <f t="shared" ref="C70:H70" si="11">ROUND(SUM(C67:C68)+C69,0)</f>
        <v>0</v>
      </c>
      <c r="D70" s="116">
        <f t="shared" si="11"/>
        <v>0</v>
      </c>
      <c r="E70" s="116">
        <f t="shared" si="11"/>
        <v>0</v>
      </c>
      <c r="F70" s="117">
        <f t="shared" si="11"/>
        <v>0</v>
      </c>
      <c r="G70" s="117">
        <f t="shared" si="11"/>
        <v>0</v>
      </c>
      <c r="H70" s="117">
        <f t="shared" si="11"/>
        <v>0</v>
      </c>
      <c r="I70" s="69"/>
    </row>
    <row r="71" spans="1:9" x14ac:dyDescent="0.25">
      <c r="A71" s="162"/>
      <c r="B71" s="153"/>
      <c r="C71" s="18"/>
      <c r="D71" s="18"/>
      <c r="E71" s="18"/>
      <c r="F71" s="18"/>
      <c r="G71" s="18"/>
      <c r="H71" s="18"/>
      <c r="I71" s="69"/>
    </row>
    <row r="72" spans="1:9" x14ac:dyDescent="0.25">
      <c r="A72" s="162"/>
      <c r="B72" s="153" t="s">
        <v>910</v>
      </c>
      <c r="C72" s="18"/>
      <c r="D72" s="18"/>
      <c r="E72" s="18"/>
      <c r="F72" s="18"/>
      <c r="G72" s="18"/>
      <c r="H72" s="18"/>
      <c r="I72" s="69"/>
    </row>
    <row r="73" spans="1:9" x14ac:dyDescent="0.25">
      <c r="A73" s="162"/>
      <c r="B73" s="153"/>
      <c r="C73" s="20"/>
      <c r="D73" s="20"/>
      <c r="E73" s="20"/>
      <c r="F73" s="20"/>
      <c r="G73" s="20"/>
      <c r="H73" s="20"/>
      <c r="I73" s="69"/>
    </row>
    <row r="74" spans="1:9" x14ac:dyDescent="0.25">
      <c r="A74" s="162" t="s">
        <v>959</v>
      </c>
      <c r="B74" s="153" t="s">
        <v>859</v>
      </c>
      <c r="C74" s="73">
        <f t="shared" ref="C74:H74" si="12">IF(C61-C60-C70&lt;0,C60-C61+C70,0)</f>
        <v>0</v>
      </c>
      <c r="D74" s="72">
        <f t="shared" si="12"/>
        <v>0</v>
      </c>
      <c r="E74" s="72">
        <f t="shared" si="12"/>
        <v>0</v>
      </c>
      <c r="F74" s="72">
        <f t="shared" si="12"/>
        <v>0</v>
      </c>
      <c r="G74" s="72">
        <f t="shared" si="12"/>
        <v>0</v>
      </c>
      <c r="H74" s="72">
        <f t="shared" si="12"/>
        <v>0</v>
      </c>
      <c r="I74" s="69"/>
    </row>
    <row r="75" spans="1:9" x14ac:dyDescent="0.25">
      <c r="A75" s="162" t="s">
        <v>960</v>
      </c>
      <c r="B75" s="153" t="s">
        <v>961</v>
      </c>
      <c r="C75" s="73">
        <f t="shared" ref="C75:H75" si="13">IF(C61-C60-C70&gt;0,C61-C60-C70,0)</f>
        <v>0</v>
      </c>
      <c r="D75" s="72">
        <f t="shared" si="13"/>
        <v>0</v>
      </c>
      <c r="E75" s="72">
        <f t="shared" si="13"/>
        <v>0</v>
      </c>
      <c r="F75" s="72">
        <f t="shared" si="13"/>
        <v>0</v>
      </c>
      <c r="G75" s="72">
        <f t="shared" si="13"/>
        <v>0</v>
      </c>
      <c r="H75" s="72">
        <f t="shared" si="13"/>
        <v>0</v>
      </c>
      <c r="I75" s="69"/>
    </row>
    <row r="76" spans="1:9" x14ac:dyDescent="0.25">
      <c r="A76" s="162"/>
      <c r="B76" s="153"/>
      <c r="C76" s="18"/>
      <c r="D76" s="18"/>
      <c r="E76" s="18"/>
      <c r="F76" s="18"/>
      <c r="G76" s="18"/>
      <c r="H76" s="18"/>
      <c r="I76" s="69"/>
    </row>
    <row r="77" spans="1:9" x14ac:dyDescent="0.25">
      <c r="A77" s="162"/>
      <c r="B77" s="153" t="s">
        <v>910</v>
      </c>
      <c r="C77" s="18"/>
      <c r="D77" s="18"/>
      <c r="E77" s="18"/>
      <c r="F77" s="18"/>
      <c r="G77" s="18"/>
      <c r="H77" s="18"/>
      <c r="I77" s="69"/>
    </row>
    <row r="78" spans="1:9" x14ac:dyDescent="0.25">
      <c r="A78" s="162"/>
      <c r="B78" s="153"/>
      <c r="C78" s="18"/>
      <c r="D78" s="18"/>
      <c r="E78" s="18"/>
      <c r="F78" s="18"/>
      <c r="G78" s="18"/>
      <c r="H78" s="18"/>
      <c r="I78" s="69"/>
    </row>
    <row r="79" spans="1:9" x14ac:dyDescent="0.25">
      <c r="A79" s="162"/>
      <c r="B79" s="153" t="s">
        <v>962</v>
      </c>
      <c r="C79" s="18"/>
      <c r="D79" s="18"/>
      <c r="E79" s="18"/>
      <c r="F79" s="18"/>
      <c r="G79" s="18"/>
      <c r="H79" s="18"/>
      <c r="I79" s="69"/>
    </row>
    <row r="80" spans="1:9" x14ac:dyDescent="0.25">
      <c r="A80" s="162"/>
      <c r="B80" s="153"/>
      <c r="C80" s="18"/>
      <c r="D80" s="18"/>
      <c r="E80" s="18"/>
      <c r="F80" s="18"/>
      <c r="G80" s="18"/>
      <c r="H80" s="18"/>
      <c r="I80" s="69"/>
    </row>
    <row r="81" spans="1:9" ht="22.5" x14ac:dyDescent="0.25">
      <c r="A81" s="162" t="s">
        <v>963</v>
      </c>
      <c r="B81" s="153" t="s">
        <v>5410</v>
      </c>
      <c r="C81" s="117"/>
      <c r="D81" s="117"/>
      <c r="E81" s="117">
        <f t="shared" ref="E81:E90" si="14">ROUND(C81-D81,0)</f>
        <v>0</v>
      </c>
      <c r="F81" s="117"/>
      <c r="G81" s="117"/>
      <c r="H81" s="117">
        <f t="shared" ref="H81:H90" si="15">ROUND(F81-G81,0)</f>
        <v>0</v>
      </c>
      <c r="I81" s="69"/>
    </row>
    <row r="82" spans="1:9" ht="33.75" x14ac:dyDescent="0.25">
      <c r="A82" s="162" t="s">
        <v>964</v>
      </c>
      <c r="B82" s="153" t="s">
        <v>5411</v>
      </c>
      <c r="C82" s="117"/>
      <c r="D82" s="117"/>
      <c r="E82" s="117">
        <f t="shared" si="14"/>
        <v>0</v>
      </c>
      <c r="F82" s="117"/>
      <c r="G82" s="117"/>
      <c r="H82" s="117">
        <f t="shared" si="15"/>
        <v>0</v>
      </c>
      <c r="I82" s="69"/>
    </row>
    <row r="83" spans="1:9" ht="22.5" x14ac:dyDescent="0.25">
      <c r="A83" s="162" t="s">
        <v>965</v>
      </c>
      <c r="B83" s="153" t="s">
        <v>966</v>
      </c>
      <c r="C83" s="117"/>
      <c r="D83" s="117"/>
      <c r="E83" s="117">
        <f t="shared" si="14"/>
        <v>0</v>
      </c>
      <c r="F83" s="117"/>
      <c r="G83" s="117"/>
      <c r="H83" s="117">
        <f t="shared" si="15"/>
        <v>0</v>
      </c>
      <c r="I83" s="69"/>
    </row>
    <row r="84" spans="1:9" ht="22.5" x14ac:dyDescent="0.25">
      <c r="A84" s="162" t="s">
        <v>967</v>
      </c>
      <c r="B84" s="153" t="s">
        <v>968</v>
      </c>
      <c r="C84" s="117"/>
      <c r="D84" s="117"/>
      <c r="E84" s="117">
        <f t="shared" si="14"/>
        <v>0</v>
      </c>
      <c r="F84" s="117"/>
      <c r="G84" s="117"/>
      <c r="H84" s="117">
        <f t="shared" si="15"/>
        <v>0</v>
      </c>
      <c r="I84" s="69"/>
    </row>
    <row r="85" spans="1:9" ht="33.75" x14ac:dyDescent="0.25">
      <c r="A85" s="162" t="s">
        <v>969</v>
      </c>
      <c r="B85" s="153" t="s">
        <v>970</v>
      </c>
      <c r="C85" s="117"/>
      <c r="D85" s="117"/>
      <c r="E85" s="117">
        <f t="shared" si="14"/>
        <v>0</v>
      </c>
      <c r="F85" s="117"/>
      <c r="G85" s="117"/>
      <c r="H85" s="117">
        <f t="shared" si="15"/>
        <v>0</v>
      </c>
      <c r="I85" s="69"/>
    </row>
    <row r="86" spans="1:9" ht="33.75" x14ac:dyDescent="0.25">
      <c r="A86" s="162" t="s">
        <v>971</v>
      </c>
      <c r="B86" s="153" t="s">
        <v>972</v>
      </c>
      <c r="C86" s="117"/>
      <c r="D86" s="117"/>
      <c r="E86" s="117">
        <f t="shared" si="14"/>
        <v>0</v>
      </c>
      <c r="F86" s="117"/>
      <c r="G86" s="117"/>
      <c r="H86" s="117">
        <f t="shared" si="15"/>
        <v>0</v>
      </c>
      <c r="I86" s="69"/>
    </row>
    <row r="87" spans="1:9" ht="22.5" x14ac:dyDescent="0.25">
      <c r="A87" s="162" t="s">
        <v>973</v>
      </c>
      <c r="B87" s="153" t="s">
        <v>5421</v>
      </c>
      <c r="C87" s="117"/>
      <c r="D87" s="117"/>
      <c r="E87" s="117">
        <f t="shared" si="14"/>
        <v>0</v>
      </c>
      <c r="F87" s="117"/>
      <c r="G87" s="117"/>
      <c r="H87" s="117">
        <f t="shared" si="15"/>
        <v>0</v>
      </c>
      <c r="I87" s="69"/>
    </row>
    <row r="88" spans="1:9" ht="33.75" x14ac:dyDescent="0.25">
      <c r="A88" s="162" t="s">
        <v>974</v>
      </c>
      <c r="B88" s="153" t="s">
        <v>5412</v>
      </c>
      <c r="C88" s="117"/>
      <c r="D88" s="117"/>
      <c r="E88" s="117">
        <f t="shared" si="14"/>
        <v>0</v>
      </c>
      <c r="F88" s="117"/>
      <c r="G88" s="117"/>
      <c r="H88" s="117">
        <f t="shared" si="15"/>
        <v>0</v>
      </c>
      <c r="I88" s="69"/>
    </row>
    <row r="89" spans="1:9" ht="22.5" x14ac:dyDescent="0.25">
      <c r="A89" s="162" t="s">
        <v>975</v>
      </c>
      <c r="B89" s="153" t="s">
        <v>976</v>
      </c>
      <c r="C89" s="117"/>
      <c r="D89" s="117"/>
      <c r="E89" s="117">
        <f t="shared" si="14"/>
        <v>0</v>
      </c>
      <c r="F89" s="117"/>
      <c r="G89" s="117"/>
      <c r="H89" s="117">
        <f t="shared" si="15"/>
        <v>0</v>
      </c>
      <c r="I89" s="69"/>
    </row>
    <row r="90" spans="1:9" x14ac:dyDescent="0.25">
      <c r="A90" s="162" t="s">
        <v>977</v>
      </c>
      <c r="B90" s="153" t="s">
        <v>978</v>
      </c>
      <c r="C90" s="117"/>
      <c r="D90" s="117"/>
      <c r="E90" s="117">
        <f t="shared" si="14"/>
        <v>0</v>
      </c>
      <c r="F90" s="117"/>
      <c r="G90" s="117"/>
      <c r="H90" s="117">
        <f t="shared" si="15"/>
        <v>0</v>
      </c>
      <c r="I90" s="69"/>
    </row>
    <row r="91" spans="1:9" x14ac:dyDescent="0.25">
      <c r="A91" s="162" t="s">
        <v>979</v>
      </c>
      <c r="B91" s="153" t="s">
        <v>638</v>
      </c>
      <c r="C91" s="52"/>
      <c r="D91" s="52"/>
      <c r="E91" s="52"/>
      <c r="F91" s="52"/>
      <c r="G91" s="52"/>
      <c r="H91" s="52"/>
      <c r="I91" s="69"/>
    </row>
    <row r="92" spans="1:9" x14ac:dyDescent="0.25">
      <c r="A92" s="162" t="s">
        <v>980</v>
      </c>
      <c r="B92" s="153" t="s">
        <v>981</v>
      </c>
      <c r="C92" s="54">
        <f t="shared" ref="C92:H92" si="16">ROUND(SUM(C81:C91),0)</f>
        <v>0</v>
      </c>
      <c r="D92" s="54">
        <f t="shared" si="16"/>
        <v>0</v>
      </c>
      <c r="E92" s="54">
        <f t="shared" si="16"/>
        <v>0</v>
      </c>
      <c r="F92" s="54">
        <f t="shared" si="16"/>
        <v>0</v>
      </c>
      <c r="G92" s="54">
        <f t="shared" si="16"/>
        <v>0</v>
      </c>
      <c r="H92" s="54">
        <f t="shared" si="16"/>
        <v>0</v>
      </c>
      <c r="I92" s="69"/>
    </row>
    <row r="93" spans="1:9" x14ac:dyDescent="0.25">
      <c r="A93" s="162"/>
      <c r="B93" s="153"/>
      <c r="C93" s="20"/>
      <c r="D93" s="20"/>
      <c r="E93" s="20"/>
      <c r="F93" s="20"/>
      <c r="G93" s="20"/>
      <c r="H93" s="20"/>
      <c r="I93" s="69"/>
    </row>
    <row r="94" spans="1:9" x14ac:dyDescent="0.25">
      <c r="A94" s="162" t="s">
        <v>982</v>
      </c>
      <c r="B94" s="153" t="s">
        <v>983</v>
      </c>
      <c r="C94" s="117">
        <f t="shared" ref="C94:H94" si="17">IF(C75-C74+C92&lt;0,(C74-C75+C92)*-1,0)</f>
        <v>0</v>
      </c>
      <c r="D94" s="117">
        <f t="shared" si="17"/>
        <v>0</v>
      </c>
      <c r="E94" s="117">
        <f t="shared" si="17"/>
        <v>0</v>
      </c>
      <c r="F94" s="117">
        <f t="shared" si="17"/>
        <v>0</v>
      </c>
      <c r="G94" s="117">
        <f t="shared" si="17"/>
        <v>0</v>
      </c>
      <c r="H94" s="117">
        <f t="shared" si="17"/>
        <v>0</v>
      </c>
      <c r="I94" s="69"/>
    </row>
    <row r="95" spans="1:9" x14ac:dyDescent="0.25">
      <c r="A95" s="162" t="s">
        <v>984</v>
      </c>
      <c r="B95" s="153" t="s">
        <v>985</v>
      </c>
      <c r="C95" s="117">
        <f t="shared" ref="C95:H95" si="18">IF(C75-C74+C92&gt;0,C75-C74+C92,0)</f>
        <v>0</v>
      </c>
      <c r="D95" s="117">
        <f t="shared" si="18"/>
        <v>0</v>
      </c>
      <c r="E95" s="117">
        <f t="shared" si="18"/>
        <v>0</v>
      </c>
      <c r="F95" s="117">
        <f t="shared" si="18"/>
        <v>0</v>
      </c>
      <c r="G95" s="117">
        <f t="shared" si="18"/>
        <v>0</v>
      </c>
      <c r="H95" s="117">
        <f t="shared" si="18"/>
        <v>0</v>
      </c>
      <c r="I95" s="69"/>
    </row>
    <row r="96" spans="1:9" x14ac:dyDescent="0.25">
      <c r="A96" s="162"/>
      <c r="B96" s="153"/>
      <c r="C96" s="20"/>
      <c r="D96" s="20"/>
      <c r="E96" s="20"/>
      <c r="F96" s="20"/>
      <c r="G96" s="20"/>
      <c r="H96" s="20"/>
      <c r="I96" s="69"/>
    </row>
    <row r="97" spans="1:9" x14ac:dyDescent="0.25">
      <c r="A97" s="162" t="s">
        <v>986</v>
      </c>
      <c r="B97" s="153" t="s">
        <v>5692</v>
      </c>
      <c r="C97" s="74"/>
      <c r="D97" s="74"/>
      <c r="E97" s="74"/>
      <c r="F97" s="74"/>
      <c r="G97" s="74"/>
      <c r="H97" s="74"/>
      <c r="I97" s="69"/>
    </row>
    <row r="98" spans="1:9" x14ac:dyDescent="0.25">
      <c r="A98" s="163"/>
      <c r="B98" s="160"/>
      <c r="C98" s="20"/>
      <c r="D98" s="20"/>
      <c r="E98" s="20"/>
      <c r="F98" s="20"/>
      <c r="G98" s="20"/>
      <c r="H98" s="20"/>
      <c r="I98" s="69"/>
    </row>
    <row r="99" spans="1:9" ht="23.25" x14ac:dyDescent="0.25">
      <c r="A99" s="163"/>
      <c r="B99" s="174" t="s">
        <v>885</v>
      </c>
      <c r="C99" s="20"/>
      <c r="D99" s="20"/>
      <c r="E99" s="20"/>
      <c r="F99" s="20"/>
      <c r="G99" s="20"/>
      <c r="H99" s="20"/>
      <c r="I99" s="69"/>
    </row>
    <row r="100" spans="1:9" ht="8.1" customHeight="1" x14ac:dyDescent="0.25">
      <c r="A100" s="152"/>
      <c r="B100" s="152"/>
      <c r="C100" s="70"/>
      <c r="D100" s="70"/>
      <c r="E100" s="70"/>
      <c r="F100" s="70"/>
      <c r="G100" s="70"/>
      <c r="H100" s="70"/>
      <c r="I100"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O184"/>
  <sheetViews>
    <sheetView zoomScaleNormal="100" workbookViewId="0"/>
  </sheetViews>
  <sheetFormatPr defaultColWidth="11.5703125" defaultRowHeight="15" x14ac:dyDescent="0.25"/>
  <cols>
    <col min="1" max="1" width="14.28515625" style="107" customWidth="1"/>
    <col min="2" max="2" width="35.7109375" style="107" customWidth="1"/>
    <col min="3" max="7" width="18.7109375" style="107" customWidth="1"/>
    <col min="8" max="10" width="40.7109375" style="107" customWidth="1"/>
    <col min="11" max="11" width="18.7109375" style="107" customWidth="1"/>
    <col min="12" max="13" width="40.7109375" style="107" customWidth="1"/>
    <col min="14" max="14" width="18.7109375" style="107" customWidth="1"/>
    <col min="15" max="15" width="1.7109375" style="107" customWidth="1"/>
    <col min="16" max="16384" width="11.5703125" style="107"/>
  </cols>
  <sheetData>
    <row r="1" spans="1:15" ht="22.5" x14ac:dyDescent="0.25">
      <c r="A1" s="42" t="s">
        <v>0</v>
      </c>
      <c r="B1" s="76" t="s">
        <v>5607</v>
      </c>
      <c r="C1" s="42"/>
      <c r="D1" s="42"/>
      <c r="E1" s="42" t="s">
        <v>0</v>
      </c>
      <c r="F1" s="42" t="s">
        <v>0</v>
      </c>
      <c r="G1" s="42" t="s">
        <v>0</v>
      </c>
      <c r="H1" s="42" t="s">
        <v>0</v>
      </c>
      <c r="I1" s="42" t="s">
        <v>0</v>
      </c>
      <c r="J1" s="42" t="s">
        <v>0</v>
      </c>
      <c r="K1" s="42" t="s">
        <v>0</v>
      </c>
      <c r="L1" s="42" t="s">
        <v>0</v>
      </c>
      <c r="M1" s="42" t="s">
        <v>0</v>
      </c>
      <c r="N1" s="42" t="s">
        <v>0</v>
      </c>
      <c r="O1" s="69" t="s">
        <v>0</v>
      </c>
    </row>
    <row r="2" spans="1:15" ht="67.5" x14ac:dyDescent="0.25">
      <c r="A2" s="121" t="s">
        <v>5597</v>
      </c>
      <c r="B2" s="121" t="s">
        <v>5598</v>
      </c>
      <c r="C2" s="45" t="s">
        <v>1966</v>
      </c>
      <c r="D2" s="45" t="s">
        <v>1967</v>
      </c>
      <c r="E2" s="45" t="s">
        <v>1968</v>
      </c>
      <c r="F2" s="45" t="s">
        <v>1969</v>
      </c>
      <c r="G2" s="45" t="s">
        <v>1970</v>
      </c>
      <c r="H2" s="45" t="s">
        <v>1971</v>
      </c>
      <c r="I2" s="45" t="s">
        <v>1972</v>
      </c>
      <c r="J2" s="45" t="s">
        <v>1973</v>
      </c>
      <c r="K2" s="45" t="s">
        <v>1974</v>
      </c>
      <c r="L2" s="45" t="s">
        <v>1975</v>
      </c>
      <c r="M2" s="45" t="s">
        <v>1976</v>
      </c>
      <c r="N2" s="45" t="s">
        <v>1977</v>
      </c>
      <c r="O2" s="69" t="s">
        <v>0</v>
      </c>
    </row>
    <row r="3" spans="1:15" x14ac:dyDescent="0.25">
      <c r="A3" s="163"/>
      <c r="B3" s="46" t="s">
        <v>0</v>
      </c>
      <c r="C3" s="47"/>
      <c r="D3" s="47"/>
      <c r="E3" s="47"/>
      <c r="F3" s="47"/>
      <c r="G3" s="47"/>
      <c r="H3" s="47"/>
      <c r="I3" s="47"/>
      <c r="J3" s="47"/>
      <c r="K3" s="47"/>
      <c r="L3" s="47"/>
      <c r="M3" s="47"/>
      <c r="N3" s="47"/>
      <c r="O3" s="69"/>
    </row>
    <row r="4" spans="1:15" x14ac:dyDescent="0.25">
      <c r="A4" s="163"/>
      <c r="B4" s="48" t="s">
        <v>5626</v>
      </c>
      <c r="C4" s="47"/>
      <c r="D4" s="47"/>
      <c r="E4" s="47"/>
      <c r="F4" s="47"/>
      <c r="G4" s="47"/>
      <c r="H4" s="47"/>
      <c r="I4" s="47"/>
      <c r="J4" s="47"/>
      <c r="K4" s="47"/>
      <c r="L4" s="47"/>
      <c r="M4" s="47"/>
      <c r="N4" s="47"/>
      <c r="O4" s="69"/>
    </row>
    <row r="5" spans="1:15" x14ac:dyDescent="0.25">
      <c r="A5" s="163"/>
      <c r="B5" s="27" t="s">
        <v>0</v>
      </c>
      <c r="C5" s="47"/>
      <c r="D5" s="47"/>
      <c r="E5" s="47"/>
      <c r="F5" s="47"/>
      <c r="G5" s="47"/>
      <c r="H5" s="47"/>
      <c r="I5" s="47"/>
      <c r="J5" s="47"/>
      <c r="K5" s="47"/>
      <c r="L5" s="47"/>
      <c r="M5" s="47"/>
      <c r="N5" s="47"/>
      <c r="O5" s="69"/>
    </row>
    <row r="6" spans="1:15" ht="22.5" x14ac:dyDescent="0.25">
      <c r="A6" s="163"/>
      <c r="B6" s="129" t="s">
        <v>5631</v>
      </c>
      <c r="C6" s="47"/>
      <c r="D6" s="47"/>
      <c r="E6" s="47"/>
      <c r="F6" s="47"/>
      <c r="G6" s="47"/>
      <c r="H6" s="47"/>
      <c r="I6" s="47"/>
      <c r="J6" s="47"/>
      <c r="K6" s="47"/>
      <c r="L6" s="47"/>
      <c r="M6" s="47"/>
      <c r="N6" s="47"/>
      <c r="O6" s="69"/>
    </row>
    <row r="7" spans="1:15" x14ac:dyDescent="0.25">
      <c r="A7" s="163"/>
      <c r="B7" s="160"/>
      <c r="C7" s="47"/>
      <c r="D7" s="47"/>
      <c r="E7" s="47"/>
      <c r="F7" s="47"/>
      <c r="G7" s="47"/>
      <c r="H7" s="47"/>
      <c r="I7" s="47"/>
      <c r="J7" s="47"/>
      <c r="K7" s="47"/>
      <c r="L7" s="47"/>
      <c r="M7" s="47"/>
      <c r="N7" s="47"/>
      <c r="O7" s="69"/>
    </row>
    <row r="8" spans="1:15" x14ac:dyDescent="0.25">
      <c r="A8" s="163"/>
      <c r="B8" s="160"/>
      <c r="C8" s="47"/>
      <c r="D8" s="47"/>
      <c r="E8" s="47"/>
      <c r="F8" s="47"/>
      <c r="G8" s="47"/>
      <c r="H8" s="47"/>
      <c r="I8" s="47"/>
      <c r="J8" s="47"/>
      <c r="K8" s="47"/>
      <c r="L8" s="47"/>
      <c r="M8" s="47"/>
      <c r="N8" s="47"/>
      <c r="O8" s="69"/>
    </row>
    <row r="9" spans="1:15" ht="22.5" x14ac:dyDescent="0.25">
      <c r="A9" s="162" t="s">
        <v>1978</v>
      </c>
      <c r="B9" s="153" t="s">
        <v>1979</v>
      </c>
      <c r="C9" s="116"/>
      <c r="D9" s="116"/>
      <c r="E9" s="116">
        <f>D9+C9</f>
        <v>0</v>
      </c>
      <c r="F9" s="116"/>
      <c r="G9" s="109"/>
      <c r="H9" s="109"/>
      <c r="I9" s="109"/>
      <c r="J9" s="109"/>
      <c r="K9" s="109"/>
      <c r="L9" s="109"/>
      <c r="M9" s="109"/>
      <c r="N9" s="109"/>
      <c r="O9" s="69"/>
    </row>
    <row r="10" spans="1:15" ht="33.75" x14ac:dyDescent="0.25">
      <c r="A10" s="162" t="s">
        <v>1980</v>
      </c>
      <c r="B10" s="153" t="s">
        <v>5413</v>
      </c>
      <c r="C10" s="116"/>
      <c r="D10" s="116"/>
      <c r="E10" s="116">
        <f>D10+C10</f>
        <v>0</v>
      </c>
      <c r="F10" s="116"/>
      <c r="G10" s="109"/>
      <c r="H10" s="109"/>
      <c r="I10" s="109"/>
      <c r="J10" s="109"/>
      <c r="K10" s="109"/>
      <c r="L10" s="109"/>
      <c r="M10" s="109"/>
      <c r="N10" s="109"/>
      <c r="O10" s="69"/>
    </row>
    <row r="11" spans="1:15" ht="33.75" x14ac:dyDescent="0.25">
      <c r="A11" s="162"/>
      <c r="B11" s="153" t="s">
        <v>5414</v>
      </c>
      <c r="C11" s="18"/>
      <c r="D11" s="18"/>
      <c r="E11" s="18"/>
      <c r="F11" s="18"/>
      <c r="G11" s="18"/>
      <c r="H11" s="18"/>
      <c r="I11" s="18"/>
      <c r="J11" s="18"/>
      <c r="K11" s="18"/>
      <c r="L11" s="18"/>
      <c r="M11" s="18"/>
      <c r="N11" s="18"/>
      <c r="O11" s="69"/>
    </row>
    <row r="12" spans="1:15" x14ac:dyDescent="0.25">
      <c r="A12" s="162"/>
      <c r="B12" s="153"/>
      <c r="C12" s="18"/>
      <c r="D12" s="18"/>
      <c r="E12" s="18"/>
      <c r="F12" s="18"/>
      <c r="G12" s="18"/>
      <c r="H12" s="18"/>
      <c r="I12" s="18"/>
      <c r="J12" s="18"/>
      <c r="K12" s="18"/>
      <c r="L12" s="18"/>
      <c r="M12" s="18"/>
      <c r="N12" s="18"/>
      <c r="O12" s="69"/>
    </row>
    <row r="13" spans="1:15" ht="22.5" x14ac:dyDescent="0.25">
      <c r="A13" s="162"/>
      <c r="B13" s="153" t="s">
        <v>1981</v>
      </c>
      <c r="C13" s="18"/>
      <c r="D13" s="18"/>
      <c r="E13" s="18"/>
      <c r="F13" s="18"/>
      <c r="G13" s="18"/>
      <c r="H13" s="18"/>
      <c r="I13" s="18"/>
      <c r="J13" s="18"/>
      <c r="K13" s="18"/>
      <c r="L13" s="18"/>
      <c r="M13" s="18"/>
      <c r="N13" s="18"/>
      <c r="O13" s="69"/>
    </row>
    <row r="14" spans="1:15" x14ac:dyDescent="0.25">
      <c r="A14" s="162"/>
      <c r="B14" s="153"/>
      <c r="C14" s="18"/>
      <c r="D14" s="18"/>
      <c r="E14" s="18"/>
      <c r="F14" s="18"/>
      <c r="G14" s="18"/>
      <c r="H14" s="18"/>
      <c r="I14" s="18"/>
      <c r="J14" s="18"/>
      <c r="K14" s="18"/>
      <c r="L14" s="18"/>
      <c r="M14" s="18"/>
      <c r="N14" s="18"/>
      <c r="O14" s="69"/>
    </row>
    <row r="15" spans="1:15" x14ac:dyDescent="0.25">
      <c r="A15" s="162" t="s">
        <v>1982</v>
      </c>
      <c r="B15" s="153" t="s">
        <v>2040</v>
      </c>
      <c r="C15" s="52"/>
      <c r="D15" s="52"/>
      <c r="E15" s="52"/>
      <c r="F15" s="52"/>
      <c r="G15" s="64"/>
      <c r="H15" s="64"/>
      <c r="I15" s="64"/>
      <c r="J15" s="64"/>
      <c r="K15" s="64"/>
      <c r="L15" s="64"/>
      <c r="M15" s="64"/>
      <c r="N15" s="64"/>
      <c r="O15" s="69"/>
    </row>
    <row r="16" spans="1:15" x14ac:dyDescent="0.25">
      <c r="A16" s="162"/>
      <c r="B16" s="153"/>
      <c r="C16" s="18"/>
      <c r="D16" s="18"/>
      <c r="E16" s="18"/>
      <c r="F16" s="18"/>
      <c r="G16" s="18"/>
      <c r="H16" s="18"/>
      <c r="I16" s="18"/>
      <c r="J16" s="18"/>
      <c r="K16" s="18"/>
      <c r="L16" s="18"/>
      <c r="M16" s="18"/>
      <c r="N16" s="18"/>
      <c r="O16" s="69"/>
    </row>
    <row r="17" spans="1:15" ht="45" x14ac:dyDescent="0.25">
      <c r="A17" s="162"/>
      <c r="B17" s="153" t="s">
        <v>1983</v>
      </c>
      <c r="C17" s="18"/>
      <c r="D17" s="18"/>
      <c r="E17" s="18"/>
      <c r="F17" s="18"/>
      <c r="G17" s="18"/>
      <c r="H17" s="18"/>
      <c r="I17" s="18"/>
      <c r="J17" s="18"/>
      <c r="K17" s="18"/>
      <c r="L17" s="18"/>
      <c r="M17" s="18"/>
      <c r="N17" s="18"/>
      <c r="O17" s="69"/>
    </row>
    <row r="18" spans="1:15" x14ac:dyDescent="0.25">
      <c r="A18" s="162"/>
      <c r="B18" s="153"/>
      <c r="C18" s="18"/>
      <c r="D18" s="18"/>
      <c r="E18" s="18"/>
      <c r="F18" s="18"/>
      <c r="G18" s="18"/>
      <c r="H18" s="18"/>
      <c r="I18" s="18"/>
      <c r="J18" s="18"/>
      <c r="K18" s="18"/>
      <c r="L18" s="18"/>
      <c r="M18" s="18"/>
      <c r="N18" s="18"/>
      <c r="O18" s="69"/>
    </row>
    <row r="19" spans="1:15" x14ac:dyDescent="0.25">
      <c r="A19" s="162" t="s">
        <v>1984</v>
      </c>
      <c r="B19" s="153" t="s">
        <v>1985</v>
      </c>
      <c r="C19" s="52"/>
      <c r="D19" s="52"/>
      <c r="E19" s="52"/>
      <c r="F19" s="52"/>
      <c r="G19" s="64"/>
      <c r="H19" s="64"/>
      <c r="I19" s="64"/>
      <c r="J19" s="64"/>
      <c r="K19" s="64"/>
      <c r="L19" s="64"/>
      <c r="M19" s="64"/>
      <c r="N19" s="64"/>
      <c r="O19" s="69"/>
    </row>
    <row r="20" spans="1:15" x14ac:dyDescent="0.25">
      <c r="A20" s="162"/>
      <c r="B20" s="153"/>
      <c r="C20" s="18"/>
      <c r="D20" s="18"/>
      <c r="E20" s="18"/>
      <c r="F20" s="18"/>
      <c r="G20" s="18"/>
      <c r="H20" s="18"/>
      <c r="I20" s="18"/>
      <c r="J20" s="18"/>
      <c r="K20" s="18"/>
      <c r="L20" s="18"/>
      <c r="M20" s="18"/>
      <c r="N20" s="18"/>
      <c r="O20" s="69"/>
    </row>
    <row r="21" spans="1:15" ht="33.75" x14ac:dyDescent="0.25">
      <c r="A21" s="162"/>
      <c r="B21" s="153" t="s">
        <v>1986</v>
      </c>
      <c r="C21" s="18"/>
      <c r="D21" s="18"/>
      <c r="E21" s="18"/>
      <c r="F21" s="18"/>
      <c r="G21" s="18"/>
      <c r="H21" s="18"/>
      <c r="I21" s="18"/>
      <c r="J21" s="18"/>
      <c r="K21" s="18"/>
      <c r="L21" s="18"/>
      <c r="M21" s="18"/>
      <c r="N21" s="18"/>
      <c r="O21" s="69"/>
    </row>
    <row r="22" spans="1:15" x14ac:dyDescent="0.25">
      <c r="A22" s="162"/>
      <c r="B22" s="153"/>
      <c r="C22" s="18"/>
      <c r="D22" s="18"/>
      <c r="E22" s="18"/>
      <c r="F22" s="18"/>
      <c r="G22" s="18"/>
      <c r="H22" s="18"/>
      <c r="I22" s="18"/>
      <c r="J22" s="18"/>
      <c r="K22" s="18"/>
      <c r="L22" s="18"/>
      <c r="M22" s="18"/>
      <c r="N22" s="18"/>
      <c r="O22" s="69"/>
    </row>
    <row r="23" spans="1:15" x14ac:dyDescent="0.25">
      <c r="A23" s="162" t="s">
        <v>1987</v>
      </c>
      <c r="B23" s="153" t="s">
        <v>1985</v>
      </c>
      <c r="C23" s="52"/>
      <c r="D23" s="52"/>
      <c r="E23" s="52"/>
      <c r="F23" s="52"/>
      <c r="G23" s="64"/>
      <c r="H23" s="64"/>
      <c r="I23" s="64"/>
      <c r="J23" s="64"/>
      <c r="K23" s="64"/>
      <c r="L23" s="64"/>
      <c r="M23" s="64"/>
      <c r="N23" s="64"/>
      <c r="O23" s="69"/>
    </row>
    <row r="24" spans="1:15" x14ac:dyDescent="0.25">
      <c r="A24" s="162"/>
      <c r="B24" s="153"/>
      <c r="C24" s="18"/>
      <c r="D24" s="18"/>
      <c r="E24" s="18"/>
      <c r="F24" s="18"/>
      <c r="G24" s="18"/>
      <c r="H24" s="18"/>
      <c r="I24" s="18"/>
      <c r="J24" s="18"/>
      <c r="K24" s="18"/>
      <c r="L24" s="18"/>
      <c r="M24" s="18"/>
      <c r="N24" s="18"/>
      <c r="O24" s="69"/>
    </row>
    <row r="25" spans="1:15" ht="33.75" x14ac:dyDescent="0.25">
      <c r="A25" s="162"/>
      <c r="B25" s="153" t="s">
        <v>1988</v>
      </c>
      <c r="C25" s="18"/>
      <c r="D25" s="18"/>
      <c r="E25" s="18"/>
      <c r="F25" s="18"/>
      <c r="G25" s="18"/>
      <c r="H25" s="18"/>
      <c r="I25" s="18"/>
      <c r="J25" s="18"/>
      <c r="K25" s="18"/>
      <c r="L25" s="18"/>
      <c r="M25" s="18"/>
      <c r="N25" s="18"/>
      <c r="O25" s="69"/>
    </row>
    <row r="26" spans="1:15" x14ac:dyDescent="0.25">
      <c r="A26" s="162"/>
      <c r="B26" s="153"/>
      <c r="C26" s="18"/>
      <c r="D26" s="18"/>
      <c r="E26" s="18"/>
      <c r="F26" s="18"/>
      <c r="G26" s="18"/>
      <c r="H26" s="18"/>
      <c r="I26" s="18"/>
      <c r="J26" s="18"/>
      <c r="K26" s="18"/>
      <c r="L26" s="18"/>
      <c r="M26" s="18"/>
      <c r="N26" s="18"/>
      <c r="O26" s="69"/>
    </row>
    <row r="27" spans="1:15" x14ac:dyDescent="0.25">
      <c r="A27" s="162" t="s">
        <v>1989</v>
      </c>
      <c r="B27" s="153" t="s">
        <v>1985</v>
      </c>
      <c r="C27" s="52"/>
      <c r="D27" s="52"/>
      <c r="E27" s="52"/>
      <c r="F27" s="52"/>
      <c r="G27" s="64"/>
      <c r="H27" s="64"/>
      <c r="I27" s="64"/>
      <c r="J27" s="64"/>
      <c r="K27" s="64"/>
      <c r="L27" s="64"/>
      <c r="M27" s="64"/>
      <c r="N27" s="64"/>
      <c r="O27" s="69"/>
    </row>
    <row r="28" spans="1:15" x14ac:dyDescent="0.25">
      <c r="A28" s="162"/>
      <c r="B28" s="153"/>
      <c r="C28" s="18"/>
      <c r="D28" s="18"/>
      <c r="E28" s="18"/>
      <c r="F28" s="18"/>
      <c r="G28" s="18"/>
      <c r="H28" s="18"/>
      <c r="I28" s="18"/>
      <c r="J28" s="18"/>
      <c r="K28" s="18"/>
      <c r="L28" s="18"/>
      <c r="M28" s="18"/>
      <c r="N28" s="18"/>
      <c r="O28" s="69"/>
    </row>
    <row r="29" spans="1:15" ht="22.5" x14ac:dyDescent="0.25">
      <c r="A29" s="162"/>
      <c r="B29" s="153" t="s">
        <v>1990</v>
      </c>
      <c r="C29" s="18"/>
      <c r="D29" s="18"/>
      <c r="E29" s="18"/>
      <c r="F29" s="18"/>
      <c r="G29" s="18"/>
      <c r="H29" s="18"/>
      <c r="I29" s="18"/>
      <c r="J29" s="18"/>
      <c r="K29" s="18"/>
      <c r="L29" s="18"/>
      <c r="M29" s="18"/>
      <c r="N29" s="18"/>
      <c r="O29" s="69"/>
    </row>
    <row r="30" spans="1:15" x14ac:dyDescent="0.25">
      <c r="A30" s="162"/>
      <c r="B30" s="153"/>
      <c r="C30" s="18"/>
      <c r="D30" s="18"/>
      <c r="E30" s="18"/>
      <c r="F30" s="18"/>
      <c r="G30" s="18"/>
      <c r="H30" s="18"/>
      <c r="I30" s="18"/>
      <c r="J30" s="18"/>
      <c r="K30" s="18"/>
      <c r="L30" s="18"/>
      <c r="M30" s="18"/>
      <c r="N30" s="18"/>
      <c r="O30" s="69"/>
    </row>
    <row r="31" spans="1:15" x14ac:dyDescent="0.25">
      <c r="A31" s="162" t="s">
        <v>1991</v>
      </c>
      <c r="B31" s="153" t="s">
        <v>1985</v>
      </c>
      <c r="C31" s="52"/>
      <c r="D31" s="52"/>
      <c r="E31" s="52"/>
      <c r="F31" s="52"/>
      <c r="G31" s="64"/>
      <c r="H31" s="64"/>
      <c r="I31" s="64"/>
      <c r="J31" s="64"/>
      <c r="K31" s="64"/>
      <c r="L31" s="64"/>
      <c r="M31" s="64"/>
      <c r="N31" s="64"/>
      <c r="O31" s="69"/>
    </row>
    <row r="32" spans="1:15" x14ac:dyDescent="0.25">
      <c r="A32" s="162"/>
      <c r="B32" s="153"/>
      <c r="C32" s="18"/>
      <c r="D32" s="18"/>
      <c r="E32" s="18"/>
      <c r="F32" s="18"/>
      <c r="G32" s="18"/>
      <c r="H32" s="18"/>
      <c r="I32" s="18"/>
      <c r="J32" s="18"/>
      <c r="K32" s="18"/>
      <c r="L32" s="18"/>
      <c r="M32" s="18"/>
      <c r="N32" s="18"/>
      <c r="O32" s="69"/>
    </row>
    <row r="33" spans="1:15" ht="33.75" x14ac:dyDescent="0.25">
      <c r="A33" s="162"/>
      <c r="B33" s="153" t="s">
        <v>1992</v>
      </c>
      <c r="C33" s="18"/>
      <c r="D33" s="18"/>
      <c r="E33" s="18"/>
      <c r="F33" s="18"/>
      <c r="G33" s="18"/>
      <c r="H33" s="18"/>
      <c r="I33" s="18"/>
      <c r="J33" s="18"/>
      <c r="K33" s="18"/>
      <c r="L33" s="18"/>
      <c r="M33" s="18"/>
      <c r="N33" s="18"/>
      <c r="O33" s="69"/>
    </row>
    <row r="34" spans="1:15" x14ac:dyDescent="0.25">
      <c r="A34" s="162"/>
      <c r="B34" s="153"/>
      <c r="C34" s="18"/>
      <c r="D34" s="18"/>
      <c r="E34" s="18"/>
      <c r="F34" s="18"/>
      <c r="G34" s="18"/>
      <c r="H34" s="18"/>
      <c r="I34" s="18"/>
      <c r="J34" s="18"/>
      <c r="K34" s="18"/>
      <c r="L34" s="18"/>
      <c r="M34" s="18"/>
      <c r="N34" s="18"/>
      <c r="O34" s="69"/>
    </row>
    <row r="35" spans="1:15" x14ac:dyDescent="0.25">
      <c r="A35" s="162" t="s">
        <v>1993</v>
      </c>
      <c r="B35" s="153" t="s">
        <v>1985</v>
      </c>
      <c r="C35" s="52"/>
      <c r="D35" s="52"/>
      <c r="E35" s="52"/>
      <c r="F35" s="52"/>
      <c r="G35" s="64"/>
      <c r="H35" s="64"/>
      <c r="I35" s="64"/>
      <c r="J35" s="64"/>
      <c r="K35" s="64"/>
      <c r="L35" s="64"/>
      <c r="M35" s="64"/>
      <c r="N35" s="64"/>
      <c r="O35" s="69"/>
    </row>
    <row r="36" spans="1:15" x14ac:dyDescent="0.25">
      <c r="A36" s="162"/>
      <c r="B36" s="153"/>
      <c r="C36" s="18"/>
      <c r="D36" s="18"/>
      <c r="E36" s="18"/>
      <c r="F36" s="18"/>
      <c r="G36" s="18"/>
      <c r="H36" s="18"/>
      <c r="I36" s="18"/>
      <c r="J36" s="18"/>
      <c r="K36" s="18"/>
      <c r="L36" s="18"/>
      <c r="M36" s="18"/>
      <c r="N36" s="18"/>
      <c r="O36" s="69"/>
    </row>
    <row r="37" spans="1:15" ht="22.5" x14ac:dyDescent="0.25">
      <c r="A37" s="162"/>
      <c r="B37" s="153" t="s">
        <v>1994</v>
      </c>
      <c r="C37" s="18"/>
      <c r="D37" s="18"/>
      <c r="E37" s="18"/>
      <c r="F37" s="18"/>
      <c r="G37" s="18"/>
      <c r="H37" s="18"/>
      <c r="I37" s="18"/>
      <c r="J37" s="18"/>
      <c r="K37" s="18"/>
      <c r="L37" s="18"/>
      <c r="M37" s="18"/>
      <c r="N37" s="18"/>
      <c r="O37" s="69"/>
    </row>
    <row r="38" spans="1:15" x14ac:dyDescent="0.25">
      <c r="A38" s="162"/>
      <c r="B38" s="153"/>
      <c r="C38" s="18"/>
      <c r="D38" s="18"/>
      <c r="E38" s="18"/>
      <c r="F38" s="18"/>
      <c r="G38" s="18"/>
      <c r="H38" s="18"/>
      <c r="I38" s="18"/>
      <c r="J38" s="18"/>
      <c r="K38" s="18"/>
      <c r="L38" s="18"/>
      <c r="M38" s="18"/>
      <c r="N38" s="18"/>
      <c r="O38" s="69"/>
    </row>
    <row r="39" spans="1:15" x14ac:dyDescent="0.25">
      <c r="A39" s="162" t="s">
        <v>1995</v>
      </c>
      <c r="B39" s="153" t="s">
        <v>1985</v>
      </c>
      <c r="C39" s="52"/>
      <c r="D39" s="52"/>
      <c r="E39" s="52"/>
      <c r="F39" s="52"/>
      <c r="G39" s="64"/>
      <c r="H39" s="64"/>
      <c r="I39" s="64"/>
      <c r="J39" s="64"/>
      <c r="K39" s="64"/>
      <c r="L39" s="64"/>
      <c r="M39" s="64"/>
      <c r="N39" s="64"/>
      <c r="O39" s="69"/>
    </row>
    <row r="40" spans="1:15" x14ac:dyDescent="0.25">
      <c r="A40" s="162"/>
      <c r="B40" s="153"/>
      <c r="C40" s="18"/>
      <c r="D40" s="18"/>
      <c r="E40" s="18"/>
      <c r="F40" s="18"/>
      <c r="G40" s="18"/>
      <c r="H40" s="18"/>
      <c r="I40" s="18"/>
      <c r="J40" s="18"/>
      <c r="K40" s="18"/>
      <c r="L40" s="18"/>
      <c r="M40" s="18"/>
      <c r="N40" s="18"/>
      <c r="O40" s="69"/>
    </row>
    <row r="41" spans="1:15" ht="33.75" x14ac:dyDescent="0.25">
      <c r="A41" s="162"/>
      <c r="B41" s="153" t="s">
        <v>1996</v>
      </c>
      <c r="C41" s="18"/>
      <c r="D41" s="18"/>
      <c r="E41" s="18"/>
      <c r="F41" s="18"/>
      <c r="G41" s="18"/>
      <c r="H41" s="18"/>
      <c r="I41" s="18"/>
      <c r="J41" s="18"/>
      <c r="K41" s="18"/>
      <c r="L41" s="18"/>
      <c r="M41" s="18"/>
      <c r="N41" s="18"/>
      <c r="O41" s="69"/>
    </row>
    <row r="42" spans="1:15" x14ac:dyDescent="0.25">
      <c r="A42" s="162"/>
      <c r="B42" s="153"/>
      <c r="C42" s="18"/>
      <c r="D42" s="18"/>
      <c r="E42" s="18"/>
      <c r="F42" s="18"/>
      <c r="G42" s="18"/>
      <c r="H42" s="18"/>
      <c r="I42" s="18"/>
      <c r="J42" s="18"/>
      <c r="K42" s="18"/>
      <c r="L42" s="18"/>
      <c r="M42" s="18"/>
      <c r="N42" s="18"/>
      <c r="O42" s="69"/>
    </row>
    <row r="43" spans="1:15" x14ac:dyDescent="0.25">
      <c r="A43" s="162" t="s">
        <v>1997</v>
      </c>
      <c r="B43" s="153" t="s">
        <v>1998</v>
      </c>
      <c r="C43" s="52"/>
      <c r="D43" s="52"/>
      <c r="E43" s="52"/>
      <c r="F43" s="52"/>
      <c r="G43" s="64"/>
      <c r="H43" s="64"/>
      <c r="I43" s="64"/>
      <c r="J43" s="64"/>
      <c r="K43" s="64"/>
      <c r="L43" s="64"/>
      <c r="M43" s="64"/>
      <c r="N43" s="64"/>
      <c r="O43" s="69"/>
    </row>
    <row r="44" spans="1:15" x14ac:dyDescent="0.25">
      <c r="A44" s="162"/>
      <c r="B44" s="153"/>
      <c r="C44" s="18"/>
      <c r="D44" s="18"/>
      <c r="E44" s="18"/>
      <c r="F44" s="18"/>
      <c r="G44" s="18"/>
      <c r="H44" s="18"/>
      <c r="I44" s="18"/>
      <c r="J44" s="18"/>
      <c r="K44" s="18"/>
      <c r="L44" s="18"/>
      <c r="M44" s="18"/>
      <c r="N44" s="18"/>
      <c r="O44" s="69"/>
    </row>
    <row r="45" spans="1:15" ht="33.75" x14ac:dyDescent="0.25">
      <c r="A45" s="162"/>
      <c r="B45" s="153" t="s">
        <v>1999</v>
      </c>
      <c r="C45" s="18"/>
      <c r="D45" s="18"/>
      <c r="E45" s="18"/>
      <c r="F45" s="18"/>
      <c r="G45" s="18"/>
      <c r="H45" s="18"/>
      <c r="I45" s="18"/>
      <c r="J45" s="18"/>
      <c r="K45" s="18"/>
      <c r="L45" s="18"/>
      <c r="M45" s="18"/>
      <c r="N45" s="18"/>
      <c r="O45" s="69"/>
    </row>
    <row r="46" spans="1:15" x14ac:dyDescent="0.25">
      <c r="A46" s="162"/>
      <c r="B46" s="153"/>
      <c r="C46" s="18"/>
      <c r="D46" s="18"/>
      <c r="E46" s="18"/>
      <c r="F46" s="18"/>
      <c r="G46" s="18"/>
      <c r="H46" s="18"/>
      <c r="I46" s="18"/>
      <c r="J46" s="18"/>
      <c r="K46" s="18"/>
      <c r="L46" s="18"/>
      <c r="M46" s="18"/>
      <c r="N46" s="18"/>
      <c r="O46" s="69"/>
    </row>
    <row r="47" spans="1:15" x14ac:dyDescent="0.25">
      <c r="A47" s="162" t="s">
        <v>2000</v>
      </c>
      <c r="B47" s="153" t="s">
        <v>1985</v>
      </c>
      <c r="C47" s="52"/>
      <c r="D47" s="52"/>
      <c r="E47" s="52"/>
      <c r="F47" s="52"/>
      <c r="G47" s="64"/>
      <c r="H47" s="64"/>
      <c r="I47" s="64"/>
      <c r="J47" s="64"/>
      <c r="K47" s="64"/>
      <c r="L47" s="64"/>
      <c r="M47" s="64"/>
      <c r="N47" s="64"/>
      <c r="O47" s="69"/>
    </row>
    <row r="48" spans="1:15" x14ac:dyDescent="0.25">
      <c r="A48" s="162"/>
      <c r="B48" s="153"/>
      <c r="C48" s="18"/>
      <c r="D48" s="18"/>
      <c r="E48" s="18"/>
      <c r="F48" s="18"/>
      <c r="G48" s="18"/>
      <c r="H48" s="18"/>
      <c r="I48" s="18"/>
      <c r="J48" s="18"/>
      <c r="K48" s="18"/>
      <c r="L48" s="18"/>
      <c r="M48" s="18"/>
      <c r="N48" s="18"/>
      <c r="O48" s="69"/>
    </row>
    <row r="49" spans="1:15" ht="22.5" x14ac:dyDescent="0.25">
      <c r="A49" s="162"/>
      <c r="B49" s="179" t="s">
        <v>2001</v>
      </c>
      <c r="C49" s="18"/>
      <c r="D49" s="18"/>
      <c r="E49" s="18"/>
      <c r="F49" s="18"/>
      <c r="G49" s="18"/>
      <c r="H49" s="18"/>
      <c r="I49" s="18"/>
      <c r="J49" s="18"/>
      <c r="K49" s="18"/>
      <c r="L49" s="18"/>
      <c r="M49" s="18"/>
      <c r="N49" s="18"/>
      <c r="O49" s="69"/>
    </row>
    <row r="50" spans="1:15" x14ac:dyDescent="0.25">
      <c r="A50" s="162"/>
      <c r="B50" s="153"/>
      <c r="C50" s="18"/>
      <c r="D50" s="18"/>
      <c r="E50" s="18"/>
      <c r="F50" s="18"/>
      <c r="G50" s="18"/>
      <c r="H50" s="18"/>
      <c r="I50" s="18"/>
      <c r="J50" s="18"/>
      <c r="K50" s="18"/>
      <c r="L50" s="18"/>
      <c r="M50" s="18"/>
      <c r="N50" s="18"/>
      <c r="O50" s="69"/>
    </row>
    <row r="51" spans="1:15" ht="22.5" x14ac:dyDescent="0.25">
      <c r="A51" s="162" t="s">
        <v>2002</v>
      </c>
      <c r="B51" s="153" t="s">
        <v>2003</v>
      </c>
      <c r="C51" s="52"/>
      <c r="D51" s="52"/>
      <c r="E51" s="52"/>
      <c r="F51" s="52"/>
      <c r="G51" s="64"/>
      <c r="H51" s="64"/>
      <c r="I51" s="64"/>
      <c r="J51" s="64"/>
      <c r="K51" s="64"/>
      <c r="L51" s="64"/>
      <c r="M51" s="64"/>
      <c r="N51" s="64"/>
      <c r="O51" s="69"/>
    </row>
    <row r="52" spans="1:15" x14ac:dyDescent="0.25">
      <c r="A52" s="162"/>
      <c r="B52" s="153"/>
      <c r="C52" s="18"/>
      <c r="D52" s="18"/>
      <c r="E52" s="18"/>
      <c r="F52" s="18"/>
      <c r="G52" s="18"/>
      <c r="H52" s="18"/>
      <c r="I52" s="18"/>
      <c r="J52" s="18"/>
      <c r="K52" s="18"/>
      <c r="L52" s="18"/>
      <c r="M52" s="18"/>
      <c r="N52" s="18"/>
      <c r="O52" s="69"/>
    </row>
    <row r="53" spans="1:15" ht="22.5" x14ac:dyDescent="0.25">
      <c r="A53" s="162"/>
      <c r="B53" s="179" t="s">
        <v>2004</v>
      </c>
      <c r="C53" s="18"/>
      <c r="D53" s="18"/>
      <c r="E53" s="18"/>
      <c r="F53" s="18"/>
      <c r="G53" s="18"/>
      <c r="H53" s="18"/>
      <c r="I53" s="18"/>
      <c r="J53" s="18"/>
      <c r="K53" s="18"/>
      <c r="L53" s="18"/>
      <c r="M53" s="18"/>
      <c r="N53" s="18"/>
      <c r="O53" s="69"/>
    </row>
    <row r="54" spans="1:15" x14ac:dyDescent="0.25">
      <c r="A54" s="162"/>
      <c r="B54" s="153" t="s">
        <v>1379</v>
      </c>
      <c r="C54" s="18"/>
      <c r="D54" s="18"/>
      <c r="E54" s="18"/>
      <c r="F54" s="18"/>
      <c r="G54" s="18"/>
      <c r="H54" s="18"/>
      <c r="I54" s="18"/>
      <c r="J54" s="18"/>
      <c r="K54" s="18"/>
      <c r="L54" s="18"/>
      <c r="M54" s="18"/>
      <c r="N54" s="18"/>
      <c r="O54" s="69"/>
    </row>
    <row r="55" spans="1:15" x14ac:dyDescent="0.25">
      <c r="A55" s="162" t="s">
        <v>2005</v>
      </c>
      <c r="B55" s="153" t="s">
        <v>1998</v>
      </c>
      <c r="C55" s="52"/>
      <c r="D55" s="52"/>
      <c r="E55" s="52"/>
      <c r="F55" s="52"/>
      <c r="G55" s="64"/>
      <c r="H55" s="64"/>
      <c r="I55" s="64"/>
      <c r="J55" s="64"/>
      <c r="K55" s="64"/>
      <c r="L55" s="64"/>
      <c r="M55" s="64"/>
      <c r="N55" s="64"/>
      <c r="O55" s="69"/>
    </row>
    <row r="56" spans="1:15" x14ac:dyDescent="0.25">
      <c r="A56" s="162"/>
      <c r="B56" s="153"/>
      <c r="C56" s="18"/>
      <c r="D56" s="18"/>
      <c r="E56" s="18"/>
      <c r="F56" s="18"/>
      <c r="G56" s="18"/>
      <c r="H56" s="18"/>
      <c r="I56" s="18"/>
      <c r="J56" s="18"/>
      <c r="K56" s="18"/>
      <c r="L56" s="18"/>
      <c r="M56" s="18"/>
      <c r="N56" s="18"/>
      <c r="O56" s="69"/>
    </row>
    <row r="57" spans="1:15" ht="22.5" x14ac:dyDescent="0.25">
      <c r="A57" s="162"/>
      <c r="B57" s="153" t="s">
        <v>2006</v>
      </c>
      <c r="C57" s="18"/>
      <c r="D57" s="18"/>
      <c r="E57" s="18"/>
      <c r="F57" s="18"/>
      <c r="G57" s="18"/>
      <c r="H57" s="18"/>
      <c r="I57" s="18"/>
      <c r="J57" s="18"/>
      <c r="K57" s="18"/>
      <c r="L57" s="18"/>
      <c r="M57" s="18"/>
      <c r="N57" s="18"/>
      <c r="O57" s="69"/>
    </row>
    <row r="58" spans="1:15" x14ac:dyDescent="0.25">
      <c r="A58" s="162"/>
      <c r="B58" s="153"/>
      <c r="C58" s="18"/>
      <c r="D58" s="18"/>
      <c r="E58" s="18"/>
      <c r="F58" s="18"/>
      <c r="G58" s="18"/>
      <c r="H58" s="18"/>
      <c r="I58" s="18"/>
      <c r="J58" s="18"/>
      <c r="K58" s="18"/>
      <c r="L58" s="18"/>
      <c r="M58" s="18"/>
      <c r="N58" s="18"/>
      <c r="O58" s="69"/>
    </row>
    <row r="59" spans="1:15" ht="22.5" x14ac:dyDescent="0.25">
      <c r="A59" s="162"/>
      <c r="B59" s="179" t="s">
        <v>5586</v>
      </c>
      <c r="C59" s="18"/>
      <c r="D59" s="18"/>
      <c r="E59" s="18"/>
      <c r="F59" s="18"/>
      <c r="G59" s="18"/>
      <c r="H59" s="18"/>
      <c r="I59" s="18"/>
      <c r="J59" s="18"/>
      <c r="K59" s="18"/>
      <c r="L59" s="18"/>
      <c r="M59" s="18"/>
      <c r="N59" s="18"/>
      <c r="O59" s="69"/>
    </row>
    <row r="60" spans="1:15" x14ac:dyDescent="0.25">
      <c r="A60" s="162"/>
      <c r="B60" s="153"/>
      <c r="C60" s="18"/>
      <c r="D60" s="18"/>
      <c r="E60" s="18"/>
      <c r="F60" s="18"/>
      <c r="G60" s="18"/>
      <c r="H60" s="18"/>
      <c r="I60" s="18"/>
      <c r="J60" s="18"/>
      <c r="K60" s="18"/>
      <c r="L60" s="18"/>
      <c r="M60" s="18"/>
      <c r="N60" s="18"/>
      <c r="O60" s="69"/>
    </row>
    <row r="61" spans="1:15" ht="22.5" x14ac:dyDescent="0.25">
      <c r="A61" s="162" t="s">
        <v>2007</v>
      </c>
      <c r="B61" s="153" t="s">
        <v>2003</v>
      </c>
      <c r="C61" s="52"/>
      <c r="D61" s="52"/>
      <c r="E61" s="52"/>
      <c r="F61" s="52"/>
      <c r="G61" s="64"/>
      <c r="H61" s="64"/>
      <c r="I61" s="64"/>
      <c r="J61" s="64"/>
      <c r="K61" s="64"/>
      <c r="L61" s="64"/>
      <c r="M61" s="64"/>
      <c r="N61" s="64"/>
      <c r="O61" s="69"/>
    </row>
    <row r="62" spans="1:15" x14ac:dyDescent="0.25">
      <c r="A62" s="162"/>
      <c r="B62" s="153"/>
      <c r="C62" s="18"/>
      <c r="D62" s="18"/>
      <c r="E62" s="18"/>
      <c r="F62" s="18"/>
      <c r="G62" s="18"/>
      <c r="H62" s="18"/>
      <c r="I62" s="18"/>
      <c r="J62" s="18"/>
      <c r="K62" s="18"/>
      <c r="L62" s="18"/>
      <c r="M62" s="18"/>
      <c r="N62" s="18"/>
      <c r="O62" s="69"/>
    </row>
    <row r="63" spans="1:15" ht="22.5" x14ac:dyDescent="0.25">
      <c r="A63" s="162"/>
      <c r="B63" s="179" t="s">
        <v>5587</v>
      </c>
      <c r="C63" s="18"/>
      <c r="D63" s="18"/>
      <c r="E63" s="18"/>
      <c r="F63" s="18"/>
      <c r="G63" s="18"/>
      <c r="H63" s="18"/>
      <c r="I63" s="18"/>
      <c r="J63" s="18"/>
      <c r="K63" s="18"/>
      <c r="L63" s="18"/>
      <c r="M63" s="18"/>
      <c r="N63" s="18"/>
      <c r="O63" s="69"/>
    </row>
    <row r="64" spans="1:15" x14ac:dyDescent="0.25">
      <c r="A64" s="162"/>
      <c r="B64" s="153"/>
      <c r="C64" s="18"/>
      <c r="D64" s="18"/>
      <c r="E64" s="18"/>
      <c r="F64" s="18"/>
      <c r="G64" s="18"/>
      <c r="H64" s="18"/>
      <c r="I64" s="18"/>
      <c r="J64" s="18"/>
      <c r="K64" s="18"/>
      <c r="L64" s="18"/>
      <c r="M64" s="18"/>
      <c r="N64" s="18"/>
      <c r="O64" s="69"/>
    </row>
    <row r="65" spans="1:15" x14ac:dyDescent="0.25">
      <c r="A65" s="162" t="s">
        <v>2008</v>
      </c>
      <c r="B65" s="153" t="s">
        <v>1985</v>
      </c>
      <c r="C65" s="52"/>
      <c r="D65" s="52"/>
      <c r="E65" s="52"/>
      <c r="F65" s="52"/>
      <c r="G65" s="64"/>
      <c r="H65" s="64"/>
      <c r="I65" s="64"/>
      <c r="J65" s="64"/>
      <c r="K65" s="64"/>
      <c r="L65" s="64"/>
      <c r="M65" s="64"/>
      <c r="N65" s="64"/>
      <c r="O65" s="69"/>
    </row>
    <row r="66" spans="1:15" x14ac:dyDescent="0.25">
      <c r="A66" s="162"/>
      <c r="B66" s="153"/>
      <c r="C66" s="18"/>
      <c r="D66" s="18"/>
      <c r="E66" s="18"/>
      <c r="F66" s="18"/>
      <c r="G66" s="18"/>
      <c r="H66" s="18"/>
      <c r="I66" s="18"/>
      <c r="J66" s="18"/>
      <c r="K66" s="18"/>
      <c r="L66" s="18"/>
      <c r="M66" s="18"/>
      <c r="N66" s="18"/>
      <c r="O66" s="69"/>
    </row>
    <row r="67" spans="1:15" ht="22.5" x14ac:dyDescent="0.25">
      <c r="A67" s="162"/>
      <c r="B67" s="153" t="s">
        <v>2009</v>
      </c>
      <c r="C67" s="18"/>
      <c r="D67" s="18"/>
      <c r="E67" s="18"/>
      <c r="F67" s="18"/>
      <c r="G67" s="18"/>
      <c r="H67" s="18"/>
      <c r="I67" s="18"/>
      <c r="J67" s="18"/>
      <c r="K67" s="18"/>
      <c r="L67" s="18"/>
      <c r="M67" s="18"/>
      <c r="N67" s="18"/>
      <c r="O67" s="69"/>
    </row>
    <row r="68" spans="1:15" x14ac:dyDescent="0.25">
      <c r="A68" s="162"/>
      <c r="B68" s="153"/>
      <c r="C68" s="18"/>
      <c r="D68" s="18"/>
      <c r="E68" s="18"/>
      <c r="F68" s="18"/>
      <c r="G68" s="18"/>
      <c r="H68" s="18"/>
      <c r="I68" s="18"/>
      <c r="J68" s="18"/>
      <c r="K68" s="18"/>
      <c r="L68" s="18"/>
      <c r="M68" s="18"/>
      <c r="N68" s="18"/>
      <c r="O68" s="69"/>
    </row>
    <row r="69" spans="1:15" x14ac:dyDescent="0.25">
      <c r="A69" s="162" t="s">
        <v>2010</v>
      </c>
      <c r="B69" s="153" t="s">
        <v>1985</v>
      </c>
      <c r="C69" s="52"/>
      <c r="D69" s="52"/>
      <c r="E69" s="52"/>
      <c r="F69" s="52"/>
      <c r="G69" s="64"/>
      <c r="H69" s="64"/>
      <c r="I69" s="64"/>
      <c r="J69" s="64"/>
      <c r="K69" s="64"/>
      <c r="L69" s="64"/>
      <c r="M69" s="64"/>
      <c r="N69" s="64"/>
      <c r="O69" s="69"/>
    </row>
    <row r="70" spans="1:15" x14ac:dyDescent="0.25">
      <c r="A70" s="162"/>
      <c r="B70" s="153"/>
      <c r="C70" s="18"/>
      <c r="D70" s="18"/>
      <c r="E70" s="18"/>
      <c r="F70" s="18"/>
      <c r="G70" s="18"/>
      <c r="H70" s="18"/>
      <c r="I70" s="18"/>
      <c r="J70" s="18"/>
      <c r="K70" s="18"/>
      <c r="L70" s="18"/>
      <c r="M70" s="18"/>
      <c r="N70" s="18"/>
      <c r="O70" s="69"/>
    </row>
    <row r="71" spans="1:15" ht="33.75" x14ac:dyDescent="0.25">
      <c r="A71" s="162"/>
      <c r="B71" s="179" t="s">
        <v>5588</v>
      </c>
      <c r="C71" s="18"/>
      <c r="D71" s="18"/>
      <c r="E71" s="18"/>
      <c r="F71" s="18"/>
      <c r="G71" s="18"/>
      <c r="H71" s="18"/>
      <c r="I71" s="18"/>
      <c r="J71" s="18"/>
      <c r="K71" s="18"/>
      <c r="L71" s="18"/>
      <c r="M71" s="18"/>
      <c r="N71" s="18"/>
      <c r="O71" s="69"/>
    </row>
    <row r="72" spans="1:15" x14ac:dyDescent="0.25">
      <c r="A72" s="162"/>
      <c r="B72" s="153"/>
      <c r="C72" s="18"/>
      <c r="D72" s="18"/>
      <c r="E72" s="18"/>
      <c r="F72" s="18"/>
      <c r="G72" s="18"/>
      <c r="H72" s="18"/>
      <c r="I72" s="18"/>
      <c r="J72" s="18"/>
      <c r="K72" s="18"/>
      <c r="L72" s="18"/>
      <c r="M72" s="18"/>
      <c r="N72" s="18"/>
      <c r="O72" s="69"/>
    </row>
    <row r="73" spans="1:15" x14ac:dyDescent="0.25">
      <c r="A73" s="162" t="s">
        <v>2011</v>
      </c>
      <c r="B73" s="153" t="s">
        <v>1985</v>
      </c>
      <c r="C73" s="52"/>
      <c r="D73" s="52"/>
      <c r="E73" s="52"/>
      <c r="F73" s="52"/>
      <c r="G73" s="64"/>
      <c r="H73" s="64"/>
      <c r="I73" s="64"/>
      <c r="J73" s="64"/>
      <c r="K73" s="64"/>
      <c r="L73" s="64"/>
      <c r="M73" s="64"/>
      <c r="N73" s="64"/>
      <c r="O73" s="69"/>
    </row>
    <row r="74" spans="1:15" x14ac:dyDescent="0.25">
      <c r="A74" s="162"/>
      <c r="B74" s="153"/>
      <c r="C74" s="18"/>
      <c r="D74" s="18"/>
      <c r="E74" s="18"/>
      <c r="F74" s="18"/>
      <c r="G74" s="18"/>
      <c r="H74" s="18"/>
      <c r="I74" s="18"/>
      <c r="J74" s="18"/>
      <c r="K74" s="18"/>
      <c r="L74" s="18"/>
      <c r="M74" s="18"/>
      <c r="N74" s="18"/>
      <c r="O74" s="69"/>
    </row>
    <row r="75" spans="1:15" ht="22.5" x14ac:dyDescent="0.25">
      <c r="A75" s="162"/>
      <c r="B75" s="153" t="s">
        <v>2012</v>
      </c>
      <c r="C75" s="18"/>
      <c r="D75" s="18"/>
      <c r="E75" s="18"/>
      <c r="F75" s="18"/>
      <c r="G75" s="18"/>
      <c r="H75" s="18"/>
      <c r="I75" s="18"/>
      <c r="J75" s="18"/>
      <c r="K75" s="18"/>
      <c r="L75" s="18"/>
      <c r="M75" s="18"/>
      <c r="N75" s="18"/>
      <c r="O75" s="69"/>
    </row>
    <row r="76" spans="1:15" x14ac:dyDescent="0.25">
      <c r="A76" s="162"/>
      <c r="B76" s="153"/>
      <c r="C76" s="18"/>
      <c r="D76" s="18"/>
      <c r="E76" s="18"/>
      <c r="F76" s="18"/>
      <c r="G76" s="18"/>
      <c r="H76" s="18"/>
      <c r="I76" s="18"/>
      <c r="J76" s="18"/>
      <c r="K76" s="18"/>
      <c r="L76" s="18"/>
      <c r="M76" s="18"/>
      <c r="N76" s="18"/>
      <c r="O76" s="69"/>
    </row>
    <row r="77" spans="1:15" x14ac:dyDescent="0.25">
      <c r="A77" s="162" t="s">
        <v>2013</v>
      </c>
      <c r="B77" s="153" t="s">
        <v>1985</v>
      </c>
      <c r="C77" s="52"/>
      <c r="D77" s="52"/>
      <c r="E77" s="52"/>
      <c r="F77" s="52"/>
      <c r="G77" s="64"/>
      <c r="H77" s="64"/>
      <c r="I77" s="64"/>
      <c r="J77" s="64"/>
      <c r="K77" s="64"/>
      <c r="L77" s="64"/>
      <c r="M77" s="64"/>
      <c r="N77" s="64"/>
      <c r="O77" s="69"/>
    </row>
    <row r="78" spans="1:15" x14ac:dyDescent="0.25">
      <c r="A78" s="162"/>
      <c r="B78" s="153"/>
      <c r="C78" s="18"/>
      <c r="D78" s="18"/>
      <c r="E78" s="18"/>
      <c r="F78" s="18"/>
      <c r="G78" s="18"/>
      <c r="H78" s="18"/>
      <c r="I78" s="18"/>
      <c r="J78" s="18"/>
      <c r="K78" s="18"/>
      <c r="L78" s="18"/>
      <c r="M78" s="18"/>
      <c r="N78" s="18"/>
      <c r="O78" s="69"/>
    </row>
    <row r="79" spans="1:15" x14ac:dyDescent="0.25">
      <c r="A79" s="162"/>
      <c r="B79" s="179" t="s">
        <v>784</v>
      </c>
      <c r="C79" s="18"/>
      <c r="D79" s="18"/>
      <c r="E79" s="18"/>
      <c r="F79" s="18"/>
      <c r="G79" s="18"/>
      <c r="H79" s="18"/>
      <c r="I79" s="18"/>
      <c r="J79" s="18"/>
      <c r="K79" s="18"/>
      <c r="L79" s="18"/>
      <c r="M79" s="18"/>
      <c r="N79" s="18"/>
      <c r="O79" s="69"/>
    </row>
    <row r="80" spans="1:15" x14ac:dyDescent="0.25">
      <c r="A80" s="162"/>
      <c r="B80" s="153"/>
      <c r="C80" s="18"/>
      <c r="D80" s="18"/>
      <c r="E80" s="18"/>
      <c r="F80" s="18"/>
      <c r="G80" s="18"/>
      <c r="H80" s="18"/>
      <c r="I80" s="18"/>
      <c r="J80" s="18"/>
      <c r="K80" s="18"/>
      <c r="L80" s="18"/>
      <c r="M80" s="18"/>
      <c r="N80" s="18"/>
      <c r="O80" s="69"/>
    </row>
    <row r="81" spans="1:15" x14ac:dyDescent="0.25">
      <c r="A81" s="162" t="s">
        <v>2014</v>
      </c>
      <c r="B81" s="153" t="s">
        <v>1985</v>
      </c>
      <c r="C81" s="52"/>
      <c r="D81" s="52"/>
      <c r="E81" s="52"/>
      <c r="F81" s="52"/>
      <c r="G81" s="64"/>
      <c r="H81" s="64"/>
      <c r="I81" s="64"/>
      <c r="J81" s="64"/>
      <c r="K81" s="64"/>
      <c r="L81" s="64"/>
      <c r="M81" s="64"/>
      <c r="N81" s="64"/>
      <c r="O81" s="69"/>
    </row>
    <row r="82" spans="1:15" x14ac:dyDescent="0.25">
      <c r="A82" s="162"/>
      <c r="B82" s="153"/>
      <c r="C82" s="18"/>
      <c r="D82" s="18"/>
      <c r="E82" s="18"/>
      <c r="F82" s="18"/>
      <c r="G82" s="18"/>
      <c r="H82" s="18"/>
      <c r="I82" s="18"/>
      <c r="J82" s="18"/>
      <c r="K82" s="18"/>
      <c r="L82" s="18"/>
      <c r="M82" s="18"/>
      <c r="N82" s="18"/>
      <c r="O82" s="69"/>
    </row>
    <row r="83" spans="1:15" ht="22.5" x14ac:dyDescent="0.25">
      <c r="A83" s="162"/>
      <c r="B83" s="179" t="s">
        <v>2015</v>
      </c>
      <c r="C83" s="18"/>
      <c r="D83" s="18"/>
      <c r="E83" s="18"/>
      <c r="F83" s="18"/>
      <c r="G83" s="18"/>
      <c r="H83" s="18"/>
      <c r="I83" s="18"/>
      <c r="J83" s="18"/>
      <c r="K83" s="18"/>
      <c r="L83" s="18"/>
      <c r="M83" s="18"/>
      <c r="N83" s="18"/>
      <c r="O83" s="69"/>
    </row>
    <row r="84" spans="1:15" x14ac:dyDescent="0.25">
      <c r="A84" s="162"/>
      <c r="B84" s="153"/>
      <c r="C84" s="18"/>
      <c r="D84" s="18"/>
      <c r="E84" s="18"/>
      <c r="F84" s="18"/>
      <c r="G84" s="18"/>
      <c r="H84" s="18"/>
      <c r="I84" s="18"/>
      <c r="J84" s="18"/>
      <c r="K84" s="18"/>
      <c r="L84" s="18"/>
      <c r="M84" s="18"/>
      <c r="N84" s="18"/>
      <c r="O84" s="69"/>
    </row>
    <row r="85" spans="1:15" x14ac:dyDescent="0.25">
      <c r="A85" s="162" t="s">
        <v>2016</v>
      </c>
      <c r="B85" s="153" t="s">
        <v>1985</v>
      </c>
      <c r="C85" s="52"/>
      <c r="D85" s="52"/>
      <c r="E85" s="52"/>
      <c r="F85" s="52"/>
      <c r="G85" s="64"/>
      <c r="H85" s="64"/>
      <c r="I85" s="64"/>
      <c r="J85" s="64"/>
      <c r="K85" s="64"/>
      <c r="L85" s="64"/>
      <c r="M85" s="64"/>
      <c r="N85" s="64"/>
      <c r="O85" s="69"/>
    </row>
    <row r="86" spans="1:15" x14ac:dyDescent="0.25">
      <c r="A86" s="162"/>
      <c r="B86" s="153"/>
      <c r="C86" s="18"/>
      <c r="D86" s="18"/>
      <c r="E86" s="18"/>
      <c r="F86" s="18"/>
      <c r="G86" s="18"/>
      <c r="H86" s="18"/>
      <c r="I86" s="18"/>
      <c r="J86" s="18"/>
      <c r="K86" s="18"/>
      <c r="L86" s="18"/>
      <c r="M86" s="18"/>
      <c r="N86" s="18"/>
      <c r="O86" s="69"/>
    </row>
    <row r="87" spans="1:15" ht="33.75" x14ac:dyDescent="0.25">
      <c r="A87" s="162"/>
      <c r="B87" s="179" t="s">
        <v>2017</v>
      </c>
      <c r="C87" s="18"/>
      <c r="D87" s="18"/>
      <c r="E87" s="18"/>
      <c r="F87" s="18"/>
      <c r="G87" s="18"/>
      <c r="H87" s="18"/>
      <c r="I87" s="18"/>
      <c r="J87" s="18"/>
      <c r="K87" s="18"/>
      <c r="L87" s="18"/>
      <c r="M87" s="18"/>
      <c r="N87" s="18"/>
      <c r="O87" s="69"/>
    </row>
    <row r="88" spans="1:15" x14ac:dyDescent="0.25">
      <c r="A88" s="162"/>
      <c r="B88" s="153"/>
      <c r="C88" s="18"/>
      <c r="D88" s="18"/>
      <c r="E88" s="18"/>
      <c r="F88" s="18"/>
      <c r="G88" s="18"/>
      <c r="H88" s="18"/>
      <c r="I88" s="18"/>
      <c r="J88" s="18"/>
      <c r="K88" s="18"/>
      <c r="L88" s="18"/>
      <c r="M88" s="18"/>
      <c r="N88" s="18"/>
      <c r="O88" s="69"/>
    </row>
    <row r="89" spans="1:15" x14ac:dyDescent="0.25">
      <c r="A89" s="162" t="s">
        <v>2018</v>
      </c>
      <c r="B89" s="153" t="s">
        <v>2019</v>
      </c>
      <c r="C89" s="52"/>
      <c r="D89" s="52"/>
      <c r="E89" s="52"/>
      <c r="F89" s="52"/>
      <c r="G89" s="64"/>
      <c r="H89" s="64"/>
      <c r="I89" s="64"/>
      <c r="J89" s="64"/>
      <c r="K89" s="64"/>
      <c r="L89" s="64"/>
      <c r="M89" s="64"/>
      <c r="N89" s="64"/>
      <c r="O89" s="69"/>
    </row>
    <row r="90" spans="1:15" x14ac:dyDescent="0.25">
      <c r="A90" s="162"/>
      <c r="B90" s="153"/>
      <c r="C90" s="18"/>
      <c r="D90" s="18"/>
      <c r="E90" s="18"/>
      <c r="F90" s="18"/>
      <c r="G90" s="18"/>
      <c r="H90" s="18"/>
      <c r="I90" s="18"/>
      <c r="J90" s="18"/>
      <c r="K90" s="18"/>
      <c r="L90" s="18"/>
      <c r="M90" s="18"/>
      <c r="N90" s="18"/>
      <c r="O90" s="69"/>
    </row>
    <row r="91" spans="1:15" x14ac:dyDescent="0.25">
      <c r="A91" s="162"/>
      <c r="B91" s="179" t="s">
        <v>1798</v>
      </c>
      <c r="C91" s="18"/>
      <c r="D91" s="18"/>
      <c r="E91" s="18"/>
      <c r="F91" s="18"/>
      <c r="G91" s="18"/>
      <c r="H91" s="18"/>
      <c r="I91" s="18"/>
      <c r="J91" s="18"/>
      <c r="K91" s="18"/>
      <c r="L91" s="18"/>
      <c r="M91" s="18"/>
      <c r="N91" s="18"/>
      <c r="O91" s="69"/>
    </row>
    <row r="92" spans="1:15" x14ac:dyDescent="0.25">
      <c r="A92" s="162"/>
      <c r="B92" s="153"/>
      <c r="C92" s="18"/>
      <c r="D92" s="18"/>
      <c r="E92" s="18"/>
      <c r="F92" s="18"/>
      <c r="G92" s="18"/>
      <c r="H92" s="18"/>
      <c r="I92" s="18"/>
      <c r="J92" s="18"/>
      <c r="K92" s="18"/>
      <c r="L92" s="18"/>
      <c r="M92" s="18"/>
      <c r="N92" s="18"/>
      <c r="O92" s="69"/>
    </row>
    <row r="93" spans="1:15" x14ac:dyDescent="0.25">
      <c r="A93" s="162" t="s">
        <v>2020</v>
      </c>
      <c r="B93" s="153" t="s">
        <v>2019</v>
      </c>
      <c r="C93" s="52"/>
      <c r="D93" s="52"/>
      <c r="E93" s="52"/>
      <c r="F93" s="52"/>
      <c r="G93" s="64"/>
      <c r="H93" s="64"/>
      <c r="I93" s="64"/>
      <c r="J93" s="64"/>
      <c r="K93" s="64"/>
      <c r="L93" s="64"/>
      <c r="M93" s="64"/>
      <c r="N93" s="64"/>
      <c r="O93" s="69"/>
    </row>
    <row r="94" spans="1:15" x14ac:dyDescent="0.25">
      <c r="A94" s="162"/>
      <c r="B94" s="153"/>
      <c r="C94" s="18"/>
      <c r="D94" s="18"/>
      <c r="E94" s="18"/>
      <c r="F94" s="18"/>
      <c r="G94" s="18"/>
      <c r="H94" s="18"/>
      <c r="I94" s="18"/>
      <c r="J94" s="18"/>
      <c r="K94" s="18"/>
      <c r="L94" s="18"/>
      <c r="M94" s="18"/>
      <c r="N94" s="18"/>
      <c r="O94" s="69"/>
    </row>
    <row r="95" spans="1:15" x14ac:dyDescent="0.25">
      <c r="A95" s="162"/>
      <c r="B95" s="179" t="s">
        <v>786</v>
      </c>
      <c r="C95" s="18"/>
      <c r="D95" s="18"/>
      <c r="E95" s="18"/>
      <c r="F95" s="18"/>
      <c r="G95" s="18"/>
      <c r="H95" s="18"/>
      <c r="I95" s="18"/>
      <c r="J95" s="18"/>
      <c r="K95" s="18"/>
      <c r="L95" s="18"/>
      <c r="M95" s="18"/>
      <c r="N95" s="18"/>
      <c r="O95" s="69"/>
    </row>
    <row r="96" spans="1:15" x14ac:dyDescent="0.25">
      <c r="A96" s="162"/>
      <c r="B96" s="153"/>
      <c r="C96" s="18"/>
      <c r="D96" s="18"/>
      <c r="E96" s="18"/>
      <c r="F96" s="18"/>
      <c r="G96" s="18"/>
      <c r="H96" s="18"/>
      <c r="I96" s="18"/>
      <c r="J96" s="18"/>
      <c r="K96" s="18"/>
      <c r="L96" s="18"/>
      <c r="M96" s="18"/>
      <c r="N96" s="18"/>
      <c r="O96" s="69"/>
    </row>
    <row r="97" spans="1:15" x14ac:dyDescent="0.25">
      <c r="A97" s="162" t="s">
        <v>2021</v>
      </c>
      <c r="B97" s="153" t="s">
        <v>1985</v>
      </c>
      <c r="C97" s="52"/>
      <c r="D97" s="52"/>
      <c r="E97" s="52"/>
      <c r="F97" s="52"/>
      <c r="G97" s="64"/>
      <c r="H97" s="64"/>
      <c r="I97" s="64"/>
      <c r="J97" s="64"/>
      <c r="K97" s="64"/>
      <c r="L97" s="64"/>
      <c r="M97" s="64"/>
      <c r="N97" s="64"/>
      <c r="O97" s="69"/>
    </row>
    <row r="98" spans="1:15" x14ac:dyDescent="0.25">
      <c r="A98" s="162"/>
      <c r="B98" s="153"/>
      <c r="C98" s="18"/>
      <c r="D98" s="18"/>
      <c r="E98" s="18"/>
      <c r="F98" s="18"/>
      <c r="G98" s="18"/>
      <c r="H98" s="18"/>
      <c r="I98" s="18"/>
      <c r="J98" s="18"/>
      <c r="K98" s="18"/>
      <c r="L98" s="18"/>
      <c r="M98" s="18"/>
      <c r="N98" s="18"/>
      <c r="O98" s="69"/>
    </row>
    <row r="99" spans="1:15" x14ac:dyDescent="0.25">
      <c r="A99" s="162"/>
      <c r="B99" s="179" t="s">
        <v>1398</v>
      </c>
      <c r="C99" s="18"/>
      <c r="D99" s="18"/>
      <c r="E99" s="18"/>
      <c r="F99" s="18"/>
      <c r="G99" s="18"/>
      <c r="H99" s="18"/>
      <c r="I99" s="18"/>
      <c r="J99" s="18"/>
      <c r="K99" s="18"/>
      <c r="L99" s="18"/>
      <c r="M99" s="18"/>
      <c r="N99" s="18"/>
      <c r="O99" s="69"/>
    </row>
    <row r="100" spans="1:15" x14ac:dyDescent="0.25">
      <c r="A100" s="162"/>
      <c r="B100" s="153"/>
      <c r="C100" s="18"/>
      <c r="D100" s="18"/>
      <c r="E100" s="18"/>
      <c r="F100" s="18"/>
      <c r="G100" s="18"/>
      <c r="H100" s="18"/>
      <c r="I100" s="18"/>
      <c r="J100" s="18"/>
      <c r="K100" s="18"/>
      <c r="L100" s="18"/>
      <c r="M100" s="18"/>
      <c r="N100" s="18"/>
      <c r="O100" s="69"/>
    </row>
    <row r="101" spans="1:15" x14ac:dyDescent="0.25">
      <c r="A101" s="162" t="s">
        <v>2022</v>
      </c>
      <c r="B101" s="153" t="s">
        <v>1985</v>
      </c>
      <c r="C101" s="52"/>
      <c r="D101" s="52"/>
      <c r="E101" s="52"/>
      <c r="F101" s="52"/>
      <c r="G101" s="64"/>
      <c r="H101" s="64"/>
      <c r="I101" s="64"/>
      <c r="J101" s="64"/>
      <c r="K101" s="64"/>
      <c r="L101" s="64"/>
      <c r="M101" s="64"/>
      <c r="N101" s="64"/>
      <c r="O101" s="69"/>
    </row>
    <row r="102" spans="1:15" x14ac:dyDescent="0.25">
      <c r="A102" s="162"/>
      <c r="B102" s="153"/>
      <c r="C102" s="18"/>
      <c r="D102" s="18"/>
      <c r="E102" s="18"/>
      <c r="F102" s="18"/>
      <c r="G102" s="18"/>
      <c r="H102" s="18"/>
      <c r="I102" s="18"/>
      <c r="J102" s="18"/>
      <c r="K102" s="18"/>
      <c r="L102" s="18"/>
      <c r="M102" s="18"/>
      <c r="N102" s="18"/>
      <c r="O102" s="69"/>
    </row>
    <row r="103" spans="1:15" x14ac:dyDescent="0.25">
      <c r="A103" s="162"/>
      <c r="B103" s="179" t="s">
        <v>1799</v>
      </c>
      <c r="C103" s="18"/>
      <c r="D103" s="18"/>
      <c r="E103" s="18"/>
      <c r="F103" s="18"/>
      <c r="G103" s="18"/>
      <c r="H103" s="18"/>
      <c r="I103" s="18"/>
      <c r="J103" s="18"/>
      <c r="K103" s="18"/>
      <c r="L103" s="18"/>
      <c r="M103" s="18"/>
      <c r="N103" s="18"/>
      <c r="O103" s="69"/>
    </row>
    <row r="104" spans="1:15" x14ac:dyDescent="0.25">
      <c r="A104" s="162"/>
      <c r="B104" s="153"/>
      <c r="C104" s="18"/>
      <c r="D104" s="18"/>
      <c r="E104" s="18"/>
      <c r="F104" s="18"/>
      <c r="G104" s="18"/>
      <c r="H104" s="18"/>
      <c r="I104" s="18"/>
      <c r="J104" s="18"/>
      <c r="K104" s="18"/>
      <c r="L104" s="18"/>
      <c r="M104" s="18"/>
      <c r="N104" s="18"/>
      <c r="O104" s="69"/>
    </row>
    <row r="105" spans="1:15" ht="56.25" x14ac:dyDescent="0.25">
      <c r="A105" s="162" t="s">
        <v>2023</v>
      </c>
      <c r="B105" s="153" t="s">
        <v>2024</v>
      </c>
      <c r="C105" s="52"/>
      <c r="D105" s="52"/>
      <c r="E105" s="52"/>
      <c r="F105" s="52"/>
      <c r="G105" s="64"/>
      <c r="H105" s="64"/>
      <c r="I105" s="64"/>
      <c r="J105" s="64"/>
      <c r="K105" s="64"/>
      <c r="L105" s="64"/>
      <c r="M105" s="64"/>
      <c r="N105" s="64"/>
      <c r="O105" s="69"/>
    </row>
    <row r="106" spans="1:15" ht="45" x14ac:dyDescent="0.25">
      <c r="A106" s="162" t="s">
        <v>2025</v>
      </c>
      <c r="B106" s="153" t="s">
        <v>2026</v>
      </c>
      <c r="C106" s="52"/>
      <c r="D106" s="52"/>
      <c r="E106" s="52"/>
      <c r="F106" s="52"/>
      <c r="G106" s="64"/>
      <c r="H106" s="64"/>
      <c r="I106" s="64"/>
      <c r="J106" s="64"/>
      <c r="K106" s="64"/>
      <c r="L106" s="64"/>
      <c r="M106" s="64"/>
      <c r="N106" s="64"/>
      <c r="O106" s="69"/>
    </row>
    <row r="107" spans="1:15" ht="33.75" x14ac:dyDescent="0.25">
      <c r="A107" s="162" t="s">
        <v>2027</v>
      </c>
      <c r="B107" s="153" t="s">
        <v>2028</v>
      </c>
      <c r="C107" s="52"/>
      <c r="D107" s="52"/>
      <c r="E107" s="52"/>
      <c r="F107" s="52"/>
      <c r="G107" s="64"/>
      <c r="H107" s="64"/>
      <c r="I107" s="64"/>
      <c r="J107" s="64"/>
      <c r="K107" s="64"/>
      <c r="L107" s="64"/>
      <c r="M107" s="64"/>
      <c r="N107" s="64"/>
      <c r="O107" s="69"/>
    </row>
    <row r="108" spans="1:15" ht="22.5" x14ac:dyDescent="0.25">
      <c r="A108" s="162" t="s">
        <v>2029</v>
      </c>
      <c r="B108" s="153" t="s">
        <v>2030</v>
      </c>
      <c r="C108" s="52"/>
      <c r="D108" s="52"/>
      <c r="E108" s="52"/>
      <c r="F108" s="52"/>
      <c r="G108" s="64"/>
      <c r="H108" s="64"/>
      <c r="I108" s="64"/>
      <c r="J108" s="64"/>
      <c r="K108" s="64"/>
      <c r="L108" s="64"/>
      <c r="M108" s="64"/>
      <c r="N108" s="64"/>
      <c r="O108" s="69"/>
    </row>
    <row r="109" spans="1:15" ht="22.5" x14ac:dyDescent="0.25">
      <c r="A109" s="162" t="s">
        <v>2031</v>
      </c>
      <c r="B109" s="153" t="s">
        <v>2032</v>
      </c>
      <c r="C109" s="52"/>
      <c r="D109" s="52"/>
      <c r="E109" s="52"/>
      <c r="F109" s="52"/>
      <c r="G109" s="64"/>
      <c r="H109" s="64"/>
      <c r="I109" s="64"/>
      <c r="J109" s="64"/>
      <c r="K109" s="64"/>
      <c r="L109" s="64"/>
      <c r="M109" s="64"/>
      <c r="N109" s="64"/>
      <c r="O109" s="69"/>
    </row>
    <row r="110" spans="1:15" x14ac:dyDescent="0.25">
      <c r="A110" s="162"/>
      <c r="B110" s="153"/>
      <c r="C110" s="18"/>
      <c r="D110" s="18"/>
      <c r="E110" s="18"/>
      <c r="F110" s="18"/>
      <c r="G110" s="18"/>
      <c r="H110" s="18"/>
      <c r="I110" s="18"/>
      <c r="J110" s="18"/>
      <c r="K110" s="18"/>
      <c r="L110" s="18"/>
      <c r="M110" s="18"/>
      <c r="N110" s="18"/>
      <c r="O110" s="69"/>
    </row>
    <row r="111" spans="1:15" x14ac:dyDescent="0.25">
      <c r="A111" s="162"/>
      <c r="B111" s="179" t="s">
        <v>2033</v>
      </c>
      <c r="C111" s="18"/>
      <c r="D111" s="18"/>
      <c r="E111" s="18"/>
      <c r="F111" s="18"/>
      <c r="G111" s="18"/>
      <c r="H111" s="18"/>
      <c r="I111" s="18"/>
      <c r="J111" s="18"/>
      <c r="K111" s="18"/>
      <c r="L111" s="18"/>
      <c r="M111" s="18"/>
      <c r="N111" s="18"/>
      <c r="O111" s="69"/>
    </row>
    <row r="112" spans="1:15" x14ac:dyDescent="0.25">
      <c r="A112" s="162"/>
      <c r="B112" s="153"/>
      <c r="C112" s="18"/>
      <c r="D112" s="18"/>
      <c r="E112" s="18"/>
      <c r="F112" s="18"/>
      <c r="G112" s="18"/>
      <c r="H112" s="18"/>
      <c r="I112" s="18"/>
      <c r="J112" s="18"/>
      <c r="K112" s="18"/>
      <c r="L112" s="18"/>
      <c r="M112" s="18"/>
      <c r="N112" s="18"/>
      <c r="O112" s="69"/>
    </row>
    <row r="113" spans="1:15" ht="22.5" x14ac:dyDescent="0.25">
      <c r="A113" s="162" t="s">
        <v>2034</v>
      </c>
      <c r="B113" s="153" t="s">
        <v>2035</v>
      </c>
      <c r="C113" s="52"/>
      <c r="D113" s="52"/>
      <c r="E113" s="52"/>
      <c r="F113" s="52"/>
      <c r="G113" s="64"/>
      <c r="H113" s="64"/>
      <c r="I113" s="64"/>
      <c r="J113" s="64"/>
      <c r="K113" s="64"/>
      <c r="L113" s="64"/>
      <c r="M113" s="64"/>
      <c r="N113" s="64"/>
      <c r="O113" s="69"/>
    </row>
    <row r="114" spans="1:15" x14ac:dyDescent="0.25">
      <c r="A114" s="162"/>
      <c r="B114" s="153"/>
      <c r="C114" s="18"/>
      <c r="D114" s="18"/>
      <c r="E114" s="18"/>
      <c r="F114" s="18"/>
      <c r="G114" s="18"/>
      <c r="H114" s="18"/>
      <c r="I114" s="18"/>
      <c r="J114" s="18"/>
      <c r="K114" s="18"/>
      <c r="L114" s="18"/>
      <c r="M114" s="18"/>
      <c r="N114" s="18"/>
      <c r="O114" s="69"/>
    </row>
    <row r="115" spans="1:15" ht="33.75" x14ac:dyDescent="0.25">
      <c r="A115" s="162"/>
      <c r="B115" s="179" t="s">
        <v>2036</v>
      </c>
      <c r="C115" s="18"/>
      <c r="D115" s="18"/>
      <c r="E115" s="18"/>
      <c r="F115" s="18"/>
      <c r="G115" s="18"/>
      <c r="H115" s="18"/>
      <c r="I115" s="18"/>
      <c r="J115" s="18"/>
      <c r="K115" s="18"/>
      <c r="L115" s="18"/>
      <c r="M115" s="18"/>
      <c r="N115" s="18"/>
      <c r="O115" s="69"/>
    </row>
    <row r="116" spans="1:15" x14ac:dyDescent="0.25">
      <c r="A116" s="162"/>
      <c r="B116" s="153"/>
      <c r="C116" s="18"/>
      <c r="D116" s="18"/>
      <c r="E116" s="18"/>
      <c r="F116" s="18"/>
      <c r="G116" s="18"/>
      <c r="H116" s="18"/>
      <c r="I116" s="18"/>
      <c r="J116" s="18"/>
      <c r="K116" s="18"/>
      <c r="L116" s="18"/>
      <c r="M116" s="18"/>
      <c r="N116" s="18"/>
      <c r="O116" s="69"/>
    </row>
    <row r="117" spans="1:15" ht="33.75" x14ac:dyDescent="0.25">
      <c r="A117" s="162" t="s">
        <v>2037</v>
      </c>
      <c r="B117" s="153" t="s">
        <v>5415</v>
      </c>
      <c r="C117" s="52"/>
      <c r="D117" s="52"/>
      <c r="E117" s="52"/>
      <c r="F117" s="52"/>
      <c r="G117" s="64"/>
      <c r="H117" s="64"/>
      <c r="I117" s="64"/>
      <c r="J117" s="64"/>
      <c r="K117" s="64"/>
      <c r="L117" s="64"/>
      <c r="M117" s="64"/>
      <c r="N117" s="64"/>
      <c r="O117" s="69"/>
    </row>
    <row r="118" spans="1:15" x14ac:dyDescent="0.25">
      <c r="A118" s="162"/>
      <c r="B118" s="153"/>
      <c r="C118" s="18"/>
      <c r="D118" s="18"/>
      <c r="E118" s="18"/>
      <c r="F118" s="18"/>
      <c r="G118" s="18"/>
      <c r="H118" s="18"/>
      <c r="I118" s="18"/>
      <c r="J118" s="18"/>
      <c r="K118" s="18"/>
      <c r="L118" s="18"/>
      <c r="M118" s="18"/>
      <c r="N118" s="18"/>
      <c r="O118" s="69"/>
    </row>
    <row r="119" spans="1:15" ht="22.5" x14ac:dyDescent="0.25">
      <c r="A119" s="162"/>
      <c r="B119" s="179" t="s">
        <v>2038</v>
      </c>
      <c r="C119" s="18"/>
      <c r="D119" s="18"/>
      <c r="E119" s="18"/>
      <c r="F119" s="18"/>
      <c r="G119" s="18"/>
      <c r="H119" s="18"/>
      <c r="I119" s="18"/>
      <c r="J119" s="18"/>
      <c r="K119" s="18"/>
      <c r="L119" s="18"/>
      <c r="M119" s="18"/>
      <c r="N119" s="18"/>
      <c r="O119" s="69"/>
    </row>
    <row r="120" spans="1:15" x14ac:dyDescent="0.25">
      <c r="A120" s="162"/>
      <c r="B120" s="153"/>
      <c r="C120" s="18"/>
      <c r="D120" s="18"/>
      <c r="E120" s="18"/>
      <c r="F120" s="18"/>
      <c r="G120" s="18"/>
      <c r="H120" s="18"/>
      <c r="I120" s="18"/>
      <c r="J120" s="18"/>
      <c r="K120" s="18"/>
      <c r="L120" s="18"/>
      <c r="M120" s="18"/>
      <c r="N120" s="18"/>
      <c r="O120" s="69"/>
    </row>
    <row r="121" spans="1:15" x14ac:dyDescent="0.25">
      <c r="A121" s="162" t="s">
        <v>2039</v>
      </c>
      <c r="B121" s="153" t="s">
        <v>2040</v>
      </c>
      <c r="C121" s="52"/>
      <c r="D121" s="52"/>
      <c r="E121" s="52"/>
      <c r="F121" s="52"/>
      <c r="G121" s="64"/>
      <c r="H121" s="64"/>
      <c r="I121" s="64"/>
      <c r="J121" s="64"/>
      <c r="K121" s="64"/>
      <c r="L121" s="64"/>
      <c r="M121" s="64"/>
      <c r="N121" s="64"/>
      <c r="O121" s="69"/>
    </row>
    <row r="122" spans="1:15" x14ac:dyDescent="0.25">
      <c r="A122" s="162"/>
      <c r="B122" s="153"/>
      <c r="C122" s="18"/>
      <c r="D122" s="18"/>
      <c r="E122" s="18"/>
      <c r="F122" s="18"/>
      <c r="G122" s="18"/>
      <c r="H122" s="18"/>
      <c r="I122" s="18"/>
      <c r="J122" s="18"/>
      <c r="K122" s="18"/>
      <c r="L122" s="18"/>
      <c r="M122" s="18"/>
      <c r="N122" s="18"/>
      <c r="O122" s="69"/>
    </row>
    <row r="123" spans="1:15" ht="22.5" x14ac:dyDescent="0.25">
      <c r="A123" s="162"/>
      <c r="B123" s="179" t="s">
        <v>2041</v>
      </c>
      <c r="C123" s="18"/>
      <c r="D123" s="18"/>
      <c r="E123" s="18"/>
      <c r="F123" s="18"/>
      <c r="G123" s="18"/>
      <c r="H123" s="18"/>
      <c r="I123" s="18"/>
      <c r="J123" s="18"/>
      <c r="K123" s="18"/>
      <c r="L123" s="18"/>
      <c r="M123" s="18"/>
      <c r="N123" s="18"/>
      <c r="O123" s="69"/>
    </row>
    <row r="124" spans="1:15" x14ac:dyDescent="0.25">
      <c r="A124" s="162"/>
      <c r="B124" s="153"/>
      <c r="C124" s="18"/>
      <c r="D124" s="18"/>
      <c r="E124" s="18"/>
      <c r="F124" s="18"/>
      <c r="G124" s="18"/>
      <c r="H124" s="18"/>
      <c r="I124" s="18"/>
      <c r="J124" s="18"/>
      <c r="K124" s="18"/>
      <c r="L124" s="18"/>
      <c r="M124" s="18"/>
      <c r="N124" s="18"/>
      <c r="O124" s="69"/>
    </row>
    <row r="125" spans="1:15" x14ac:dyDescent="0.25">
      <c r="A125" s="162" t="s">
        <v>2042</v>
      </c>
      <c r="B125" s="153" t="s">
        <v>1985</v>
      </c>
      <c r="C125" s="52"/>
      <c r="D125" s="52"/>
      <c r="E125" s="52"/>
      <c r="F125" s="52"/>
      <c r="G125" s="64"/>
      <c r="H125" s="64"/>
      <c r="I125" s="64"/>
      <c r="J125" s="64"/>
      <c r="K125" s="64"/>
      <c r="L125" s="64"/>
      <c r="M125" s="64"/>
      <c r="N125" s="64"/>
      <c r="O125" s="69"/>
    </row>
    <row r="126" spans="1:15" x14ac:dyDescent="0.25">
      <c r="A126" s="162"/>
      <c r="B126" s="153"/>
      <c r="C126" s="18"/>
      <c r="D126" s="18"/>
      <c r="E126" s="18"/>
      <c r="F126" s="18"/>
      <c r="G126" s="18"/>
      <c r="H126" s="18"/>
      <c r="I126" s="18"/>
      <c r="J126" s="18"/>
      <c r="K126" s="18"/>
      <c r="L126" s="18"/>
      <c r="M126" s="18"/>
      <c r="N126" s="18"/>
      <c r="O126" s="69"/>
    </row>
    <row r="127" spans="1:15" ht="22.5" x14ac:dyDescent="0.25">
      <c r="A127" s="162"/>
      <c r="B127" s="179" t="s">
        <v>2043</v>
      </c>
      <c r="C127" s="18"/>
      <c r="D127" s="18"/>
      <c r="E127" s="18"/>
      <c r="F127" s="18"/>
      <c r="G127" s="18"/>
      <c r="H127" s="18"/>
      <c r="I127" s="18"/>
      <c r="J127" s="18"/>
      <c r="K127" s="18"/>
      <c r="L127" s="18"/>
      <c r="M127" s="18"/>
      <c r="N127" s="18"/>
      <c r="O127" s="69"/>
    </row>
    <row r="128" spans="1:15" x14ac:dyDescent="0.25">
      <c r="A128" s="162"/>
      <c r="B128" s="153"/>
      <c r="C128" s="18"/>
      <c r="D128" s="18"/>
      <c r="E128" s="18"/>
      <c r="F128" s="18"/>
      <c r="G128" s="18"/>
      <c r="H128" s="18"/>
      <c r="I128" s="18"/>
      <c r="J128" s="18"/>
      <c r="K128" s="18"/>
      <c r="L128" s="18"/>
      <c r="M128" s="18"/>
      <c r="N128" s="18"/>
      <c r="O128" s="69"/>
    </row>
    <row r="129" spans="1:15" x14ac:dyDescent="0.25">
      <c r="A129" s="162" t="s">
        <v>2044</v>
      </c>
      <c r="B129" s="153" t="s">
        <v>1985</v>
      </c>
      <c r="C129" s="52"/>
      <c r="D129" s="52"/>
      <c r="E129" s="52"/>
      <c r="F129" s="52"/>
      <c r="G129" s="64"/>
      <c r="H129" s="64"/>
      <c r="I129" s="64"/>
      <c r="J129" s="64"/>
      <c r="K129" s="64"/>
      <c r="L129" s="64"/>
      <c r="M129" s="64"/>
      <c r="N129" s="64"/>
      <c r="O129" s="69"/>
    </row>
    <row r="130" spans="1:15" x14ac:dyDescent="0.25">
      <c r="A130" s="162"/>
      <c r="B130" s="153"/>
      <c r="C130" s="18"/>
      <c r="D130" s="18"/>
      <c r="E130" s="18"/>
      <c r="F130" s="18"/>
      <c r="G130" s="18"/>
      <c r="H130" s="18"/>
      <c r="I130" s="18"/>
      <c r="J130" s="18"/>
      <c r="K130" s="18"/>
      <c r="L130" s="18"/>
      <c r="M130" s="18"/>
      <c r="N130" s="18"/>
      <c r="O130" s="69"/>
    </row>
    <row r="131" spans="1:15" ht="22.5" x14ac:dyDescent="0.25">
      <c r="A131" s="162"/>
      <c r="B131" s="179" t="s">
        <v>5589</v>
      </c>
      <c r="C131" s="18"/>
      <c r="D131" s="18"/>
      <c r="E131" s="18"/>
      <c r="F131" s="18"/>
      <c r="G131" s="18"/>
      <c r="H131" s="18"/>
      <c r="I131" s="18"/>
      <c r="J131" s="18"/>
      <c r="K131" s="18"/>
      <c r="L131" s="18"/>
      <c r="M131" s="18"/>
      <c r="N131" s="18"/>
      <c r="O131" s="69"/>
    </row>
    <row r="132" spans="1:15" x14ac:dyDescent="0.25">
      <c r="A132" s="162"/>
      <c r="B132" s="182"/>
      <c r="C132" s="18"/>
      <c r="D132" s="18"/>
      <c r="E132" s="18"/>
      <c r="F132" s="18"/>
      <c r="G132" s="18"/>
      <c r="H132" s="18"/>
      <c r="I132" s="18"/>
      <c r="J132" s="18"/>
      <c r="K132" s="18"/>
      <c r="L132" s="18"/>
      <c r="M132" s="18"/>
      <c r="N132" s="18"/>
      <c r="O132" s="69"/>
    </row>
    <row r="133" spans="1:15" x14ac:dyDescent="0.25">
      <c r="A133" s="162" t="s">
        <v>2045</v>
      </c>
      <c r="B133" s="153" t="s">
        <v>1985</v>
      </c>
      <c r="C133" s="52"/>
      <c r="D133" s="52"/>
      <c r="E133" s="52"/>
      <c r="F133" s="52"/>
      <c r="G133" s="64"/>
      <c r="H133" s="64"/>
      <c r="I133" s="64"/>
      <c r="J133" s="64"/>
      <c r="K133" s="64"/>
      <c r="L133" s="64"/>
      <c r="M133" s="64"/>
      <c r="N133" s="64"/>
      <c r="O133" s="69"/>
    </row>
    <row r="134" spans="1:15" x14ac:dyDescent="0.25">
      <c r="A134" s="162"/>
      <c r="B134" s="153"/>
      <c r="C134" s="18"/>
      <c r="D134" s="18"/>
      <c r="E134" s="18"/>
      <c r="F134" s="18"/>
      <c r="G134" s="18"/>
      <c r="H134" s="18"/>
      <c r="I134" s="18"/>
      <c r="J134" s="18"/>
      <c r="K134" s="18"/>
      <c r="L134" s="18"/>
      <c r="M134" s="18"/>
      <c r="N134" s="18"/>
      <c r="O134" s="69"/>
    </row>
    <row r="135" spans="1:15" ht="33.75" x14ac:dyDescent="0.25">
      <c r="A135" s="162"/>
      <c r="B135" s="179" t="s">
        <v>1996</v>
      </c>
      <c r="C135" s="18"/>
      <c r="D135" s="18"/>
      <c r="E135" s="18"/>
      <c r="F135" s="18"/>
      <c r="G135" s="18"/>
      <c r="H135" s="18"/>
      <c r="I135" s="18"/>
      <c r="J135" s="18"/>
      <c r="K135" s="18"/>
      <c r="L135" s="18"/>
      <c r="M135" s="18"/>
      <c r="N135" s="18"/>
      <c r="O135" s="69"/>
    </row>
    <row r="136" spans="1:15" x14ac:dyDescent="0.25">
      <c r="A136" s="162"/>
      <c r="B136" s="153"/>
      <c r="C136" s="18"/>
      <c r="D136" s="18"/>
      <c r="E136" s="18"/>
      <c r="F136" s="18"/>
      <c r="G136" s="18"/>
      <c r="H136" s="18"/>
      <c r="I136" s="18"/>
      <c r="J136" s="18"/>
      <c r="K136" s="18"/>
      <c r="L136" s="18"/>
      <c r="M136" s="18"/>
      <c r="N136" s="18"/>
      <c r="O136" s="69"/>
    </row>
    <row r="137" spans="1:15" x14ac:dyDescent="0.25">
      <c r="A137" s="162" t="s">
        <v>2046</v>
      </c>
      <c r="B137" s="153" t="s">
        <v>2047</v>
      </c>
      <c r="C137" s="52"/>
      <c r="D137" s="52"/>
      <c r="E137" s="52"/>
      <c r="F137" s="52"/>
      <c r="G137" s="64"/>
      <c r="H137" s="64"/>
      <c r="I137" s="64"/>
      <c r="J137" s="64"/>
      <c r="K137" s="64"/>
      <c r="L137" s="64"/>
      <c r="M137" s="64"/>
      <c r="N137" s="64"/>
      <c r="O137" s="69"/>
    </row>
    <row r="138" spans="1:15" x14ac:dyDescent="0.25">
      <c r="A138" s="162"/>
      <c r="B138" s="153"/>
      <c r="C138" s="18"/>
      <c r="D138" s="18"/>
      <c r="E138" s="18"/>
      <c r="F138" s="18"/>
      <c r="G138" s="18"/>
      <c r="H138" s="18"/>
      <c r="I138" s="18"/>
      <c r="J138" s="18"/>
      <c r="K138" s="18"/>
      <c r="L138" s="18"/>
      <c r="M138" s="18"/>
      <c r="N138" s="18"/>
      <c r="O138" s="69"/>
    </row>
    <row r="139" spans="1:15" ht="22.5" x14ac:dyDescent="0.25">
      <c r="A139" s="162"/>
      <c r="B139" s="179" t="s">
        <v>5590</v>
      </c>
      <c r="C139" s="18"/>
      <c r="D139" s="18"/>
      <c r="E139" s="18"/>
      <c r="F139" s="18"/>
      <c r="G139" s="18"/>
      <c r="H139" s="18"/>
      <c r="I139" s="18"/>
      <c r="J139" s="18"/>
      <c r="K139" s="18"/>
      <c r="L139" s="18"/>
      <c r="M139" s="18"/>
      <c r="N139" s="18"/>
      <c r="O139" s="69"/>
    </row>
    <row r="140" spans="1:15" x14ac:dyDescent="0.25">
      <c r="A140" s="163"/>
      <c r="B140" s="160"/>
      <c r="C140" s="18"/>
      <c r="D140" s="18"/>
      <c r="E140" s="18"/>
      <c r="F140" s="18"/>
      <c r="G140" s="18"/>
      <c r="H140" s="18"/>
      <c r="I140" s="18"/>
      <c r="J140" s="18"/>
      <c r="K140" s="18"/>
      <c r="L140" s="18"/>
      <c r="M140" s="18"/>
      <c r="N140" s="18"/>
      <c r="O140" s="69"/>
    </row>
    <row r="141" spans="1:15" x14ac:dyDescent="0.25">
      <c r="A141" s="162" t="s">
        <v>2048</v>
      </c>
      <c r="B141" s="153" t="s">
        <v>1985</v>
      </c>
      <c r="C141" s="52"/>
      <c r="D141" s="52"/>
      <c r="E141" s="52"/>
      <c r="F141" s="52"/>
      <c r="G141" s="64"/>
      <c r="H141" s="64"/>
      <c r="I141" s="64"/>
      <c r="J141" s="64"/>
      <c r="K141" s="64"/>
      <c r="L141" s="64"/>
      <c r="M141" s="64"/>
      <c r="N141" s="64"/>
      <c r="O141" s="69"/>
    </row>
    <row r="142" spans="1:15" x14ac:dyDescent="0.25">
      <c r="A142" s="162"/>
      <c r="B142" s="153"/>
      <c r="C142" s="18"/>
      <c r="D142" s="18"/>
      <c r="E142" s="18"/>
      <c r="F142" s="18"/>
      <c r="G142" s="18"/>
      <c r="H142" s="18"/>
      <c r="I142" s="18"/>
      <c r="J142" s="18"/>
      <c r="K142" s="18"/>
      <c r="L142" s="18"/>
      <c r="M142" s="18"/>
      <c r="N142" s="18"/>
      <c r="O142" s="69"/>
    </row>
    <row r="143" spans="1:15" ht="22.5" x14ac:dyDescent="0.25">
      <c r="A143" s="162"/>
      <c r="B143" s="179" t="s">
        <v>5591</v>
      </c>
      <c r="C143" s="18"/>
      <c r="D143" s="18"/>
      <c r="E143" s="18"/>
      <c r="F143" s="18"/>
      <c r="G143" s="18"/>
      <c r="H143" s="18"/>
      <c r="I143" s="18"/>
      <c r="J143" s="18"/>
      <c r="K143" s="18"/>
      <c r="L143" s="18"/>
      <c r="M143" s="18"/>
      <c r="N143" s="18"/>
      <c r="O143" s="69"/>
    </row>
    <row r="144" spans="1:15" x14ac:dyDescent="0.25">
      <c r="A144" s="162"/>
      <c r="B144" s="153"/>
      <c r="C144" s="18"/>
      <c r="D144" s="18"/>
      <c r="E144" s="18"/>
      <c r="F144" s="18"/>
      <c r="G144" s="18"/>
      <c r="H144" s="18"/>
      <c r="I144" s="18"/>
      <c r="J144" s="18"/>
      <c r="K144" s="18"/>
      <c r="L144" s="18"/>
      <c r="M144" s="18"/>
      <c r="N144" s="18"/>
      <c r="O144" s="69"/>
    </row>
    <row r="145" spans="1:15" x14ac:dyDescent="0.25">
      <c r="A145" s="162" t="s">
        <v>2049</v>
      </c>
      <c r="B145" s="153" t="s">
        <v>1985</v>
      </c>
      <c r="C145" s="52"/>
      <c r="D145" s="52"/>
      <c r="E145" s="52"/>
      <c r="F145" s="52"/>
      <c r="G145" s="64"/>
      <c r="H145" s="64"/>
      <c r="I145" s="64"/>
      <c r="J145" s="64"/>
      <c r="K145" s="64"/>
      <c r="L145" s="64"/>
      <c r="M145" s="64"/>
      <c r="N145" s="64"/>
      <c r="O145" s="69"/>
    </row>
    <row r="146" spans="1:15" x14ac:dyDescent="0.25">
      <c r="A146" s="162"/>
      <c r="B146" s="153"/>
      <c r="C146" s="18"/>
      <c r="D146" s="18"/>
      <c r="E146" s="18"/>
      <c r="F146" s="18"/>
      <c r="G146" s="18"/>
      <c r="H146" s="18"/>
      <c r="I146" s="18"/>
      <c r="J146" s="18"/>
      <c r="K146" s="18"/>
      <c r="L146" s="18"/>
      <c r="M146" s="18"/>
      <c r="N146" s="18"/>
      <c r="O146" s="69"/>
    </row>
    <row r="147" spans="1:15" ht="22.5" x14ac:dyDescent="0.25">
      <c r="A147" s="162"/>
      <c r="B147" s="179" t="s">
        <v>5592</v>
      </c>
      <c r="C147" s="18"/>
      <c r="D147" s="18"/>
      <c r="E147" s="18"/>
      <c r="F147" s="18"/>
      <c r="G147" s="18"/>
      <c r="H147" s="18"/>
      <c r="I147" s="18"/>
      <c r="J147" s="18"/>
      <c r="K147" s="18"/>
      <c r="L147" s="18"/>
      <c r="M147" s="18"/>
      <c r="N147" s="18"/>
      <c r="O147" s="69"/>
    </row>
    <row r="148" spans="1:15" x14ac:dyDescent="0.25">
      <c r="A148" s="163"/>
      <c r="B148" s="160"/>
      <c r="C148" s="18"/>
      <c r="D148" s="18"/>
      <c r="E148" s="18"/>
      <c r="F148" s="18"/>
      <c r="G148" s="18"/>
      <c r="H148" s="18"/>
      <c r="I148" s="18"/>
      <c r="J148" s="18"/>
      <c r="K148" s="18"/>
      <c r="L148" s="18"/>
      <c r="M148" s="18"/>
      <c r="N148" s="18"/>
      <c r="O148" s="69"/>
    </row>
    <row r="149" spans="1:15" x14ac:dyDescent="0.25">
      <c r="A149" s="162" t="s">
        <v>2050</v>
      </c>
      <c r="B149" s="153" t="s">
        <v>1985</v>
      </c>
      <c r="C149" s="52"/>
      <c r="D149" s="52"/>
      <c r="E149" s="52"/>
      <c r="F149" s="52"/>
      <c r="G149" s="64"/>
      <c r="H149" s="64"/>
      <c r="I149" s="64"/>
      <c r="J149" s="64"/>
      <c r="K149" s="64"/>
      <c r="L149" s="64"/>
      <c r="M149" s="64"/>
      <c r="N149" s="64"/>
      <c r="O149" s="69"/>
    </row>
    <row r="150" spans="1:15" x14ac:dyDescent="0.25">
      <c r="A150" s="162"/>
      <c r="B150" s="153"/>
      <c r="C150" s="18"/>
      <c r="D150" s="18"/>
      <c r="E150" s="18"/>
      <c r="F150" s="18"/>
      <c r="G150" s="18"/>
      <c r="H150" s="18"/>
      <c r="I150" s="18"/>
      <c r="J150" s="18"/>
      <c r="K150" s="18"/>
      <c r="L150" s="18"/>
      <c r="M150" s="18"/>
      <c r="N150" s="18"/>
      <c r="O150" s="69"/>
    </row>
    <row r="151" spans="1:15" ht="22.5" x14ac:dyDescent="0.25">
      <c r="A151" s="162"/>
      <c r="B151" s="179" t="s">
        <v>5593</v>
      </c>
      <c r="C151" s="18"/>
      <c r="D151" s="18"/>
      <c r="E151" s="18"/>
      <c r="F151" s="18"/>
      <c r="G151" s="18"/>
      <c r="H151" s="18"/>
      <c r="I151" s="18"/>
      <c r="J151" s="18"/>
      <c r="K151" s="18"/>
      <c r="L151" s="18"/>
      <c r="M151" s="18"/>
      <c r="N151" s="18"/>
      <c r="O151" s="69"/>
    </row>
    <row r="152" spans="1:15" x14ac:dyDescent="0.25">
      <c r="A152" s="163"/>
      <c r="B152" s="160"/>
      <c r="C152" s="18"/>
      <c r="D152" s="18"/>
      <c r="E152" s="18"/>
      <c r="F152" s="18"/>
      <c r="G152" s="18"/>
      <c r="H152" s="18"/>
      <c r="I152" s="18"/>
      <c r="J152" s="18"/>
      <c r="K152" s="18"/>
      <c r="L152" s="18"/>
      <c r="M152" s="18"/>
      <c r="N152" s="18"/>
      <c r="O152" s="69"/>
    </row>
    <row r="153" spans="1:15" x14ac:dyDescent="0.25">
      <c r="A153" s="162" t="s">
        <v>2051</v>
      </c>
      <c r="B153" s="153" t="s">
        <v>1985</v>
      </c>
      <c r="C153" s="52"/>
      <c r="D153" s="52"/>
      <c r="E153" s="52"/>
      <c r="F153" s="52"/>
      <c r="G153" s="64"/>
      <c r="H153" s="64"/>
      <c r="I153" s="64"/>
      <c r="J153" s="64"/>
      <c r="K153" s="64"/>
      <c r="L153" s="64"/>
      <c r="M153" s="64"/>
      <c r="N153" s="64"/>
      <c r="O153" s="69"/>
    </row>
    <row r="154" spans="1:15" x14ac:dyDescent="0.25">
      <c r="A154" s="162"/>
      <c r="B154" s="153"/>
      <c r="C154" s="18"/>
      <c r="D154" s="18"/>
      <c r="E154" s="18"/>
      <c r="F154" s="18"/>
      <c r="G154" s="18"/>
      <c r="H154" s="18"/>
      <c r="I154" s="18"/>
      <c r="J154" s="18"/>
      <c r="K154" s="18"/>
      <c r="L154" s="18"/>
      <c r="M154" s="18"/>
      <c r="N154" s="18"/>
      <c r="O154" s="69"/>
    </row>
    <row r="155" spans="1:15" x14ac:dyDescent="0.25">
      <c r="A155" s="162"/>
      <c r="B155" s="179" t="s">
        <v>784</v>
      </c>
      <c r="C155" s="18"/>
      <c r="D155" s="18"/>
      <c r="E155" s="18"/>
      <c r="F155" s="18"/>
      <c r="G155" s="18"/>
      <c r="H155" s="18"/>
      <c r="I155" s="18"/>
      <c r="J155" s="18"/>
      <c r="K155" s="18"/>
      <c r="L155" s="18"/>
      <c r="M155" s="18"/>
      <c r="N155" s="18"/>
      <c r="O155" s="69"/>
    </row>
    <row r="156" spans="1:15" x14ac:dyDescent="0.25">
      <c r="A156" s="162"/>
      <c r="B156" s="153"/>
      <c r="C156" s="18"/>
      <c r="D156" s="18"/>
      <c r="E156" s="18"/>
      <c r="F156" s="18"/>
      <c r="G156" s="18"/>
      <c r="H156" s="18"/>
      <c r="I156" s="18"/>
      <c r="J156" s="18"/>
      <c r="K156" s="18"/>
      <c r="L156" s="18"/>
      <c r="M156" s="18"/>
      <c r="N156" s="18"/>
      <c r="O156" s="69"/>
    </row>
    <row r="157" spans="1:15" x14ac:dyDescent="0.25">
      <c r="A157" s="162" t="s">
        <v>2052</v>
      </c>
      <c r="B157" s="153" t="s">
        <v>1985</v>
      </c>
      <c r="C157" s="52"/>
      <c r="D157" s="52"/>
      <c r="E157" s="52"/>
      <c r="F157" s="52"/>
      <c r="G157" s="64"/>
      <c r="H157" s="64"/>
      <c r="I157" s="64"/>
      <c r="J157" s="64"/>
      <c r="K157" s="64"/>
      <c r="L157" s="64"/>
      <c r="M157" s="64"/>
      <c r="N157" s="64"/>
      <c r="O157" s="69"/>
    </row>
    <row r="158" spans="1:15" x14ac:dyDescent="0.25">
      <c r="A158" s="162"/>
      <c r="B158" s="153"/>
      <c r="C158" s="18"/>
      <c r="D158" s="18"/>
      <c r="E158" s="18"/>
      <c r="F158" s="18"/>
      <c r="G158" s="18"/>
      <c r="H158" s="18"/>
      <c r="I158" s="18"/>
      <c r="J158" s="18"/>
      <c r="K158" s="18"/>
      <c r="L158" s="18"/>
      <c r="M158" s="18"/>
      <c r="N158" s="18"/>
      <c r="O158" s="69"/>
    </row>
    <row r="159" spans="1:15" ht="22.5" x14ac:dyDescent="0.25">
      <c r="A159" s="162"/>
      <c r="B159" s="179" t="s">
        <v>2015</v>
      </c>
      <c r="C159" s="18"/>
      <c r="D159" s="18"/>
      <c r="E159" s="18"/>
      <c r="F159" s="18"/>
      <c r="G159" s="18"/>
      <c r="H159" s="18"/>
      <c r="I159" s="18"/>
      <c r="J159" s="18"/>
      <c r="K159" s="18"/>
      <c r="L159" s="18"/>
      <c r="M159" s="18"/>
      <c r="N159" s="18"/>
      <c r="O159" s="69"/>
    </row>
    <row r="160" spans="1:15" x14ac:dyDescent="0.25">
      <c r="A160" s="163"/>
      <c r="B160" s="160"/>
      <c r="C160" s="18"/>
      <c r="D160" s="18"/>
      <c r="E160" s="18"/>
      <c r="F160" s="18"/>
      <c r="G160" s="18"/>
      <c r="H160" s="18"/>
      <c r="I160" s="18"/>
      <c r="J160" s="18"/>
      <c r="K160" s="18"/>
      <c r="L160" s="18"/>
      <c r="M160" s="18"/>
      <c r="N160" s="18"/>
      <c r="O160" s="69"/>
    </row>
    <row r="161" spans="1:15" x14ac:dyDescent="0.25">
      <c r="A161" s="162" t="s">
        <v>2053</v>
      </c>
      <c r="B161" s="153" t="s">
        <v>1985</v>
      </c>
      <c r="C161" s="52"/>
      <c r="D161" s="52"/>
      <c r="E161" s="52"/>
      <c r="F161" s="52"/>
      <c r="G161" s="64"/>
      <c r="H161" s="64"/>
      <c r="I161" s="64"/>
      <c r="J161" s="64"/>
      <c r="K161" s="64"/>
      <c r="L161" s="64"/>
      <c r="M161" s="64"/>
      <c r="N161" s="64"/>
      <c r="O161" s="69"/>
    </row>
    <row r="162" spans="1:15" x14ac:dyDescent="0.25">
      <c r="A162" s="162"/>
      <c r="B162" s="153"/>
      <c r="C162" s="18"/>
      <c r="D162" s="18"/>
      <c r="E162" s="18"/>
      <c r="F162" s="18"/>
      <c r="G162" s="18"/>
      <c r="H162" s="18"/>
      <c r="I162" s="18"/>
      <c r="J162" s="18"/>
      <c r="K162" s="18"/>
      <c r="L162" s="18"/>
      <c r="M162" s="18"/>
      <c r="N162" s="18"/>
      <c r="O162" s="69"/>
    </row>
    <row r="163" spans="1:15" ht="33.75" x14ac:dyDescent="0.25">
      <c r="A163" s="162"/>
      <c r="B163" s="179" t="s">
        <v>2017</v>
      </c>
      <c r="C163" s="18"/>
      <c r="D163" s="18"/>
      <c r="E163" s="18"/>
      <c r="F163" s="18"/>
      <c r="G163" s="18"/>
      <c r="H163" s="18"/>
      <c r="I163" s="18"/>
      <c r="J163" s="18"/>
      <c r="K163" s="18"/>
      <c r="L163" s="18"/>
      <c r="M163" s="18"/>
      <c r="N163" s="18"/>
      <c r="O163" s="69"/>
    </row>
    <row r="164" spans="1:15" x14ac:dyDescent="0.25">
      <c r="A164" s="162"/>
      <c r="B164" s="153"/>
      <c r="C164" s="18"/>
      <c r="D164" s="18"/>
      <c r="E164" s="18"/>
      <c r="F164" s="18"/>
      <c r="G164" s="18"/>
      <c r="H164" s="18"/>
      <c r="I164" s="18"/>
      <c r="J164" s="18"/>
      <c r="K164" s="18"/>
      <c r="L164" s="18"/>
      <c r="M164" s="18"/>
      <c r="N164" s="18"/>
      <c r="O164" s="69"/>
    </row>
    <row r="165" spans="1:15" x14ac:dyDescent="0.25">
      <c r="A165" s="162" t="s">
        <v>2054</v>
      </c>
      <c r="B165" s="153" t="s">
        <v>2019</v>
      </c>
      <c r="C165" s="52"/>
      <c r="D165" s="52"/>
      <c r="E165" s="52"/>
      <c r="F165" s="52"/>
      <c r="G165" s="64"/>
      <c r="H165" s="64"/>
      <c r="I165" s="64"/>
      <c r="J165" s="64"/>
      <c r="K165" s="64"/>
      <c r="L165" s="64"/>
      <c r="M165" s="64"/>
      <c r="N165" s="64"/>
      <c r="O165" s="69"/>
    </row>
    <row r="166" spans="1:15" x14ac:dyDescent="0.25">
      <c r="A166" s="162"/>
      <c r="B166" s="153"/>
      <c r="C166" s="18"/>
      <c r="D166" s="18"/>
      <c r="E166" s="18"/>
      <c r="F166" s="18"/>
      <c r="G166" s="18"/>
      <c r="H166" s="18"/>
      <c r="I166" s="18"/>
      <c r="J166" s="18"/>
      <c r="K166" s="18"/>
      <c r="L166" s="18"/>
      <c r="M166" s="18"/>
      <c r="N166" s="18"/>
      <c r="O166" s="69"/>
    </row>
    <row r="167" spans="1:15" x14ac:dyDescent="0.25">
      <c r="A167" s="162"/>
      <c r="B167" s="179" t="s">
        <v>1798</v>
      </c>
      <c r="C167" s="18"/>
      <c r="D167" s="18"/>
      <c r="E167" s="18"/>
      <c r="F167" s="18"/>
      <c r="G167" s="18"/>
      <c r="H167" s="18"/>
      <c r="I167" s="18"/>
      <c r="J167" s="18"/>
      <c r="K167" s="18"/>
      <c r="L167" s="18"/>
      <c r="M167" s="18"/>
      <c r="N167" s="18"/>
      <c r="O167" s="69"/>
    </row>
    <row r="168" spans="1:15" x14ac:dyDescent="0.25">
      <c r="A168" s="162"/>
      <c r="B168" s="153"/>
      <c r="C168" s="18"/>
      <c r="D168" s="18"/>
      <c r="E168" s="18"/>
      <c r="F168" s="18"/>
      <c r="G168" s="18"/>
      <c r="H168" s="18"/>
      <c r="I168" s="18"/>
      <c r="J168" s="18"/>
      <c r="K168" s="18"/>
      <c r="L168" s="18"/>
      <c r="M168" s="18"/>
      <c r="N168" s="18"/>
      <c r="O168" s="69"/>
    </row>
    <row r="169" spans="1:15" x14ac:dyDescent="0.25">
      <c r="A169" s="162" t="s">
        <v>2055</v>
      </c>
      <c r="B169" s="153" t="s">
        <v>2019</v>
      </c>
      <c r="C169" s="52"/>
      <c r="D169" s="52"/>
      <c r="E169" s="52"/>
      <c r="F169" s="52"/>
      <c r="G169" s="64"/>
      <c r="H169" s="64"/>
      <c r="I169" s="64"/>
      <c r="J169" s="64"/>
      <c r="K169" s="64"/>
      <c r="L169" s="64"/>
      <c r="M169" s="64"/>
      <c r="N169" s="64"/>
      <c r="O169" s="69"/>
    </row>
    <row r="170" spans="1:15" x14ac:dyDescent="0.25">
      <c r="A170" s="162"/>
      <c r="B170" s="153"/>
      <c r="C170" s="18"/>
      <c r="D170" s="18"/>
      <c r="E170" s="18"/>
      <c r="F170" s="18"/>
      <c r="G170" s="18"/>
      <c r="H170" s="18"/>
      <c r="I170" s="18"/>
      <c r="J170" s="18"/>
      <c r="K170" s="18"/>
      <c r="L170" s="18"/>
      <c r="M170" s="18"/>
      <c r="N170" s="18"/>
      <c r="O170" s="69"/>
    </row>
    <row r="171" spans="1:15" x14ac:dyDescent="0.25">
      <c r="A171" s="162"/>
      <c r="B171" s="179" t="s">
        <v>786</v>
      </c>
      <c r="C171" s="18"/>
      <c r="D171" s="18"/>
      <c r="E171" s="18"/>
      <c r="F171" s="18"/>
      <c r="G171" s="18"/>
      <c r="H171" s="18"/>
      <c r="I171" s="18"/>
      <c r="J171" s="18"/>
      <c r="K171" s="18"/>
      <c r="L171" s="18"/>
      <c r="M171" s="18"/>
      <c r="N171" s="18"/>
      <c r="O171" s="69"/>
    </row>
    <row r="172" spans="1:15" x14ac:dyDescent="0.25">
      <c r="A172" s="162"/>
      <c r="B172" s="153"/>
      <c r="C172" s="18"/>
      <c r="D172" s="18"/>
      <c r="E172" s="18"/>
      <c r="F172" s="18"/>
      <c r="G172" s="18"/>
      <c r="H172" s="18"/>
      <c r="I172" s="18"/>
      <c r="J172" s="18"/>
      <c r="K172" s="18"/>
      <c r="L172" s="18"/>
      <c r="M172" s="18"/>
      <c r="N172" s="18"/>
      <c r="O172" s="69"/>
    </row>
    <row r="173" spans="1:15" x14ac:dyDescent="0.25">
      <c r="A173" s="162" t="s">
        <v>2056</v>
      </c>
      <c r="B173" s="153" t="s">
        <v>1985</v>
      </c>
      <c r="C173" s="52"/>
      <c r="D173" s="52"/>
      <c r="E173" s="52"/>
      <c r="F173" s="52"/>
      <c r="G173" s="64"/>
      <c r="H173" s="64"/>
      <c r="I173" s="64"/>
      <c r="J173" s="64"/>
      <c r="K173" s="64"/>
      <c r="L173" s="64"/>
      <c r="M173" s="64"/>
      <c r="N173" s="64"/>
      <c r="O173" s="69"/>
    </row>
    <row r="174" spans="1:15" x14ac:dyDescent="0.25">
      <c r="A174" s="162"/>
      <c r="B174" s="153"/>
      <c r="C174" s="18"/>
      <c r="D174" s="18"/>
      <c r="E174" s="18"/>
      <c r="F174" s="18"/>
      <c r="G174" s="18"/>
      <c r="H174" s="18"/>
      <c r="I174" s="18"/>
      <c r="J174" s="18"/>
      <c r="K174" s="18"/>
      <c r="L174" s="18"/>
      <c r="M174" s="18"/>
      <c r="N174" s="18"/>
      <c r="O174" s="69"/>
    </row>
    <row r="175" spans="1:15" x14ac:dyDescent="0.25">
      <c r="A175" s="162"/>
      <c r="B175" s="179" t="s">
        <v>2057</v>
      </c>
      <c r="C175" s="18"/>
      <c r="D175" s="18"/>
      <c r="E175" s="18"/>
      <c r="F175" s="18"/>
      <c r="G175" s="18"/>
      <c r="H175" s="18"/>
      <c r="I175" s="18"/>
      <c r="J175" s="18"/>
      <c r="K175" s="18"/>
      <c r="L175" s="18"/>
      <c r="M175" s="18"/>
      <c r="N175" s="18"/>
      <c r="O175" s="69"/>
    </row>
    <row r="176" spans="1:15" x14ac:dyDescent="0.25">
      <c r="A176" s="162"/>
      <c r="B176" s="153"/>
      <c r="C176" s="18"/>
      <c r="D176" s="18"/>
      <c r="E176" s="18"/>
      <c r="F176" s="18"/>
      <c r="G176" s="18"/>
      <c r="H176" s="18"/>
      <c r="I176" s="18"/>
      <c r="J176" s="18"/>
      <c r="K176" s="18"/>
      <c r="L176" s="18"/>
      <c r="M176" s="18"/>
      <c r="N176" s="18"/>
      <c r="O176" s="69"/>
    </row>
    <row r="177" spans="1:15" x14ac:dyDescent="0.25">
      <c r="A177" s="162" t="s">
        <v>2058</v>
      </c>
      <c r="B177" s="153" t="s">
        <v>5733</v>
      </c>
      <c r="C177" s="52"/>
      <c r="D177" s="52"/>
      <c r="E177" s="52"/>
      <c r="F177" s="52"/>
      <c r="G177" s="64"/>
      <c r="H177" s="64"/>
      <c r="I177" s="64"/>
      <c r="J177" s="64"/>
      <c r="K177" s="64"/>
      <c r="L177" s="64"/>
      <c r="M177" s="64"/>
      <c r="N177" s="64"/>
      <c r="O177" s="69"/>
    </row>
    <row r="178" spans="1:15" x14ac:dyDescent="0.25">
      <c r="A178" s="162"/>
      <c r="B178" s="153"/>
      <c r="C178" s="18"/>
      <c r="D178" s="18"/>
      <c r="E178" s="18"/>
      <c r="F178" s="18"/>
      <c r="G178" s="18"/>
      <c r="H178" s="18"/>
      <c r="I178" s="18"/>
      <c r="J178" s="18"/>
      <c r="K178" s="18"/>
      <c r="L178" s="18"/>
      <c r="M178" s="18"/>
      <c r="N178" s="18"/>
      <c r="O178" s="69"/>
    </row>
    <row r="179" spans="1:15" x14ac:dyDescent="0.25">
      <c r="A179" s="162"/>
      <c r="B179" s="179" t="s">
        <v>2033</v>
      </c>
      <c r="C179" s="18"/>
      <c r="D179" s="18"/>
      <c r="E179" s="18"/>
      <c r="F179" s="18"/>
      <c r="G179" s="18"/>
      <c r="H179" s="18"/>
      <c r="I179" s="18"/>
      <c r="J179" s="18"/>
      <c r="K179" s="18"/>
      <c r="L179" s="18"/>
      <c r="M179" s="18"/>
      <c r="N179" s="18"/>
      <c r="O179" s="69"/>
    </row>
    <row r="180" spans="1:15" x14ac:dyDescent="0.25">
      <c r="A180" s="162"/>
      <c r="B180" s="153"/>
      <c r="C180" s="18"/>
      <c r="D180" s="18"/>
      <c r="E180" s="18"/>
      <c r="F180" s="18"/>
      <c r="G180" s="18"/>
      <c r="H180" s="18"/>
      <c r="I180" s="18"/>
      <c r="J180" s="18"/>
      <c r="K180" s="18"/>
      <c r="L180" s="18"/>
      <c r="M180" s="18"/>
      <c r="N180" s="18"/>
      <c r="O180" s="69"/>
    </row>
    <row r="181" spans="1:15" ht="22.5" x14ac:dyDescent="0.25">
      <c r="A181" s="162" t="s">
        <v>2059</v>
      </c>
      <c r="B181" s="153" t="s">
        <v>2035</v>
      </c>
      <c r="C181" s="52"/>
      <c r="D181" s="52"/>
      <c r="E181" s="52"/>
      <c r="F181" s="52"/>
      <c r="G181" s="64"/>
      <c r="H181" s="64"/>
      <c r="I181" s="64"/>
      <c r="J181" s="64"/>
      <c r="K181" s="64"/>
      <c r="L181" s="64"/>
      <c r="M181" s="64"/>
      <c r="N181" s="64"/>
      <c r="O181" s="69"/>
    </row>
    <row r="182" spans="1:15" x14ac:dyDescent="0.25">
      <c r="A182" s="162"/>
      <c r="B182" s="153"/>
      <c r="C182" s="18"/>
      <c r="D182" s="18"/>
      <c r="E182" s="18"/>
      <c r="F182" s="18"/>
      <c r="G182" s="18"/>
      <c r="H182" s="18"/>
      <c r="I182" s="18"/>
      <c r="J182" s="18"/>
      <c r="K182" s="18"/>
      <c r="L182" s="18"/>
      <c r="M182" s="18"/>
      <c r="N182" s="18"/>
      <c r="O182" s="69"/>
    </row>
    <row r="183" spans="1:15" x14ac:dyDescent="0.25">
      <c r="A183" s="162" t="s">
        <v>2060</v>
      </c>
      <c r="B183" s="153" t="s">
        <v>905</v>
      </c>
      <c r="C183" s="54">
        <f>C9+C10+C15+C19+C23+C27+C31+C35+C39+C43+C47+C51+C55+C61+C65+C69+C73+C77+C81+C85+C89+C93+C97+C101+C105+C106+C107+C108+C109+C113+C117+C121+C125+C129+C133+C137+C141+C145+C149+C153+C157+C161+C165+C169+C173+C177+C181</f>
        <v>0</v>
      </c>
      <c r="D183" s="54">
        <f>D9+D10+D15+D19+D23+D27+D31+D35+D39+D43+D47+D51+D55+D61+D65+D69+D73+D77+D81+D85+D89+D93+D97+D101+D105+D106+D107+D108+D109+D113+D117+D121+D125+D129+D133+D137+D141+D145+D149+D153+D157+D161+D165+D169+D173+D177+D181</f>
        <v>0</v>
      </c>
      <c r="E183" s="54">
        <f>E9+E10+E15+E19+E23+E27+E31+E35+E39+E43+E47+E51+E55+E61+E65+E69+E73+E77+E81+E85+E89+E93+E97+E101+E105+E106+E107+E108+E109+E113+E117+E121+E125+E129+E133+E137+E141+E145+E149+E153+E157+E161+E165+E169+E173+E177+E181</f>
        <v>0</v>
      </c>
      <c r="F183" s="54">
        <f>F9+F10+F15+F19+F23+F27+F31+F35+F39+F43+F47+F51+F55+F61+F65+F69+F73+F77+F81+F85+F89+F93+F97+F101+F105+F106+F107+F108+F109+F113+F117+F121+F125+F129+F133+F137+F141+F145+F149+F153+F157+F161+F165+F169+F173+F177+F181</f>
        <v>0</v>
      </c>
      <c r="G183" s="18"/>
      <c r="H183" s="18"/>
      <c r="I183" s="18"/>
      <c r="J183" s="18"/>
      <c r="K183" s="18"/>
      <c r="L183" s="18"/>
      <c r="M183" s="18"/>
      <c r="N183" s="18"/>
      <c r="O183" s="69"/>
    </row>
    <row r="184" spans="1:15" ht="8.1" customHeight="1" x14ac:dyDescent="0.25">
      <c r="A184" s="84" t="s">
        <v>0</v>
      </c>
      <c r="B184" s="152"/>
      <c r="C184" s="70"/>
      <c r="D184" s="70"/>
      <c r="E184" s="70"/>
      <c r="F184" s="70"/>
      <c r="G184" s="70"/>
      <c r="H184" s="70"/>
      <c r="I184" s="70"/>
      <c r="J184" s="70"/>
      <c r="K184" s="70"/>
      <c r="L184" s="70"/>
      <c r="M184" s="70"/>
      <c r="N184" s="70"/>
      <c r="O184"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59"/>
  <sheetViews>
    <sheetView workbookViewId="0"/>
  </sheetViews>
  <sheetFormatPr defaultColWidth="11.5703125" defaultRowHeight="15" x14ac:dyDescent="0.25"/>
  <cols>
    <col min="1" max="1" width="14.28515625" style="107" customWidth="1"/>
    <col min="2" max="2" width="35.7109375" style="107" customWidth="1"/>
    <col min="3" max="21" width="18.7109375" style="107" customWidth="1"/>
    <col min="22" max="22" width="1.7109375" style="107" customWidth="1"/>
    <col min="23" max="16384" width="11.5703125" style="107"/>
  </cols>
  <sheetData>
    <row r="1" spans="1:22" ht="23.25" x14ac:dyDescent="0.25">
      <c r="A1" s="42" t="s">
        <v>0</v>
      </c>
      <c r="B1" s="41" t="s">
        <v>5608</v>
      </c>
      <c r="C1" s="42"/>
      <c r="D1" s="42"/>
      <c r="E1" s="42" t="s">
        <v>0</v>
      </c>
      <c r="F1" s="42" t="s">
        <v>0</v>
      </c>
      <c r="G1" s="42" t="s">
        <v>0</v>
      </c>
      <c r="H1" s="42" t="s">
        <v>0</v>
      </c>
      <c r="I1" s="42" t="s">
        <v>0</v>
      </c>
      <c r="J1" s="42" t="s">
        <v>0</v>
      </c>
      <c r="K1" s="42" t="s">
        <v>0</v>
      </c>
      <c r="L1" s="42" t="s">
        <v>0</v>
      </c>
      <c r="M1" s="42" t="s">
        <v>0</v>
      </c>
      <c r="N1" s="42" t="s">
        <v>0</v>
      </c>
      <c r="O1" s="42" t="s">
        <v>0</v>
      </c>
      <c r="P1" s="42" t="s">
        <v>0</v>
      </c>
      <c r="Q1" s="42" t="s">
        <v>0</v>
      </c>
      <c r="R1" s="42" t="s">
        <v>0</v>
      </c>
      <c r="S1" s="42" t="s">
        <v>0</v>
      </c>
      <c r="T1" s="42" t="s">
        <v>0</v>
      </c>
      <c r="U1" s="42" t="s">
        <v>0</v>
      </c>
      <c r="V1" s="69" t="s">
        <v>0</v>
      </c>
    </row>
    <row r="2" spans="1:22" ht="67.5" x14ac:dyDescent="0.25">
      <c r="A2" s="121" t="s">
        <v>5597</v>
      </c>
      <c r="B2" s="121" t="s">
        <v>5598</v>
      </c>
      <c r="C2" s="44" t="s">
        <v>987</v>
      </c>
      <c r="D2" s="44" t="s">
        <v>988</v>
      </c>
      <c r="E2" s="44" t="s">
        <v>989</v>
      </c>
      <c r="F2" s="44" t="s">
        <v>990</v>
      </c>
      <c r="G2" s="44" t="s">
        <v>991</v>
      </c>
      <c r="H2" s="44" t="s">
        <v>992</v>
      </c>
      <c r="I2" s="44" t="s">
        <v>993</v>
      </c>
      <c r="J2" s="44" t="s">
        <v>994</v>
      </c>
      <c r="K2" s="44" t="s">
        <v>995</v>
      </c>
      <c r="L2" s="44" t="s">
        <v>996</v>
      </c>
      <c r="M2" s="44" t="s">
        <v>997</v>
      </c>
      <c r="N2" s="44" t="s">
        <v>998</v>
      </c>
      <c r="O2" s="44" t="s">
        <v>999</v>
      </c>
      <c r="P2" s="45" t="s">
        <v>1000</v>
      </c>
      <c r="Q2" s="45" t="s">
        <v>1001</v>
      </c>
      <c r="R2" s="44" t="s">
        <v>1002</v>
      </c>
      <c r="S2" s="44" t="s">
        <v>1003</v>
      </c>
      <c r="T2" s="44" t="s">
        <v>1004</v>
      </c>
      <c r="U2" s="45" t="s">
        <v>1005</v>
      </c>
      <c r="V2" s="69" t="s">
        <v>0</v>
      </c>
    </row>
    <row r="3" spans="1:22" x14ac:dyDescent="0.25">
      <c r="A3" s="163"/>
      <c r="B3" s="46" t="s">
        <v>0</v>
      </c>
      <c r="C3" s="47"/>
      <c r="D3" s="47"/>
      <c r="E3" s="47"/>
      <c r="F3" s="47"/>
      <c r="G3" s="47"/>
      <c r="H3" s="47"/>
      <c r="I3" s="47"/>
      <c r="J3" s="47"/>
      <c r="K3" s="47"/>
      <c r="L3" s="47"/>
      <c r="M3" s="47"/>
      <c r="N3" s="47"/>
      <c r="O3" s="47"/>
      <c r="P3" s="47"/>
      <c r="Q3" s="47"/>
      <c r="R3" s="47"/>
      <c r="S3" s="47"/>
      <c r="T3" s="47"/>
      <c r="U3" s="47"/>
      <c r="V3" s="69"/>
    </row>
    <row r="4" spans="1:22" x14ac:dyDescent="0.25">
      <c r="A4" s="163"/>
      <c r="B4" s="51" t="s">
        <v>5626</v>
      </c>
      <c r="C4" s="47"/>
      <c r="D4" s="47"/>
      <c r="E4" s="47"/>
      <c r="F4" s="47"/>
      <c r="G4" s="47"/>
      <c r="H4" s="47"/>
      <c r="I4" s="47"/>
      <c r="J4" s="47"/>
      <c r="K4" s="47"/>
      <c r="L4" s="47"/>
      <c r="M4" s="47"/>
      <c r="N4" s="47"/>
      <c r="O4" s="47"/>
      <c r="P4" s="47"/>
      <c r="Q4" s="47"/>
      <c r="R4" s="47"/>
      <c r="S4" s="47"/>
      <c r="T4" s="47"/>
      <c r="U4" s="47"/>
      <c r="V4" s="69"/>
    </row>
    <row r="5" spans="1:22" x14ac:dyDescent="0.25">
      <c r="A5" s="163"/>
      <c r="B5" s="47" t="s">
        <v>0</v>
      </c>
      <c r="C5" s="47"/>
      <c r="D5" s="47"/>
      <c r="E5" s="47"/>
      <c r="F5" s="47"/>
      <c r="G5" s="47"/>
      <c r="H5" s="47"/>
      <c r="I5" s="47"/>
      <c r="J5" s="47"/>
      <c r="K5" s="47"/>
      <c r="L5" s="47"/>
      <c r="M5" s="47"/>
      <c r="N5" s="47"/>
      <c r="O5" s="47"/>
      <c r="P5" s="47"/>
      <c r="Q5" s="47"/>
      <c r="R5" s="47"/>
      <c r="S5" s="47"/>
      <c r="T5" s="47"/>
      <c r="U5" s="47"/>
      <c r="V5" s="69"/>
    </row>
    <row r="6" spans="1:22" x14ac:dyDescent="0.25">
      <c r="A6" s="186" t="s">
        <v>1006</v>
      </c>
      <c r="B6" s="191" t="s">
        <v>5416</v>
      </c>
      <c r="C6" s="117"/>
      <c r="D6" s="117"/>
      <c r="E6" s="117"/>
      <c r="F6" s="117"/>
      <c r="G6" s="117"/>
      <c r="H6" s="117"/>
      <c r="I6" s="117"/>
      <c r="J6" s="117"/>
      <c r="K6" s="117"/>
      <c r="L6" s="117"/>
      <c r="M6" s="117"/>
      <c r="N6" s="117"/>
      <c r="O6" s="117"/>
      <c r="P6" s="117"/>
      <c r="Q6" s="117"/>
      <c r="R6" s="117"/>
      <c r="S6" s="117"/>
      <c r="T6" s="117"/>
      <c r="U6" s="117">
        <f>ROUND(SUM(C6:T6),0)</f>
        <v>0</v>
      </c>
      <c r="V6" s="69"/>
    </row>
    <row r="7" spans="1:22" x14ac:dyDescent="0.25">
      <c r="A7" s="171"/>
      <c r="B7" s="169"/>
      <c r="C7" s="18"/>
      <c r="D7" s="18"/>
      <c r="E7" s="18"/>
      <c r="F7" s="18"/>
      <c r="G7" s="18"/>
      <c r="H7" s="18"/>
      <c r="I7" s="18"/>
      <c r="J7" s="18"/>
      <c r="K7" s="18"/>
      <c r="L7" s="18"/>
      <c r="M7" s="18"/>
      <c r="N7" s="18"/>
      <c r="O7" s="18"/>
      <c r="P7" s="18"/>
      <c r="Q7" s="18"/>
      <c r="R7" s="18"/>
      <c r="S7" s="18"/>
      <c r="T7" s="18"/>
      <c r="U7" s="18"/>
      <c r="V7" s="69"/>
    </row>
    <row r="8" spans="1:22" ht="33.75" x14ac:dyDescent="0.25">
      <c r="A8" s="171" t="s">
        <v>1007</v>
      </c>
      <c r="B8" s="169" t="s">
        <v>1008</v>
      </c>
      <c r="C8" s="116"/>
      <c r="D8" s="116"/>
      <c r="E8" s="116"/>
      <c r="F8" s="116"/>
      <c r="G8" s="116"/>
      <c r="H8" s="116"/>
      <c r="I8" s="116"/>
      <c r="J8" s="116"/>
      <c r="K8" s="116"/>
      <c r="L8" s="116"/>
      <c r="M8" s="116"/>
      <c r="N8" s="116"/>
      <c r="O8" s="116"/>
      <c r="P8" s="116"/>
      <c r="Q8" s="116"/>
      <c r="R8" s="116"/>
      <c r="S8" s="116"/>
      <c r="T8" s="116"/>
      <c r="U8" s="116">
        <f t="shared" ref="U8:U28" si="0">ROUND(SUM(C8:T8),0)</f>
        <v>0</v>
      </c>
      <c r="V8" s="69"/>
    </row>
    <row r="9" spans="1:22" ht="22.5" x14ac:dyDescent="0.25">
      <c r="A9" s="171" t="s">
        <v>1009</v>
      </c>
      <c r="B9" s="169" t="s">
        <v>5417</v>
      </c>
      <c r="C9" s="116"/>
      <c r="D9" s="116"/>
      <c r="E9" s="116"/>
      <c r="F9" s="116"/>
      <c r="G9" s="116"/>
      <c r="H9" s="116"/>
      <c r="I9" s="116"/>
      <c r="J9" s="116"/>
      <c r="K9" s="116"/>
      <c r="L9" s="116"/>
      <c r="M9" s="116"/>
      <c r="N9" s="116"/>
      <c r="O9" s="116"/>
      <c r="P9" s="116"/>
      <c r="Q9" s="116"/>
      <c r="R9" s="116"/>
      <c r="S9" s="116"/>
      <c r="T9" s="116"/>
      <c r="U9" s="116">
        <f t="shared" si="0"/>
        <v>0</v>
      </c>
      <c r="V9" s="69"/>
    </row>
    <row r="10" spans="1:22" ht="22.5" x14ac:dyDescent="0.25">
      <c r="A10" s="186" t="s">
        <v>1010</v>
      </c>
      <c r="B10" s="191" t="s">
        <v>5418</v>
      </c>
      <c r="C10" s="116"/>
      <c r="D10" s="116"/>
      <c r="E10" s="116"/>
      <c r="F10" s="116"/>
      <c r="G10" s="116"/>
      <c r="H10" s="116">
        <f>-ROUND(H6+H8,0)</f>
        <v>0</v>
      </c>
      <c r="I10" s="116">
        <f>-ROUND(I6+I8,0)</f>
        <v>0</v>
      </c>
      <c r="J10" s="117">
        <f>ROUND(H6+H8+N6+N8+O6+O8,0)</f>
        <v>0</v>
      </c>
      <c r="K10" s="117">
        <f>ROUND(I6+I8+L6+L8+M6+M8,0)</f>
        <v>0</v>
      </c>
      <c r="L10" s="116">
        <f>-ROUND(L6+L8,0)</f>
        <v>0</v>
      </c>
      <c r="M10" s="117">
        <f>-ROUND(M6+M8,0)</f>
        <v>0</v>
      </c>
      <c r="N10" s="116">
        <f>-ROUND(N6+N8,0)</f>
        <v>0</v>
      </c>
      <c r="O10" s="117">
        <f>-ROUND(O6+O8,0)</f>
        <v>0</v>
      </c>
      <c r="P10" s="116"/>
      <c r="Q10" s="116"/>
      <c r="R10" s="116"/>
      <c r="S10" s="116"/>
      <c r="T10" s="116"/>
      <c r="U10" s="116">
        <f t="shared" si="0"/>
        <v>0</v>
      </c>
      <c r="V10" s="69"/>
    </row>
    <row r="11" spans="1:22" x14ac:dyDescent="0.25">
      <c r="A11" s="171" t="s">
        <v>1011</v>
      </c>
      <c r="B11" s="169" t="s">
        <v>1012</v>
      </c>
      <c r="C11" s="116"/>
      <c r="D11" s="116"/>
      <c r="E11" s="116"/>
      <c r="F11" s="116"/>
      <c r="G11" s="116"/>
      <c r="H11" s="116"/>
      <c r="I11" s="116"/>
      <c r="J11" s="117"/>
      <c r="K11" s="117"/>
      <c r="L11" s="116"/>
      <c r="M11" s="117"/>
      <c r="N11" s="116"/>
      <c r="O11" s="117"/>
      <c r="P11" s="116"/>
      <c r="Q11" s="116"/>
      <c r="R11" s="116"/>
      <c r="S11" s="116"/>
      <c r="T11" s="116"/>
      <c r="U11" s="116">
        <f t="shared" si="0"/>
        <v>0</v>
      </c>
      <c r="V11" s="69"/>
    </row>
    <row r="12" spans="1:22" x14ac:dyDescent="0.25">
      <c r="A12" s="171" t="s">
        <v>1013</v>
      </c>
      <c r="B12" s="169" t="s">
        <v>1014</v>
      </c>
      <c r="C12" s="116"/>
      <c r="D12" s="116"/>
      <c r="E12" s="116"/>
      <c r="F12" s="116"/>
      <c r="G12" s="116"/>
      <c r="H12" s="116"/>
      <c r="I12" s="117"/>
      <c r="J12" s="117"/>
      <c r="K12" s="117"/>
      <c r="L12" s="116"/>
      <c r="M12" s="117"/>
      <c r="N12" s="116"/>
      <c r="O12" s="117"/>
      <c r="P12" s="116"/>
      <c r="Q12" s="116"/>
      <c r="R12" s="116"/>
      <c r="S12" s="116"/>
      <c r="T12" s="116"/>
      <c r="U12" s="116">
        <f t="shared" si="0"/>
        <v>0</v>
      </c>
      <c r="V12" s="69"/>
    </row>
    <row r="13" spans="1:22" x14ac:dyDescent="0.25">
      <c r="A13" s="186" t="s">
        <v>1015</v>
      </c>
      <c r="B13" s="191" t="s">
        <v>5419</v>
      </c>
      <c r="C13" s="116"/>
      <c r="D13" s="116"/>
      <c r="E13" s="116"/>
      <c r="F13" s="116"/>
      <c r="G13" s="116"/>
      <c r="H13" s="72">
        <f>'ANEXO 2'!F75</f>
        <v>0</v>
      </c>
      <c r="I13" s="29"/>
      <c r="J13" s="117"/>
      <c r="K13" s="117"/>
      <c r="L13" s="117"/>
      <c r="M13" s="117"/>
      <c r="N13" s="117"/>
      <c r="O13" s="117"/>
      <c r="P13" s="116"/>
      <c r="Q13" s="116"/>
      <c r="R13" s="116"/>
      <c r="S13" s="116"/>
      <c r="T13" s="116"/>
      <c r="U13" s="116">
        <f t="shared" si="0"/>
        <v>0</v>
      </c>
      <c r="V13" s="69"/>
    </row>
    <row r="14" spans="1:22" x14ac:dyDescent="0.25">
      <c r="A14" s="186" t="s">
        <v>1016</v>
      </c>
      <c r="B14" s="191" t="s">
        <v>5420</v>
      </c>
      <c r="C14" s="116"/>
      <c r="D14" s="116"/>
      <c r="E14" s="116"/>
      <c r="F14" s="116"/>
      <c r="G14" s="116"/>
      <c r="H14" s="29"/>
      <c r="I14" s="72">
        <f>-'ANEXO 2'!F74</f>
        <v>0</v>
      </c>
      <c r="J14" s="117"/>
      <c r="K14" s="117"/>
      <c r="L14" s="117"/>
      <c r="M14" s="117"/>
      <c r="N14" s="117"/>
      <c r="O14" s="117"/>
      <c r="P14" s="116"/>
      <c r="Q14" s="116"/>
      <c r="R14" s="116"/>
      <c r="S14" s="116"/>
      <c r="T14" s="116"/>
      <c r="U14" s="116">
        <f t="shared" si="0"/>
        <v>0</v>
      </c>
      <c r="V14" s="69"/>
    </row>
    <row r="15" spans="1:22" ht="22.5" x14ac:dyDescent="0.25">
      <c r="A15" s="171" t="s">
        <v>1017</v>
      </c>
      <c r="B15" s="169" t="s">
        <v>1018</v>
      </c>
      <c r="C15" s="116"/>
      <c r="D15" s="116"/>
      <c r="E15" s="116"/>
      <c r="F15" s="116"/>
      <c r="G15" s="116"/>
      <c r="H15" s="116"/>
      <c r="I15" s="116"/>
      <c r="J15" s="116"/>
      <c r="K15" s="116"/>
      <c r="L15" s="116"/>
      <c r="M15" s="116"/>
      <c r="N15" s="116"/>
      <c r="O15" s="116"/>
      <c r="P15" s="116"/>
      <c r="Q15" s="116"/>
      <c r="R15" s="116"/>
      <c r="S15" s="116"/>
      <c r="T15" s="116"/>
      <c r="U15" s="116">
        <f t="shared" si="0"/>
        <v>0</v>
      </c>
      <c r="V15" s="69"/>
    </row>
    <row r="16" spans="1:22" x14ac:dyDescent="0.25">
      <c r="A16" s="171" t="s">
        <v>1019</v>
      </c>
      <c r="B16" s="169" t="s">
        <v>1020</v>
      </c>
      <c r="C16" s="116"/>
      <c r="D16" s="116"/>
      <c r="E16" s="116"/>
      <c r="F16" s="116"/>
      <c r="G16" s="116"/>
      <c r="H16" s="116"/>
      <c r="I16" s="116"/>
      <c r="J16" s="116"/>
      <c r="K16" s="116"/>
      <c r="L16" s="116"/>
      <c r="M16" s="116"/>
      <c r="N16" s="116"/>
      <c r="O16" s="116"/>
      <c r="P16" s="116"/>
      <c r="Q16" s="116"/>
      <c r="R16" s="116"/>
      <c r="S16" s="116"/>
      <c r="T16" s="116"/>
      <c r="U16" s="116">
        <f t="shared" si="0"/>
        <v>0</v>
      </c>
      <c r="V16" s="69"/>
    </row>
    <row r="17" spans="1:22" ht="22.5" x14ac:dyDescent="0.25">
      <c r="A17" s="171" t="s">
        <v>1021</v>
      </c>
      <c r="B17" s="169" t="s">
        <v>1022</v>
      </c>
      <c r="C17" s="116"/>
      <c r="D17" s="116"/>
      <c r="E17" s="116"/>
      <c r="F17" s="116"/>
      <c r="G17" s="116"/>
      <c r="H17" s="116"/>
      <c r="I17" s="116"/>
      <c r="J17" s="116"/>
      <c r="K17" s="116"/>
      <c r="L17" s="116"/>
      <c r="M17" s="116"/>
      <c r="N17" s="116"/>
      <c r="O17" s="116"/>
      <c r="P17" s="116"/>
      <c r="Q17" s="116"/>
      <c r="R17" s="116"/>
      <c r="S17" s="116"/>
      <c r="T17" s="116"/>
      <c r="U17" s="116">
        <f t="shared" si="0"/>
        <v>0</v>
      </c>
      <c r="V17" s="69"/>
    </row>
    <row r="18" spans="1:22" ht="22.5" x14ac:dyDescent="0.25">
      <c r="A18" s="171" t="s">
        <v>1023</v>
      </c>
      <c r="B18" s="169" t="s">
        <v>1024</v>
      </c>
      <c r="C18" s="116"/>
      <c r="D18" s="116"/>
      <c r="E18" s="116"/>
      <c r="F18" s="116"/>
      <c r="G18" s="116"/>
      <c r="H18" s="116"/>
      <c r="I18" s="116"/>
      <c r="J18" s="116"/>
      <c r="K18" s="116"/>
      <c r="L18" s="116"/>
      <c r="M18" s="116"/>
      <c r="N18" s="116"/>
      <c r="O18" s="116"/>
      <c r="P18" s="116"/>
      <c r="Q18" s="116"/>
      <c r="R18" s="116"/>
      <c r="S18" s="116"/>
      <c r="T18" s="116"/>
      <c r="U18" s="116">
        <f t="shared" si="0"/>
        <v>0</v>
      </c>
      <c r="V18" s="69"/>
    </row>
    <row r="19" spans="1:22" ht="22.5" x14ac:dyDescent="0.25">
      <c r="A19" s="171" t="s">
        <v>1025</v>
      </c>
      <c r="B19" s="169" t="s">
        <v>5410</v>
      </c>
      <c r="C19" s="116"/>
      <c r="D19" s="116"/>
      <c r="E19" s="116"/>
      <c r="F19" s="116"/>
      <c r="G19" s="116"/>
      <c r="H19" s="116"/>
      <c r="I19" s="116"/>
      <c r="J19" s="116"/>
      <c r="K19" s="116"/>
      <c r="L19" s="116"/>
      <c r="M19" s="116"/>
      <c r="N19" s="193">
        <f>'ANEXO 2'!F81-O19</f>
        <v>0</v>
      </c>
      <c r="O19" s="116"/>
      <c r="P19" s="116"/>
      <c r="Q19" s="116"/>
      <c r="R19" s="116"/>
      <c r="S19" s="116"/>
      <c r="T19" s="116"/>
      <c r="U19" s="116">
        <f t="shared" si="0"/>
        <v>0</v>
      </c>
      <c r="V19" s="69"/>
    </row>
    <row r="20" spans="1:22" ht="33.75" x14ac:dyDescent="0.25">
      <c r="A20" s="171" t="s">
        <v>1026</v>
      </c>
      <c r="B20" s="169" t="s">
        <v>5411</v>
      </c>
      <c r="C20" s="116"/>
      <c r="D20" s="116"/>
      <c r="E20" s="116"/>
      <c r="F20" s="116"/>
      <c r="G20" s="116"/>
      <c r="H20" s="116"/>
      <c r="I20" s="116"/>
      <c r="J20" s="116"/>
      <c r="K20" s="116"/>
      <c r="L20" s="193">
        <f>'ANEXO 2'!F82-M20</f>
        <v>0</v>
      </c>
      <c r="M20" s="116"/>
      <c r="N20" s="116"/>
      <c r="O20" s="116"/>
      <c r="P20" s="116"/>
      <c r="Q20" s="116"/>
      <c r="R20" s="116"/>
      <c r="S20" s="116"/>
      <c r="T20" s="116"/>
      <c r="U20" s="116">
        <f t="shared" si="0"/>
        <v>0</v>
      </c>
      <c r="V20" s="69"/>
    </row>
    <row r="21" spans="1:22" ht="22.5" x14ac:dyDescent="0.25">
      <c r="A21" s="171" t="s">
        <v>1027</v>
      </c>
      <c r="B21" s="169" t="s">
        <v>966</v>
      </c>
      <c r="C21" s="116"/>
      <c r="D21" s="116"/>
      <c r="E21" s="116"/>
      <c r="F21" s="116"/>
      <c r="G21" s="116"/>
      <c r="H21" s="116"/>
      <c r="I21" s="116"/>
      <c r="J21" s="116"/>
      <c r="K21" s="116"/>
      <c r="L21" s="116"/>
      <c r="M21" s="116"/>
      <c r="N21" s="193">
        <f>'ANEXO 2'!F83-O21</f>
        <v>0</v>
      </c>
      <c r="O21" s="116"/>
      <c r="P21" s="116"/>
      <c r="Q21" s="116"/>
      <c r="R21" s="116"/>
      <c r="S21" s="116"/>
      <c r="T21" s="116"/>
      <c r="U21" s="116">
        <f t="shared" si="0"/>
        <v>0</v>
      </c>
      <c r="V21" s="69"/>
    </row>
    <row r="22" spans="1:22" ht="22.5" x14ac:dyDescent="0.25">
      <c r="A22" s="171" t="s">
        <v>1028</v>
      </c>
      <c r="B22" s="169" t="s">
        <v>968</v>
      </c>
      <c r="C22" s="116"/>
      <c r="D22" s="116"/>
      <c r="E22" s="116"/>
      <c r="F22" s="116"/>
      <c r="G22" s="116"/>
      <c r="H22" s="116"/>
      <c r="I22" s="116"/>
      <c r="J22" s="116"/>
      <c r="K22" s="116"/>
      <c r="L22" s="193">
        <f>'ANEXO 2'!F84-M22</f>
        <v>0</v>
      </c>
      <c r="M22" s="116"/>
      <c r="N22" s="116"/>
      <c r="O22" s="116"/>
      <c r="P22" s="116"/>
      <c r="Q22" s="116"/>
      <c r="R22" s="116"/>
      <c r="S22" s="116"/>
      <c r="T22" s="116"/>
      <c r="U22" s="116">
        <f t="shared" si="0"/>
        <v>0</v>
      </c>
      <c r="V22" s="69"/>
    </row>
    <row r="23" spans="1:22" ht="33.75" x14ac:dyDescent="0.25">
      <c r="A23" s="171" t="s">
        <v>1029</v>
      </c>
      <c r="B23" s="169" t="s">
        <v>970</v>
      </c>
      <c r="C23" s="116"/>
      <c r="D23" s="116"/>
      <c r="E23" s="116"/>
      <c r="F23" s="116"/>
      <c r="G23" s="116"/>
      <c r="H23" s="116"/>
      <c r="I23" s="116"/>
      <c r="J23" s="116"/>
      <c r="K23" s="116"/>
      <c r="L23" s="116"/>
      <c r="M23" s="116"/>
      <c r="N23" s="193">
        <f>'ANEXO 2'!F85-O23</f>
        <v>0</v>
      </c>
      <c r="O23" s="116"/>
      <c r="P23" s="116"/>
      <c r="Q23" s="116"/>
      <c r="R23" s="116"/>
      <c r="S23" s="116"/>
      <c r="T23" s="116"/>
      <c r="U23" s="116">
        <f t="shared" si="0"/>
        <v>0</v>
      </c>
      <c r="V23" s="69"/>
    </row>
    <row r="24" spans="1:22" ht="33.75" x14ac:dyDescent="0.25">
      <c r="A24" s="171" t="s">
        <v>1030</v>
      </c>
      <c r="B24" s="169" t="s">
        <v>972</v>
      </c>
      <c r="C24" s="116"/>
      <c r="D24" s="116"/>
      <c r="E24" s="116"/>
      <c r="F24" s="116"/>
      <c r="G24" s="116"/>
      <c r="H24" s="116"/>
      <c r="I24" s="116"/>
      <c r="J24" s="116"/>
      <c r="K24" s="116"/>
      <c r="L24" s="193">
        <f>'ANEXO 2'!F86-M24</f>
        <v>0</v>
      </c>
      <c r="M24" s="116"/>
      <c r="N24" s="116"/>
      <c r="O24" s="116"/>
      <c r="P24" s="116"/>
      <c r="Q24" s="116"/>
      <c r="R24" s="116"/>
      <c r="S24" s="116"/>
      <c r="T24" s="116"/>
      <c r="U24" s="116">
        <f t="shared" si="0"/>
        <v>0</v>
      </c>
      <c r="V24" s="69"/>
    </row>
    <row r="25" spans="1:22" ht="22.5" x14ac:dyDescent="0.25">
      <c r="A25" s="171" t="s">
        <v>1031</v>
      </c>
      <c r="B25" s="169" t="s">
        <v>5421</v>
      </c>
      <c r="C25" s="116"/>
      <c r="D25" s="116"/>
      <c r="E25" s="116"/>
      <c r="F25" s="116"/>
      <c r="G25" s="116"/>
      <c r="H25" s="116"/>
      <c r="I25" s="116"/>
      <c r="J25" s="116"/>
      <c r="K25" s="116"/>
      <c r="L25" s="116"/>
      <c r="M25" s="116"/>
      <c r="N25" s="193">
        <f>'ANEXO 2'!F87-O25</f>
        <v>0</v>
      </c>
      <c r="O25" s="116"/>
      <c r="P25" s="116"/>
      <c r="Q25" s="116"/>
      <c r="R25" s="116"/>
      <c r="S25" s="116"/>
      <c r="T25" s="116"/>
      <c r="U25" s="116">
        <f t="shared" si="0"/>
        <v>0</v>
      </c>
      <c r="V25" s="69"/>
    </row>
    <row r="26" spans="1:22" ht="33.75" x14ac:dyDescent="0.25">
      <c r="A26" s="171" t="s">
        <v>1032</v>
      </c>
      <c r="B26" s="169" t="s">
        <v>5412</v>
      </c>
      <c r="C26" s="116"/>
      <c r="D26" s="116"/>
      <c r="E26" s="116"/>
      <c r="F26" s="116"/>
      <c r="G26" s="116"/>
      <c r="H26" s="116"/>
      <c r="I26" s="116"/>
      <c r="J26" s="116"/>
      <c r="K26" s="116"/>
      <c r="L26" s="193">
        <f>'ANEXO 2'!F88-M26</f>
        <v>0</v>
      </c>
      <c r="M26" s="116"/>
      <c r="N26" s="116"/>
      <c r="O26" s="116"/>
      <c r="P26" s="116"/>
      <c r="Q26" s="116"/>
      <c r="R26" s="116"/>
      <c r="S26" s="116"/>
      <c r="T26" s="116"/>
      <c r="U26" s="116">
        <f t="shared" si="0"/>
        <v>0</v>
      </c>
      <c r="V26" s="69"/>
    </row>
    <row r="27" spans="1:22" ht="22.5" x14ac:dyDescent="0.25">
      <c r="A27" s="171" t="s">
        <v>1033</v>
      </c>
      <c r="B27" s="169" t="s">
        <v>976</v>
      </c>
      <c r="C27" s="116"/>
      <c r="D27" s="116"/>
      <c r="E27" s="116"/>
      <c r="F27" s="116"/>
      <c r="G27" s="116"/>
      <c r="H27" s="116"/>
      <c r="I27" s="116"/>
      <c r="J27" s="116"/>
      <c r="K27" s="116"/>
      <c r="L27" s="193">
        <f>'ANEXO 2'!F89</f>
        <v>0</v>
      </c>
      <c r="M27" s="116"/>
      <c r="N27" s="116"/>
      <c r="O27" s="116"/>
      <c r="P27" s="116"/>
      <c r="Q27" s="116"/>
      <c r="R27" s="116"/>
      <c r="S27" s="116"/>
      <c r="T27" s="116"/>
      <c r="U27" s="116">
        <f t="shared" si="0"/>
        <v>0</v>
      </c>
      <c r="V27" s="69"/>
    </row>
    <row r="28" spans="1:22" x14ac:dyDescent="0.25">
      <c r="A28" s="171" t="s">
        <v>1034</v>
      </c>
      <c r="B28" s="169" t="s">
        <v>978</v>
      </c>
      <c r="C28" s="116"/>
      <c r="D28" s="116"/>
      <c r="E28" s="116"/>
      <c r="F28" s="116"/>
      <c r="G28" s="116"/>
      <c r="H28" s="116"/>
      <c r="I28" s="116"/>
      <c r="J28" s="116"/>
      <c r="K28" s="116"/>
      <c r="L28" s="193">
        <f>'ANEXO 2'!F90</f>
        <v>0</v>
      </c>
      <c r="M28" s="116"/>
      <c r="N28" s="116"/>
      <c r="O28" s="116"/>
      <c r="P28" s="116"/>
      <c r="Q28" s="116"/>
      <c r="R28" s="116"/>
      <c r="S28" s="116"/>
      <c r="T28" s="116"/>
      <c r="U28" s="116">
        <f t="shared" si="0"/>
        <v>0</v>
      </c>
      <c r="V28" s="69"/>
    </row>
    <row r="29" spans="1:22" x14ac:dyDescent="0.25">
      <c r="A29" s="171" t="s">
        <v>1035</v>
      </c>
      <c r="B29" s="169" t="s">
        <v>638</v>
      </c>
      <c r="C29" s="52"/>
      <c r="D29" s="52"/>
      <c r="E29" s="52"/>
      <c r="F29" s="52"/>
      <c r="G29" s="52"/>
      <c r="H29" s="52"/>
      <c r="I29" s="52"/>
      <c r="J29" s="52"/>
      <c r="K29" s="52"/>
      <c r="L29" s="52"/>
      <c r="M29" s="52"/>
      <c r="N29" s="52"/>
      <c r="O29" s="52"/>
      <c r="P29" s="52"/>
      <c r="Q29" s="52"/>
      <c r="R29" s="52"/>
      <c r="S29" s="52"/>
      <c r="T29" s="52"/>
      <c r="U29" s="52"/>
      <c r="V29" s="69"/>
    </row>
    <row r="30" spans="1:22" x14ac:dyDescent="0.25">
      <c r="A30" s="171"/>
      <c r="B30" s="169"/>
      <c r="C30" s="18"/>
      <c r="D30" s="18"/>
      <c r="E30" s="18"/>
      <c r="F30" s="18"/>
      <c r="G30" s="18"/>
      <c r="H30" s="18"/>
      <c r="I30" s="18"/>
      <c r="J30" s="18"/>
      <c r="K30" s="18"/>
      <c r="L30" s="18"/>
      <c r="M30" s="18"/>
      <c r="N30" s="18"/>
      <c r="O30" s="18"/>
      <c r="P30" s="18"/>
      <c r="Q30" s="18"/>
      <c r="R30" s="18"/>
      <c r="S30" s="18"/>
      <c r="T30" s="18"/>
      <c r="U30" s="18"/>
      <c r="V30" s="69"/>
    </row>
    <row r="31" spans="1:22" x14ac:dyDescent="0.25">
      <c r="A31" s="186" t="s">
        <v>1036</v>
      </c>
      <c r="B31" s="191" t="s">
        <v>5422</v>
      </c>
      <c r="C31" s="54">
        <f t="shared" ref="C31:U31" si="1">SUM(C6:C29)</f>
        <v>0</v>
      </c>
      <c r="D31" s="54">
        <f t="shared" si="1"/>
        <v>0</v>
      </c>
      <c r="E31" s="54">
        <f t="shared" si="1"/>
        <v>0</v>
      </c>
      <c r="F31" s="54">
        <f t="shared" si="1"/>
        <v>0</v>
      </c>
      <c r="G31" s="54">
        <f t="shared" si="1"/>
        <v>0</v>
      </c>
      <c r="H31" s="54">
        <f t="shared" si="1"/>
        <v>0</v>
      </c>
      <c r="I31" s="54">
        <f t="shared" si="1"/>
        <v>0</v>
      </c>
      <c r="J31" s="54">
        <f t="shared" si="1"/>
        <v>0</v>
      </c>
      <c r="K31" s="54">
        <f t="shared" si="1"/>
        <v>0</v>
      </c>
      <c r="L31" s="54">
        <f t="shared" si="1"/>
        <v>0</v>
      </c>
      <c r="M31" s="54">
        <f t="shared" si="1"/>
        <v>0</v>
      </c>
      <c r="N31" s="54">
        <f t="shared" si="1"/>
        <v>0</v>
      </c>
      <c r="O31" s="54">
        <f t="shared" si="1"/>
        <v>0</v>
      </c>
      <c r="P31" s="54">
        <f t="shared" si="1"/>
        <v>0</v>
      </c>
      <c r="Q31" s="54">
        <f t="shared" si="1"/>
        <v>0</v>
      </c>
      <c r="R31" s="54">
        <f t="shared" si="1"/>
        <v>0</v>
      </c>
      <c r="S31" s="54">
        <f t="shared" si="1"/>
        <v>0</v>
      </c>
      <c r="T31" s="54">
        <f t="shared" si="1"/>
        <v>0</v>
      </c>
      <c r="U31" s="54">
        <f t="shared" si="1"/>
        <v>0</v>
      </c>
      <c r="V31" s="69"/>
    </row>
    <row r="32" spans="1:22" x14ac:dyDescent="0.25">
      <c r="A32" s="171"/>
      <c r="B32" s="169"/>
      <c r="C32" s="20"/>
      <c r="D32" s="20"/>
      <c r="E32" s="20"/>
      <c r="F32" s="20"/>
      <c r="G32" s="20"/>
      <c r="H32" s="20"/>
      <c r="I32" s="20"/>
      <c r="J32" s="20"/>
      <c r="K32" s="20"/>
      <c r="L32" s="20"/>
      <c r="M32" s="20"/>
      <c r="N32" s="20"/>
      <c r="O32" s="20"/>
      <c r="P32" s="20"/>
      <c r="Q32" s="20"/>
      <c r="R32" s="20"/>
      <c r="S32" s="20"/>
      <c r="T32" s="20"/>
      <c r="U32" s="20"/>
      <c r="V32" s="69"/>
    </row>
    <row r="33" spans="1:22" ht="33.75" x14ac:dyDescent="0.25">
      <c r="A33" s="171" t="s">
        <v>1037</v>
      </c>
      <c r="B33" s="169" t="s">
        <v>5693</v>
      </c>
      <c r="C33" s="116"/>
      <c r="D33" s="116"/>
      <c r="E33" s="116"/>
      <c r="F33" s="116"/>
      <c r="G33" s="116"/>
      <c r="H33" s="116"/>
      <c r="I33" s="116"/>
      <c r="J33" s="116"/>
      <c r="K33" s="116"/>
      <c r="L33" s="116"/>
      <c r="M33" s="116"/>
      <c r="N33" s="116"/>
      <c r="O33" s="116"/>
      <c r="P33" s="116"/>
      <c r="Q33" s="116"/>
      <c r="R33" s="116"/>
      <c r="S33" s="116"/>
      <c r="T33" s="116"/>
      <c r="U33" s="116">
        <f t="shared" ref="U33:U53" si="2">ROUND(SUM(C33:T33),0)</f>
        <v>0</v>
      </c>
      <c r="V33" s="69"/>
    </row>
    <row r="34" spans="1:22" x14ac:dyDescent="0.25">
      <c r="A34" s="171" t="s">
        <v>1038</v>
      </c>
      <c r="B34" s="169" t="s">
        <v>5694</v>
      </c>
      <c r="C34" s="116"/>
      <c r="D34" s="116"/>
      <c r="E34" s="116"/>
      <c r="F34" s="116"/>
      <c r="G34" s="116"/>
      <c r="H34" s="116"/>
      <c r="I34" s="116"/>
      <c r="J34" s="116"/>
      <c r="K34" s="116"/>
      <c r="L34" s="116"/>
      <c r="M34" s="116"/>
      <c r="N34" s="116"/>
      <c r="O34" s="116"/>
      <c r="P34" s="116"/>
      <c r="Q34" s="116"/>
      <c r="R34" s="116"/>
      <c r="S34" s="116"/>
      <c r="T34" s="116"/>
      <c r="U34" s="116">
        <f t="shared" si="2"/>
        <v>0</v>
      </c>
      <c r="V34" s="69"/>
    </row>
    <row r="35" spans="1:22" ht="22.5" x14ac:dyDescent="0.25">
      <c r="A35" s="186" t="s">
        <v>1039</v>
      </c>
      <c r="B35" s="191" t="s">
        <v>5423</v>
      </c>
      <c r="C35" s="116"/>
      <c r="D35" s="116"/>
      <c r="E35" s="116"/>
      <c r="F35" s="116"/>
      <c r="G35" s="116"/>
      <c r="H35" s="116">
        <f>-ROUND(H31+H33,0)</f>
        <v>0</v>
      </c>
      <c r="I35" s="116">
        <f>-ROUND(I31+I33,0)</f>
        <v>0</v>
      </c>
      <c r="J35" s="116">
        <f>ROUND(H31+H33+N31+N33+O31+O33,0)</f>
        <v>0</v>
      </c>
      <c r="K35" s="116">
        <f>ROUND(I31+I33+L31+L33+M31+M33,0)</f>
        <v>0</v>
      </c>
      <c r="L35" s="116">
        <f>-ROUND(L31+L33,0)</f>
        <v>0</v>
      </c>
      <c r="M35" s="116">
        <f>-ROUND(M31+M33,0)</f>
        <v>0</v>
      </c>
      <c r="N35" s="116">
        <f>-ROUND(N31+N33,0)</f>
        <v>0</v>
      </c>
      <c r="O35" s="116">
        <f>-ROUND(O31+O33,0)</f>
        <v>0</v>
      </c>
      <c r="P35" s="116"/>
      <c r="Q35" s="116"/>
      <c r="R35" s="116"/>
      <c r="S35" s="116"/>
      <c r="T35" s="116"/>
      <c r="U35" s="116">
        <f t="shared" si="2"/>
        <v>0</v>
      </c>
      <c r="V35" s="69"/>
    </row>
    <row r="36" spans="1:22" x14ac:dyDescent="0.25">
      <c r="A36" s="171" t="s">
        <v>1040</v>
      </c>
      <c r="B36" s="169" t="s">
        <v>1012</v>
      </c>
      <c r="C36" s="116"/>
      <c r="D36" s="116"/>
      <c r="E36" s="116"/>
      <c r="F36" s="116"/>
      <c r="G36" s="116"/>
      <c r="H36" s="116"/>
      <c r="I36" s="116"/>
      <c r="J36" s="116"/>
      <c r="K36" s="116"/>
      <c r="L36" s="116"/>
      <c r="M36" s="116"/>
      <c r="N36" s="116"/>
      <c r="O36" s="116"/>
      <c r="P36" s="116"/>
      <c r="Q36" s="116"/>
      <c r="R36" s="116"/>
      <c r="S36" s="116"/>
      <c r="T36" s="116"/>
      <c r="U36" s="116">
        <f t="shared" si="2"/>
        <v>0</v>
      </c>
      <c r="V36" s="69"/>
    </row>
    <row r="37" spans="1:22" x14ac:dyDescent="0.25">
      <c r="A37" s="171" t="s">
        <v>1041</v>
      </c>
      <c r="B37" s="169" t="s">
        <v>1014</v>
      </c>
      <c r="C37" s="116"/>
      <c r="D37" s="116"/>
      <c r="E37" s="116"/>
      <c r="F37" s="116"/>
      <c r="G37" s="116"/>
      <c r="H37" s="116"/>
      <c r="I37" s="116"/>
      <c r="J37" s="116"/>
      <c r="K37" s="116"/>
      <c r="L37" s="116"/>
      <c r="M37" s="116"/>
      <c r="N37" s="116"/>
      <c r="O37" s="116"/>
      <c r="P37" s="116"/>
      <c r="Q37" s="116"/>
      <c r="R37" s="116"/>
      <c r="S37" s="116"/>
      <c r="T37" s="116"/>
      <c r="U37" s="116">
        <f t="shared" si="2"/>
        <v>0</v>
      </c>
      <c r="V37" s="69"/>
    </row>
    <row r="38" spans="1:22" x14ac:dyDescent="0.25">
      <c r="A38" s="186" t="s">
        <v>1042</v>
      </c>
      <c r="B38" s="191" t="s">
        <v>5424</v>
      </c>
      <c r="C38" s="116"/>
      <c r="D38" s="116"/>
      <c r="E38" s="116"/>
      <c r="F38" s="116"/>
      <c r="G38" s="116"/>
      <c r="H38" s="75">
        <f>'ANEXO 2'!C75</f>
        <v>0</v>
      </c>
      <c r="I38" s="76"/>
      <c r="J38" s="117"/>
      <c r="K38" s="117"/>
      <c r="L38" s="117"/>
      <c r="M38" s="117"/>
      <c r="N38" s="117"/>
      <c r="O38" s="117"/>
      <c r="P38" s="116"/>
      <c r="Q38" s="116"/>
      <c r="R38" s="116"/>
      <c r="S38" s="116"/>
      <c r="T38" s="116"/>
      <c r="U38" s="116">
        <f t="shared" si="2"/>
        <v>0</v>
      </c>
      <c r="V38" s="69"/>
    </row>
    <row r="39" spans="1:22" x14ac:dyDescent="0.25">
      <c r="A39" s="186" t="s">
        <v>1043</v>
      </c>
      <c r="B39" s="191" t="s">
        <v>5425</v>
      </c>
      <c r="C39" s="116"/>
      <c r="D39" s="116"/>
      <c r="E39" s="116"/>
      <c r="F39" s="116"/>
      <c r="G39" s="116"/>
      <c r="H39" s="76"/>
      <c r="I39" s="75">
        <f>-'ANEXO 2'!C74</f>
        <v>0</v>
      </c>
      <c r="J39" s="117"/>
      <c r="K39" s="117"/>
      <c r="L39" s="117"/>
      <c r="M39" s="117"/>
      <c r="N39" s="117"/>
      <c r="O39" s="117"/>
      <c r="P39" s="116"/>
      <c r="Q39" s="116"/>
      <c r="R39" s="116"/>
      <c r="S39" s="116"/>
      <c r="T39" s="116"/>
      <c r="U39" s="116">
        <f t="shared" si="2"/>
        <v>0</v>
      </c>
      <c r="V39" s="69"/>
    </row>
    <row r="40" spans="1:22" ht="22.5" x14ac:dyDescent="0.25">
      <c r="A40" s="171" t="s">
        <v>1044</v>
      </c>
      <c r="B40" s="169" t="s">
        <v>1018</v>
      </c>
      <c r="C40" s="116"/>
      <c r="D40" s="116"/>
      <c r="E40" s="116"/>
      <c r="F40" s="116"/>
      <c r="G40" s="116"/>
      <c r="H40" s="116"/>
      <c r="I40" s="116"/>
      <c r="J40" s="116"/>
      <c r="K40" s="116"/>
      <c r="L40" s="116"/>
      <c r="M40" s="116"/>
      <c r="N40" s="116"/>
      <c r="O40" s="116"/>
      <c r="P40" s="116"/>
      <c r="Q40" s="116"/>
      <c r="R40" s="116"/>
      <c r="S40" s="116"/>
      <c r="T40" s="116"/>
      <c r="U40" s="116">
        <f t="shared" si="2"/>
        <v>0</v>
      </c>
      <c r="V40" s="69"/>
    </row>
    <row r="41" spans="1:22" x14ac:dyDescent="0.25">
      <c r="A41" s="171" t="s">
        <v>1045</v>
      </c>
      <c r="B41" s="169" t="s">
        <v>1020</v>
      </c>
      <c r="C41" s="116"/>
      <c r="D41" s="116"/>
      <c r="E41" s="116"/>
      <c r="F41" s="116"/>
      <c r="G41" s="116"/>
      <c r="H41" s="116"/>
      <c r="I41" s="116"/>
      <c r="J41" s="116"/>
      <c r="K41" s="116"/>
      <c r="L41" s="116"/>
      <c r="M41" s="116"/>
      <c r="N41" s="116"/>
      <c r="O41" s="116"/>
      <c r="P41" s="116"/>
      <c r="Q41" s="116"/>
      <c r="R41" s="116"/>
      <c r="S41" s="116"/>
      <c r="T41" s="116"/>
      <c r="U41" s="116">
        <f t="shared" si="2"/>
        <v>0</v>
      </c>
      <c r="V41" s="69"/>
    </row>
    <row r="42" spans="1:22" ht="22.5" x14ac:dyDescent="0.25">
      <c r="A42" s="171" t="s">
        <v>1046</v>
      </c>
      <c r="B42" s="169" t="s">
        <v>1047</v>
      </c>
      <c r="C42" s="116"/>
      <c r="D42" s="116"/>
      <c r="E42" s="116"/>
      <c r="F42" s="116"/>
      <c r="G42" s="116"/>
      <c r="H42" s="116"/>
      <c r="I42" s="116"/>
      <c r="J42" s="116"/>
      <c r="K42" s="116"/>
      <c r="L42" s="116"/>
      <c r="M42" s="116"/>
      <c r="N42" s="116"/>
      <c r="O42" s="116"/>
      <c r="P42" s="116"/>
      <c r="Q42" s="116"/>
      <c r="R42" s="116"/>
      <c r="S42" s="116"/>
      <c r="T42" s="116"/>
      <c r="U42" s="116">
        <f t="shared" si="2"/>
        <v>0</v>
      </c>
      <c r="V42" s="69"/>
    </row>
    <row r="43" spans="1:22" ht="22.5" x14ac:dyDescent="0.25">
      <c r="A43" s="171" t="s">
        <v>1048</v>
      </c>
      <c r="B43" s="169" t="s">
        <v>1024</v>
      </c>
      <c r="C43" s="116"/>
      <c r="D43" s="116"/>
      <c r="E43" s="116"/>
      <c r="F43" s="116"/>
      <c r="G43" s="116"/>
      <c r="H43" s="116"/>
      <c r="I43" s="116"/>
      <c r="J43" s="116"/>
      <c r="K43" s="116"/>
      <c r="L43" s="116"/>
      <c r="M43" s="116"/>
      <c r="N43" s="116"/>
      <c r="O43" s="116"/>
      <c r="P43" s="116"/>
      <c r="Q43" s="116"/>
      <c r="R43" s="116"/>
      <c r="S43" s="116"/>
      <c r="T43" s="116"/>
      <c r="U43" s="116">
        <f t="shared" si="2"/>
        <v>0</v>
      </c>
      <c r="V43" s="69"/>
    </row>
    <row r="44" spans="1:22" ht="22.5" x14ac:dyDescent="0.25">
      <c r="A44" s="171" t="s">
        <v>1049</v>
      </c>
      <c r="B44" s="169" t="s">
        <v>5410</v>
      </c>
      <c r="C44" s="116"/>
      <c r="D44" s="116"/>
      <c r="E44" s="116"/>
      <c r="F44" s="116"/>
      <c r="G44" s="116"/>
      <c r="H44" s="116"/>
      <c r="I44" s="116"/>
      <c r="J44" s="116"/>
      <c r="K44" s="116"/>
      <c r="L44" s="116"/>
      <c r="M44" s="116"/>
      <c r="N44" s="193">
        <f>'ANEXO 2'!C81-O44</f>
        <v>0</v>
      </c>
      <c r="O44" s="116"/>
      <c r="P44" s="116"/>
      <c r="Q44" s="116"/>
      <c r="R44" s="116"/>
      <c r="S44" s="116"/>
      <c r="T44" s="116"/>
      <c r="U44" s="116">
        <f t="shared" si="2"/>
        <v>0</v>
      </c>
      <c r="V44" s="69"/>
    </row>
    <row r="45" spans="1:22" ht="33.75" x14ac:dyDescent="0.25">
      <c r="A45" s="171" t="s">
        <v>1050</v>
      </c>
      <c r="B45" s="169" t="s">
        <v>5411</v>
      </c>
      <c r="C45" s="116"/>
      <c r="D45" s="116"/>
      <c r="E45" s="116"/>
      <c r="F45" s="116"/>
      <c r="G45" s="116"/>
      <c r="H45" s="116"/>
      <c r="I45" s="116"/>
      <c r="J45" s="116"/>
      <c r="K45" s="116"/>
      <c r="L45" s="193">
        <f>'ANEXO 2'!C82-M45</f>
        <v>0</v>
      </c>
      <c r="M45" s="116"/>
      <c r="N45" s="116"/>
      <c r="O45" s="116"/>
      <c r="P45" s="116"/>
      <c r="Q45" s="116"/>
      <c r="R45" s="116"/>
      <c r="S45" s="116"/>
      <c r="T45" s="116"/>
      <c r="U45" s="116">
        <f t="shared" si="2"/>
        <v>0</v>
      </c>
      <c r="V45" s="69"/>
    </row>
    <row r="46" spans="1:22" ht="22.5" x14ac:dyDescent="0.25">
      <c r="A46" s="171" t="s">
        <v>1051</v>
      </c>
      <c r="B46" s="169" t="s">
        <v>966</v>
      </c>
      <c r="C46" s="116"/>
      <c r="D46" s="116"/>
      <c r="E46" s="116"/>
      <c r="F46" s="116"/>
      <c r="G46" s="116"/>
      <c r="H46" s="116"/>
      <c r="I46" s="116"/>
      <c r="J46" s="116"/>
      <c r="K46" s="116"/>
      <c r="L46" s="116"/>
      <c r="M46" s="116"/>
      <c r="N46" s="193">
        <f>'ANEXO 2'!C83-O46</f>
        <v>0</v>
      </c>
      <c r="O46" s="116"/>
      <c r="P46" s="116"/>
      <c r="Q46" s="116"/>
      <c r="R46" s="116"/>
      <c r="S46" s="116"/>
      <c r="T46" s="116"/>
      <c r="U46" s="116">
        <f t="shared" si="2"/>
        <v>0</v>
      </c>
      <c r="V46" s="69"/>
    </row>
    <row r="47" spans="1:22" ht="22.5" x14ac:dyDescent="0.25">
      <c r="A47" s="171" t="s">
        <v>1052</v>
      </c>
      <c r="B47" s="169" t="s">
        <v>968</v>
      </c>
      <c r="C47" s="116"/>
      <c r="D47" s="116"/>
      <c r="E47" s="116"/>
      <c r="F47" s="116"/>
      <c r="G47" s="116"/>
      <c r="H47" s="116"/>
      <c r="I47" s="116"/>
      <c r="J47" s="116"/>
      <c r="K47" s="116"/>
      <c r="L47" s="193">
        <f>'ANEXO 2'!C84-M47</f>
        <v>0</v>
      </c>
      <c r="M47" s="116"/>
      <c r="N47" s="116"/>
      <c r="O47" s="116"/>
      <c r="P47" s="116"/>
      <c r="Q47" s="116"/>
      <c r="R47" s="116"/>
      <c r="S47" s="116"/>
      <c r="T47" s="116"/>
      <c r="U47" s="116">
        <f t="shared" si="2"/>
        <v>0</v>
      </c>
      <c r="V47" s="69"/>
    </row>
    <row r="48" spans="1:22" ht="33.75" x14ac:dyDescent="0.25">
      <c r="A48" s="171" t="s">
        <v>1053</v>
      </c>
      <c r="B48" s="169" t="s">
        <v>970</v>
      </c>
      <c r="C48" s="116"/>
      <c r="D48" s="116"/>
      <c r="E48" s="116"/>
      <c r="F48" s="116"/>
      <c r="G48" s="116"/>
      <c r="H48" s="116"/>
      <c r="I48" s="116"/>
      <c r="J48" s="116"/>
      <c r="K48" s="116"/>
      <c r="L48" s="116"/>
      <c r="M48" s="116"/>
      <c r="N48" s="193">
        <f>'ANEXO 2'!C85-O48</f>
        <v>0</v>
      </c>
      <c r="O48" s="116"/>
      <c r="P48" s="116"/>
      <c r="Q48" s="116"/>
      <c r="R48" s="116"/>
      <c r="S48" s="116"/>
      <c r="T48" s="116"/>
      <c r="U48" s="116">
        <f t="shared" si="2"/>
        <v>0</v>
      </c>
      <c r="V48" s="69"/>
    </row>
    <row r="49" spans="1:22" ht="33.75" x14ac:dyDescent="0.25">
      <c r="A49" s="171" t="s">
        <v>1054</v>
      </c>
      <c r="B49" s="169" t="s">
        <v>972</v>
      </c>
      <c r="C49" s="116"/>
      <c r="D49" s="116"/>
      <c r="E49" s="116"/>
      <c r="F49" s="116"/>
      <c r="G49" s="116"/>
      <c r="H49" s="116"/>
      <c r="I49" s="116"/>
      <c r="J49" s="116"/>
      <c r="K49" s="116"/>
      <c r="L49" s="193">
        <f>'ANEXO 2'!C86-M49</f>
        <v>0</v>
      </c>
      <c r="M49" s="116"/>
      <c r="N49" s="116"/>
      <c r="O49" s="116"/>
      <c r="P49" s="116"/>
      <c r="Q49" s="116"/>
      <c r="R49" s="116"/>
      <c r="S49" s="116"/>
      <c r="T49" s="116"/>
      <c r="U49" s="116">
        <f t="shared" si="2"/>
        <v>0</v>
      </c>
      <c r="V49" s="69"/>
    </row>
    <row r="50" spans="1:22" ht="22.5" x14ac:dyDescent="0.25">
      <c r="A50" s="171" t="s">
        <v>1055</v>
      </c>
      <c r="B50" s="169" t="s">
        <v>5421</v>
      </c>
      <c r="C50" s="116"/>
      <c r="D50" s="116"/>
      <c r="E50" s="116"/>
      <c r="F50" s="116"/>
      <c r="G50" s="116"/>
      <c r="H50" s="116"/>
      <c r="I50" s="116"/>
      <c r="J50" s="116"/>
      <c r="K50" s="116"/>
      <c r="L50" s="116"/>
      <c r="M50" s="116"/>
      <c r="N50" s="193">
        <f>'ANEXO 2'!C87-O50</f>
        <v>0</v>
      </c>
      <c r="O50" s="116"/>
      <c r="P50" s="116"/>
      <c r="Q50" s="116"/>
      <c r="R50" s="116"/>
      <c r="S50" s="116"/>
      <c r="T50" s="116"/>
      <c r="U50" s="116">
        <f t="shared" si="2"/>
        <v>0</v>
      </c>
      <c r="V50" s="69"/>
    </row>
    <row r="51" spans="1:22" ht="33.75" x14ac:dyDescent="0.25">
      <c r="A51" s="171" t="s">
        <v>1056</v>
      </c>
      <c r="B51" s="169" t="s">
        <v>5412</v>
      </c>
      <c r="C51" s="116"/>
      <c r="D51" s="116"/>
      <c r="E51" s="116"/>
      <c r="F51" s="116"/>
      <c r="G51" s="116"/>
      <c r="H51" s="116"/>
      <c r="I51" s="116"/>
      <c r="J51" s="116"/>
      <c r="K51" s="116"/>
      <c r="L51" s="193">
        <f>'ANEXO 2'!C88-M51</f>
        <v>0</v>
      </c>
      <c r="M51" s="116"/>
      <c r="N51" s="116"/>
      <c r="O51" s="116"/>
      <c r="P51" s="116"/>
      <c r="Q51" s="116"/>
      <c r="R51" s="116"/>
      <c r="S51" s="116"/>
      <c r="T51" s="116"/>
      <c r="U51" s="116">
        <f t="shared" si="2"/>
        <v>0</v>
      </c>
      <c r="V51" s="69"/>
    </row>
    <row r="52" spans="1:22" ht="22.5" x14ac:dyDescent="0.25">
      <c r="A52" s="171" t="s">
        <v>1057</v>
      </c>
      <c r="B52" s="169" t="s">
        <v>976</v>
      </c>
      <c r="C52" s="116"/>
      <c r="D52" s="116"/>
      <c r="E52" s="116"/>
      <c r="F52" s="116"/>
      <c r="G52" s="116"/>
      <c r="H52" s="116"/>
      <c r="I52" s="116"/>
      <c r="J52" s="116"/>
      <c r="K52" s="116"/>
      <c r="L52" s="193">
        <f>'ANEXO 2'!C89</f>
        <v>0</v>
      </c>
      <c r="M52" s="116"/>
      <c r="N52" s="116"/>
      <c r="O52" s="116"/>
      <c r="P52" s="116"/>
      <c r="Q52" s="116"/>
      <c r="R52" s="116"/>
      <c r="S52" s="116"/>
      <c r="T52" s="116"/>
      <c r="U52" s="116">
        <f t="shared" si="2"/>
        <v>0</v>
      </c>
      <c r="V52" s="69"/>
    </row>
    <row r="53" spans="1:22" x14ac:dyDescent="0.25">
      <c r="A53" s="171" t="s">
        <v>1058</v>
      </c>
      <c r="B53" s="169" t="s">
        <v>978</v>
      </c>
      <c r="C53" s="116"/>
      <c r="D53" s="116"/>
      <c r="E53" s="116"/>
      <c r="F53" s="116"/>
      <c r="G53" s="116"/>
      <c r="H53" s="116"/>
      <c r="I53" s="116"/>
      <c r="J53" s="116"/>
      <c r="K53" s="116"/>
      <c r="L53" s="193">
        <f>'ANEXO 2'!C90</f>
        <v>0</v>
      </c>
      <c r="M53" s="116"/>
      <c r="N53" s="116"/>
      <c r="O53" s="116"/>
      <c r="P53" s="116"/>
      <c r="Q53" s="116"/>
      <c r="R53" s="116"/>
      <c r="S53" s="116"/>
      <c r="T53" s="116"/>
      <c r="U53" s="116">
        <f t="shared" si="2"/>
        <v>0</v>
      </c>
      <c r="V53" s="69"/>
    </row>
    <row r="54" spans="1:22" x14ac:dyDescent="0.25">
      <c r="A54" s="171" t="s">
        <v>1059</v>
      </c>
      <c r="B54" s="169" t="s">
        <v>638</v>
      </c>
      <c r="C54" s="52"/>
      <c r="D54" s="52"/>
      <c r="E54" s="52"/>
      <c r="F54" s="52"/>
      <c r="G54" s="52"/>
      <c r="H54" s="52"/>
      <c r="I54" s="52"/>
      <c r="J54" s="52"/>
      <c r="K54" s="52"/>
      <c r="L54" s="52"/>
      <c r="M54" s="52"/>
      <c r="N54" s="52"/>
      <c r="O54" s="52"/>
      <c r="P54" s="52"/>
      <c r="Q54" s="52"/>
      <c r="R54" s="52"/>
      <c r="S54" s="52"/>
      <c r="T54" s="52"/>
      <c r="U54" s="52"/>
      <c r="V54" s="69"/>
    </row>
    <row r="55" spans="1:22" x14ac:dyDescent="0.25">
      <c r="A55" s="171"/>
      <c r="B55" s="169"/>
      <c r="C55" s="18"/>
      <c r="D55" s="18"/>
      <c r="E55" s="18"/>
      <c r="F55" s="18"/>
      <c r="G55" s="18"/>
      <c r="H55" s="18"/>
      <c r="I55" s="18"/>
      <c r="J55" s="18"/>
      <c r="K55" s="18"/>
      <c r="L55" s="18"/>
      <c r="M55" s="18"/>
      <c r="N55" s="18"/>
      <c r="O55" s="18"/>
      <c r="P55" s="18"/>
      <c r="Q55" s="18"/>
      <c r="R55" s="18"/>
      <c r="S55" s="18"/>
      <c r="T55" s="18"/>
      <c r="U55" s="18"/>
      <c r="V55" s="69"/>
    </row>
    <row r="56" spans="1:22" x14ac:dyDescent="0.25">
      <c r="A56" s="186" t="s">
        <v>1060</v>
      </c>
      <c r="B56" s="191" t="s">
        <v>5426</v>
      </c>
      <c r="C56" s="77">
        <f t="shared" ref="C56:U56" si="3">SUM(C31:C54)</f>
        <v>0</v>
      </c>
      <c r="D56" s="77">
        <f t="shared" si="3"/>
        <v>0</v>
      </c>
      <c r="E56" s="77">
        <f t="shared" si="3"/>
        <v>0</v>
      </c>
      <c r="F56" s="77">
        <f t="shared" si="3"/>
        <v>0</v>
      </c>
      <c r="G56" s="77">
        <f t="shared" si="3"/>
        <v>0</v>
      </c>
      <c r="H56" s="54">
        <f t="shared" si="3"/>
        <v>0</v>
      </c>
      <c r="I56" s="54">
        <f t="shared" si="3"/>
        <v>0</v>
      </c>
      <c r="J56" s="77">
        <f t="shared" si="3"/>
        <v>0</v>
      </c>
      <c r="K56" s="77">
        <f t="shared" si="3"/>
        <v>0</v>
      </c>
      <c r="L56" s="54">
        <f t="shared" si="3"/>
        <v>0</v>
      </c>
      <c r="M56" s="54">
        <f t="shared" si="3"/>
        <v>0</v>
      </c>
      <c r="N56" s="54">
        <f t="shared" si="3"/>
        <v>0</v>
      </c>
      <c r="O56" s="54">
        <f t="shared" si="3"/>
        <v>0</v>
      </c>
      <c r="P56" s="77">
        <f t="shared" si="3"/>
        <v>0</v>
      </c>
      <c r="Q56" s="77">
        <f t="shared" si="3"/>
        <v>0</v>
      </c>
      <c r="R56" s="77">
        <f t="shared" si="3"/>
        <v>0</v>
      </c>
      <c r="S56" s="54">
        <f t="shared" si="3"/>
        <v>0</v>
      </c>
      <c r="T56" s="54">
        <f t="shared" si="3"/>
        <v>0</v>
      </c>
      <c r="U56" s="77">
        <f t="shared" si="3"/>
        <v>0</v>
      </c>
      <c r="V56" s="69"/>
    </row>
    <row r="57" spans="1:22" x14ac:dyDescent="0.25">
      <c r="A57" s="163"/>
      <c r="B57" s="160"/>
      <c r="C57" s="18"/>
      <c r="D57" s="18"/>
      <c r="E57" s="18"/>
      <c r="F57" s="18"/>
      <c r="G57" s="18"/>
      <c r="H57" s="18"/>
      <c r="I57" s="18"/>
      <c r="J57" s="18"/>
      <c r="K57" s="18"/>
      <c r="L57" s="18"/>
      <c r="M57" s="18"/>
      <c r="N57" s="18"/>
      <c r="O57" s="18"/>
      <c r="P57" s="18"/>
      <c r="Q57" s="18"/>
      <c r="R57" s="18"/>
      <c r="S57" s="18"/>
      <c r="T57" s="18"/>
      <c r="U57" s="18"/>
      <c r="V57" s="69"/>
    </row>
    <row r="58" spans="1:22" ht="23.25" x14ac:dyDescent="0.25">
      <c r="A58" s="163"/>
      <c r="B58" s="174" t="s">
        <v>885</v>
      </c>
      <c r="C58" s="18"/>
      <c r="D58" s="18"/>
      <c r="E58" s="18"/>
      <c r="F58" s="18"/>
      <c r="G58" s="18"/>
      <c r="H58" s="18"/>
      <c r="I58" s="18"/>
      <c r="J58" s="18"/>
      <c r="K58" s="18"/>
      <c r="L58" s="18"/>
      <c r="M58" s="18"/>
      <c r="N58" s="18"/>
      <c r="O58" s="18"/>
      <c r="P58" s="18"/>
      <c r="Q58" s="18"/>
      <c r="R58" s="18"/>
      <c r="S58" s="18"/>
      <c r="T58" s="18"/>
      <c r="U58" s="18"/>
      <c r="V58" s="69"/>
    </row>
    <row r="59" spans="1:22" ht="8.1" customHeight="1" x14ac:dyDescent="0.25">
      <c r="A59" s="168" t="s">
        <v>0</v>
      </c>
      <c r="B59" s="172"/>
      <c r="C59" s="168"/>
      <c r="D59" s="168"/>
      <c r="E59" s="168"/>
      <c r="F59" s="168"/>
      <c r="G59" s="168"/>
      <c r="H59" s="168"/>
      <c r="I59" s="168"/>
      <c r="J59" s="168"/>
      <c r="K59" s="168"/>
      <c r="L59" s="168"/>
      <c r="M59" s="168"/>
      <c r="N59" s="168"/>
      <c r="O59" s="168"/>
      <c r="P59" s="168"/>
      <c r="Q59" s="168"/>
      <c r="R59" s="168"/>
      <c r="S59" s="168"/>
      <c r="T59" s="168"/>
      <c r="U59" s="168"/>
      <c r="V59"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247"/>
  <sheetViews>
    <sheetView workbookViewId="0"/>
  </sheetViews>
  <sheetFormatPr defaultColWidth="11.5703125" defaultRowHeight="15" x14ac:dyDescent="0.25"/>
  <cols>
    <col min="1" max="1" width="14.28515625" style="107" customWidth="1"/>
    <col min="2" max="2" width="35.7109375" style="107" customWidth="1"/>
    <col min="3" max="9" width="18.7109375" style="107" customWidth="1"/>
    <col min="10" max="10" width="1.7109375" style="107" customWidth="1"/>
    <col min="11" max="16384" width="11.5703125" style="107"/>
  </cols>
  <sheetData>
    <row r="1" spans="1:10" x14ac:dyDescent="0.25">
      <c r="A1" s="42" t="s">
        <v>0</v>
      </c>
      <c r="B1" s="41" t="s">
        <v>5609</v>
      </c>
      <c r="C1" s="42"/>
      <c r="D1" s="42"/>
      <c r="E1" s="42" t="s">
        <v>0</v>
      </c>
      <c r="F1" s="42" t="s">
        <v>0</v>
      </c>
      <c r="G1" s="42" t="s">
        <v>0</v>
      </c>
      <c r="H1" s="42" t="s">
        <v>0</v>
      </c>
      <c r="I1" s="42" t="s">
        <v>0</v>
      </c>
      <c r="J1" s="69" t="s">
        <v>0</v>
      </c>
    </row>
    <row r="2" spans="1:10" ht="56.25" x14ac:dyDescent="0.25">
      <c r="A2" s="121" t="s">
        <v>5597</v>
      </c>
      <c r="B2" s="121" t="s">
        <v>5598</v>
      </c>
      <c r="C2" s="43" t="s">
        <v>5660</v>
      </c>
      <c r="D2" s="43" t="s">
        <v>586</v>
      </c>
      <c r="E2" s="44" t="s">
        <v>588</v>
      </c>
      <c r="F2" s="44" t="s">
        <v>589</v>
      </c>
      <c r="G2" s="44" t="s">
        <v>590</v>
      </c>
      <c r="H2" s="44" t="s">
        <v>591</v>
      </c>
      <c r="I2" s="45" t="s">
        <v>592</v>
      </c>
      <c r="J2" s="69" t="s">
        <v>0</v>
      </c>
    </row>
    <row r="3" spans="1:10" x14ac:dyDescent="0.25">
      <c r="A3" s="163"/>
      <c r="B3" s="46" t="s">
        <v>0</v>
      </c>
      <c r="C3" s="47"/>
      <c r="D3" s="47"/>
      <c r="E3" s="47"/>
      <c r="F3" s="47"/>
      <c r="G3" s="47"/>
      <c r="H3" s="47"/>
      <c r="I3" s="47"/>
      <c r="J3" s="69"/>
    </row>
    <row r="4" spans="1:10" x14ac:dyDescent="0.25">
      <c r="A4" s="163"/>
      <c r="B4" s="51" t="s">
        <v>5626</v>
      </c>
      <c r="C4" s="49"/>
      <c r="D4" s="47"/>
      <c r="E4" s="47"/>
      <c r="F4" s="47"/>
      <c r="G4" s="47"/>
      <c r="H4" s="47"/>
      <c r="I4" s="47"/>
      <c r="J4" s="69"/>
    </row>
    <row r="5" spans="1:10" x14ac:dyDescent="0.25">
      <c r="A5" s="163"/>
      <c r="B5" s="132" t="s">
        <v>0</v>
      </c>
      <c r="C5" s="49"/>
      <c r="D5" s="47"/>
      <c r="E5" s="47"/>
      <c r="F5" s="47"/>
      <c r="G5" s="47"/>
      <c r="H5" s="47"/>
      <c r="I5" s="47"/>
      <c r="J5" s="69"/>
    </row>
    <row r="6" spans="1:10" x14ac:dyDescent="0.25">
      <c r="A6" s="163"/>
      <c r="B6" s="173" t="s">
        <v>5632</v>
      </c>
      <c r="C6" s="49"/>
      <c r="D6" s="47"/>
      <c r="E6" s="47"/>
      <c r="F6" s="47"/>
      <c r="G6" s="47"/>
      <c r="H6" s="47"/>
      <c r="I6" s="47"/>
      <c r="J6" s="69"/>
    </row>
    <row r="7" spans="1:10" x14ac:dyDescent="0.25">
      <c r="A7" s="163"/>
      <c r="B7" s="47" t="s">
        <v>0</v>
      </c>
      <c r="C7" s="47"/>
      <c r="D7" s="47"/>
      <c r="E7" s="47"/>
      <c r="F7" s="47"/>
      <c r="G7" s="47"/>
      <c r="H7" s="47"/>
      <c r="I7" s="47"/>
      <c r="J7" s="69"/>
    </row>
    <row r="8" spans="1:10" x14ac:dyDescent="0.25">
      <c r="A8" s="163"/>
      <c r="B8" s="51" t="s">
        <v>5633</v>
      </c>
      <c r="C8" s="49"/>
      <c r="D8" s="47"/>
      <c r="E8" s="47"/>
      <c r="F8" s="47"/>
      <c r="G8" s="47"/>
      <c r="H8" s="47"/>
      <c r="I8" s="47"/>
      <c r="J8" s="69"/>
    </row>
    <row r="9" spans="1:10" x14ac:dyDescent="0.25">
      <c r="A9" s="163"/>
      <c r="B9" s="51" t="s">
        <v>0</v>
      </c>
      <c r="C9" s="47"/>
      <c r="D9" s="47"/>
      <c r="E9" s="47"/>
      <c r="F9" s="47"/>
      <c r="G9" s="47"/>
      <c r="H9" s="47"/>
      <c r="I9" s="47"/>
      <c r="J9" s="69"/>
    </row>
    <row r="10" spans="1:10" x14ac:dyDescent="0.25">
      <c r="A10" s="163"/>
      <c r="B10" s="51" t="s">
        <v>5634</v>
      </c>
      <c r="C10" s="49"/>
      <c r="D10" s="47"/>
      <c r="E10" s="47"/>
      <c r="F10" s="47"/>
      <c r="G10" s="47"/>
      <c r="H10" s="47"/>
      <c r="I10" s="47"/>
      <c r="J10" s="69"/>
    </row>
    <row r="11" spans="1:10" x14ac:dyDescent="0.25">
      <c r="A11" s="163"/>
      <c r="B11" s="174"/>
      <c r="C11" s="47"/>
      <c r="D11" s="47"/>
      <c r="E11" s="47"/>
      <c r="F11" s="47"/>
      <c r="G11" s="47"/>
      <c r="H11" s="47"/>
      <c r="I11" s="47"/>
      <c r="J11" s="69"/>
    </row>
    <row r="12" spans="1:10" x14ac:dyDescent="0.25">
      <c r="A12" s="162" t="s">
        <v>593</v>
      </c>
      <c r="B12" s="145" t="s">
        <v>594</v>
      </c>
      <c r="C12" s="116"/>
      <c r="D12" s="116"/>
      <c r="E12" s="29"/>
      <c r="F12" s="29"/>
      <c r="G12" s="29"/>
      <c r="H12" s="29"/>
      <c r="I12" s="29"/>
      <c r="J12" s="69"/>
    </row>
    <row r="13" spans="1:10" x14ac:dyDescent="0.25">
      <c r="A13" s="162" t="s">
        <v>595</v>
      </c>
      <c r="B13" s="145" t="s">
        <v>596</v>
      </c>
      <c r="C13" s="116"/>
      <c r="D13" s="116"/>
      <c r="E13" s="29"/>
      <c r="F13" s="29"/>
      <c r="G13" s="29"/>
      <c r="H13" s="29"/>
      <c r="I13" s="29"/>
      <c r="J13" s="69"/>
    </row>
    <row r="14" spans="1:10" x14ac:dyDescent="0.25">
      <c r="A14" s="162" t="s">
        <v>597</v>
      </c>
      <c r="B14" s="145" t="s">
        <v>598</v>
      </c>
      <c r="C14" s="116"/>
      <c r="D14" s="116"/>
      <c r="E14" s="29"/>
      <c r="F14" s="29"/>
      <c r="G14" s="29"/>
      <c r="H14" s="29"/>
      <c r="I14" s="29"/>
      <c r="J14" s="69"/>
    </row>
    <row r="15" spans="1:10" x14ac:dyDescent="0.25">
      <c r="A15" s="162" t="s">
        <v>599</v>
      </c>
      <c r="B15" s="145" t="s">
        <v>600</v>
      </c>
      <c r="C15" s="52"/>
      <c r="D15" s="52"/>
      <c r="E15" s="29"/>
      <c r="F15" s="29"/>
      <c r="G15" s="29"/>
      <c r="H15" s="29"/>
      <c r="I15" s="29"/>
      <c r="J15" s="69"/>
    </row>
    <row r="16" spans="1:10" ht="22.5" x14ac:dyDescent="0.25">
      <c r="A16" s="162" t="s">
        <v>601</v>
      </c>
      <c r="B16" s="145" t="s">
        <v>602</v>
      </c>
      <c r="C16" s="54">
        <f>ROUND(SUM(C12:C14)+C15,0)</f>
        <v>0</v>
      </c>
      <c r="D16" s="54">
        <f>ROUND(SUM(D12:D14)+D15,0)</f>
        <v>0</v>
      </c>
      <c r="E16" s="29"/>
      <c r="F16" s="29"/>
      <c r="G16" s="29"/>
      <c r="H16" s="29"/>
      <c r="I16" s="29"/>
      <c r="J16" s="69"/>
    </row>
    <row r="17" spans="1:10" x14ac:dyDescent="0.25">
      <c r="A17" s="162"/>
      <c r="B17" s="145"/>
      <c r="C17" s="18"/>
      <c r="D17" s="18"/>
      <c r="E17" s="18"/>
      <c r="F17" s="18"/>
      <c r="G17" s="18"/>
      <c r="H17" s="18"/>
      <c r="I17" s="18"/>
      <c r="J17" s="69"/>
    </row>
    <row r="18" spans="1:10" x14ac:dyDescent="0.25">
      <c r="A18" s="162"/>
      <c r="B18" s="148" t="s">
        <v>603</v>
      </c>
      <c r="C18" s="51"/>
      <c r="D18" s="18"/>
      <c r="E18" s="18"/>
      <c r="F18" s="18"/>
      <c r="G18" s="18"/>
      <c r="H18" s="18"/>
      <c r="I18" s="18"/>
      <c r="J18" s="69"/>
    </row>
    <row r="19" spans="1:10" x14ac:dyDescent="0.25">
      <c r="A19" s="162"/>
      <c r="B19" s="145"/>
      <c r="C19" s="18"/>
      <c r="D19" s="18"/>
      <c r="E19" s="18"/>
      <c r="F19" s="18"/>
      <c r="G19" s="18"/>
      <c r="H19" s="18"/>
      <c r="I19" s="18"/>
      <c r="J19" s="69"/>
    </row>
    <row r="20" spans="1:10" x14ac:dyDescent="0.25">
      <c r="A20" s="162" t="s">
        <v>604</v>
      </c>
      <c r="B20" s="145" t="s">
        <v>5689</v>
      </c>
      <c r="C20" s="116"/>
      <c r="D20" s="116"/>
      <c r="E20" s="55" t="str">
        <f t="shared" ref="E20:E26" si="0">IFERROR(TRUNC(IF(C20&lt;&gt;0,C20/$C$133,"")*100,2),"")</f>
        <v/>
      </c>
      <c r="F20" s="55" t="str">
        <f t="shared" ref="F20:F26" si="1">IFERROR(TRUNC(IF(D20&lt;&gt;0,D20/$D$133,"")*100,2),"")</f>
        <v/>
      </c>
      <c r="G20" s="56" t="str">
        <f t="shared" ref="G20:G26" si="2">IF(OR(C20&lt;&gt;0,D20&lt;&gt;0),C20-D20,"")</f>
        <v/>
      </c>
      <c r="H20" s="55" t="str">
        <f t="shared" ref="H20:H26" si="3">IFERROR(ABS(IF(G20&lt;&gt;0,IF(D20&lt;&gt;0,TRUNC(G20/D20*100,2),IF(C20&lt;&gt;0,TRUNC(G20/C20*100,2),"")),"")),"")</f>
        <v/>
      </c>
      <c r="I20" s="108" t="str">
        <f t="shared" ref="I20:I26" si="4">IF(OR(N(E20)&lt;&gt;0,N(F20)&lt;&gt;0),IF(OR(N(E20)&gt;4,N(F20)&gt;4),IF(N(H20)&gt;14,"SI","NO"),"NO"),"NO")</f>
        <v>NO</v>
      </c>
      <c r="J20" s="69"/>
    </row>
    <row r="21" spans="1:10" x14ac:dyDescent="0.25">
      <c r="A21" s="162" t="s">
        <v>605</v>
      </c>
      <c r="B21" s="145" t="s">
        <v>606</v>
      </c>
      <c r="C21" s="116"/>
      <c r="D21" s="116"/>
      <c r="E21" s="55" t="str">
        <f t="shared" si="0"/>
        <v/>
      </c>
      <c r="F21" s="55" t="str">
        <f t="shared" si="1"/>
        <v/>
      </c>
      <c r="G21" s="56" t="str">
        <f t="shared" si="2"/>
        <v/>
      </c>
      <c r="H21" s="55" t="str">
        <f t="shared" si="3"/>
        <v/>
      </c>
      <c r="I21" s="108" t="str">
        <f t="shared" si="4"/>
        <v>NO</v>
      </c>
      <c r="J21" s="69"/>
    </row>
    <row r="22" spans="1:10" x14ac:dyDescent="0.25">
      <c r="A22" s="162" t="s">
        <v>607</v>
      </c>
      <c r="B22" s="145" t="s">
        <v>5653</v>
      </c>
      <c r="C22" s="116"/>
      <c r="D22" s="116"/>
      <c r="E22" s="55" t="str">
        <f t="shared" si="0"/>
        <v/>
      </c>
      <c r="F22" s="55" t="str">
        <f t="shared" si="1"/>
        <v/>
      </c>
      <c r="G22" s="56" t="str">
        <f t="shared" si="2"/>
        <v/>
      </c>
      <c r="H22" s="55" t="str">
        <f t="shared" si="3"/>
        <v/>
      </c>
      <c r="I22" s="108" t="str">
        <f t="shared" si="4"/>
        <v>NO</v>
      </c>
      <c r="J22" s="69"/>
    </row>
    <row r="23" spans="1:10" ht="22.5" x14ac:dyDescent="0.25">
      <c r="A23" s="162" t="s">
        <v>608</v>
      </c>
      <c r="B23" s="145" t="s">
        <v>609</v>
      </c>
      <c r="C23" s="116"/>
      <c r="D23" s="116"/>
      <c r="E23" s="55" t="str">
        <f t="shared" si="0"/>
        <v/>
      </c>
      <c r="F23" s="55" t="str">
        <f t="shared" si="1"/>
        <v/>
      </c>
      <c r="G23" s="56" t="str">
        <f t="shared" si="2"/>
        <v/>
      </c>
      <c r="H23" s="55" t="str">
        <f t="shared" si="3"/>
        <v/>
      </c>
      <c r="I23" s="108" t="str">
        <f t="shared" si="4"/>
        <v>NO</v>
      </c>
      <c r="J23" s="69"/>
    </row>
    <row r="24" spans="1:10" x14ac:dyDescent="0.25">
      <c r="A24" s="162" t="s">
        <v>610</v>
      </c>
      <c r="B24" s="145" t="s">
        <v>611</v>
      </c>
      <c r="C24" s="116"/>
      <c r="D24" s="116"/>
      <c r="E24" s="55" t="str">
        <f t="shared" si="0"/>
        <v/>
      </c>
      <c r="F24" s="55" t="str">
        <f t="shared" si="1"/>
        <v/>
      </c>
      <c r="G24" s="56" t="str">
        <f t="shared" si="2"/>
        <v/>
      </c>
      <c r="H24" s="55" t="str">
        <f t="shared" si="3"/>
        <v/>
      </c>
      <c r="I24" s="108" t="str">
        <f t="shared" si="4"/>
        <v>NO</v>
      </c>
      <c r="J24" s="69"/>
    </row>
    <row r="25" spans="1:10" ht="22.5" x14ac:dyDescent="0.25">
      <c r="A25" s="162" t="s">
        <v>612</v>
      </c>
      <c r="B25" s="145" t="s">
        <v>613</v>
      </c>
      <c r="C25" s="116"/>
      <c r="D25" s="116"/>
      <c r="E25" s="55" t="str">
        <f t="shared" si="0"/>
        <v/>
      </c>
      <c r="F25" s="55" t="str">
        <f t="shared" si="1"/>
        <v/>
      </c>
      <c r="G25" s="56" t="str">
        <f t="shared" si="2"/>
        <v/>
      </c>
      <c r="H25" s="55" t="str">
        <f t="shared" si="3"/>
        <v/>
      </c>
      <c r="I25" s="108" t="str">
        <f t="shared" si="4"/>
        <v>NO</v>
      </c>
      <c r="J25" s="69"/>
    </row>
    <row r="26" spans="1:10" ht="22.5" x14ac:dyDescent="0.25">
      <c r="A26" s="162" t="s">
        <v>614</v>
      </c>
      <c r="B26" s="145" t="s">
        <v>615</v>
      </c>
      <c r="C26" s="116"/>
      <c r="D26" s="116"/>
      <c r="E26" s="55" t="str">
        <f t="shared" si="0"/>
        <v/>
      </c>
      <c r="F26" s="55" t="str">
        <f t="shared" si="1"/>
        <v/>
      </c>
      <c r="G26" s="56" t="str">
        <f t="shared" si="2"/>
        <v/>
      </c>
      <c r="H26" s="55" t="str">
        <f t="shared" si="3"/>
        <v/>
      </c>
      <c r="I26" s="108" t="str">
        <f t="shared" si="4"/>
        <v>NO</v>
      </c>
      <c r="J26" s="69"/>
    </row>
    <row r="27" spans="1:10" x14ac:dyDescent="0.25">
      <c r="A27" s="162" t="s">
        <v>616</v>
      </c>
      <c r="B27" s="145" t="s">
        <v>617</v>
      </c>
      <c r="C27" s="52"/>
      <c r="D27" s="52"/>
      <c r="E27" s="57"/>
      <c r="F27" s="57"/>
      <c r="G27" s="52"/>
      <c r="H27" s="57"/>
      <c r="I27" s="58"/>
      <c r="J27" s="69"/>
    </row>
    <row r="28" spans="1:10" x14ac:dyDescent="0.25">
      <c r="A28" s="162" t="s">
        <v>618</v>
      </c>
      <c r="B28" s="145" t="s">
        <v>619</v>
      </c>
      <c r="C28" s="116"/>
      <c r="D28" s="116"/>
      <c r="E28" s="55" t="str">
        <f>IFERROR(TRUNC(IF(C28&lt;&gt;0,C28/$C$133,"")*100,2),"")</f>
        <v/>
      </c>
      <c r="F28" s="55" t="str">
        <f>IFERROR(TRUNC(IF(D28&lt;&gt;0,D28/$D$133,"")*100,2),"")</f>
        <v/>
      </c>
      <c r="G28" s="56" t="str">
        <f>IF(OR(C28&lt;&gt;0,D28&lt;&gt;0),C28-D28,"")</f>
        <v/>
      </c>
      <c r="H28" s="55" t="str">
        <f>IFERROR(ABS(IF(G28&lt;&gt;0,IF(D28&lt;&gt;0,TRUNC(G28/D28*100,2),IF(C28&lt;&gt;0,TRUNC(G28/C28*100,2),"")),"")),"")</f>
        <v/>
      </c>
      <c r="I28" s="108" t="str">
        <f>IF(OR(N(E28)&lt;&gt;0,N(F28)&lt;&gt;0),IF(OR(N(E28)&gt;4,N(F28)&gt;4),IF(N(H28)&gt;14,"SI","NO"),"NO"),"NO")</f>
        <v>NO</v>
      </c>
      <c r="J28" s="69"/>
    </row>
    <row r="29" spans="1:10" x14ac:dyDescent="0.25">
      <c r="A29" s="162" t="s">
        <v>620</v>
      </c>
      <c r="B29" s="145" t="s">
        <v>621</v>
      </c>
      <c r="C29" s="116"/>
      <c r="D29" s="116"/>
      <c r="E29" s="55" t="str">
        <f>IFERROR(TRUNC(IF(C29&lt;&gt;0,C29/$C$133,"")*100,2),"")</f>
        <v/>
      </c>
      <c r="F29" s="55" t="str">
        <f>IFERROR(TRUNC(IF(D29&lt;&gt;0,D29/$D$133,"")*100,2),"")</f>
        <v/>
      </c>
      <c r="G29" s="56" t="str">
        <f>IF(OR(C29&lt;&gt;0,D29&lt;&gt;0),C29-D29,"")</f>
        <v/>
      </c>
      <c r="H29" s="55" t="str">
        <f>IFERROR(ABS(IF(G29&lt;&gt;0,IF(D29&lt;&gt;0,TRUNC(G29/D29*100,2),IF(C29&lt;&gt;0,TRUNC(G29/C29*100,2),"")),"")),"")</f>
        <v/>
      </c>
      <c r="I29" s="108" t="str">
        <f>IF(OR(N(E29)&lt;&gt;0,N(F29)&lt;&gt;0),IF(OR(N(E29)&gt;4,N(F29)&gt;4),IF(N(H29)&gt;14,"SI","NO"),"NO"),"NO")</f>
        <v>NO</v>
      </c>
      <c r="J29" s="69"/>
    </row>
    <row r="30" spans="1:10" x14ac:dyDescent="0.25">
      <c r="A30" s="162" t="s">
        <v>622</v>
      </c>
      <c r="B30" s="145" t="s">
        <v>623</v>
      </c>
      <c r="C30" s="52"/>
      <c r="D30" s="52"/>
      <c r="E30" s="57"/>
      <c r="F30" s="57"/>
      <c r="G30" s="52"/>
      <c r="H30" s="57"/>
      <c r="I30" s="58"/>
      <c r="J30" s="69"/>
    </row>
    <row r="31" spans="1:10" x14ac:dyDescent="0.25">
      <c r="A31" s="162" t="s">
        <v>624</v>
      </c>
      <c r="B31" s="145" t="s">
        <v>625</v>
      </c>
      <c r="C31" s="54">
        <f>ROUND(SUM(C20:C27)+C29+C28+C30,0)</f>
        <v>0</v>
      </c>
      <c r="D31" s="54">
        <f>ROUND(SUM(D20:D27)+D29+D28+D30,0)</f>
        <v>0</v>
      </c>
      <c r="E31" s="29"/>
      <c r="F31" s="29"/>
      <c r="G31" s="29"/>
      <c r="H31" s="29"/>
      <c r="I31" s="29"/>
      <c r="J31" s="69"/>
    </row>
    <row r="32" spans="1:10" x14ac:dyDescent="0.25">
      <c r="A32" s="162"/>
      <c r="B32" s="145"/>
      <c r="C32" s="18"/>
      <c r="D32" s="18"/>
      <c r="E32" s="18"/>
      <c r="F32" s="18"/>
      <c r="G32" s="18"/>
      <c r="H32" s="18"/>
      <c r="I32" s="18"/>
      <c r="J32" s="69"/>
    </row>
    <row r="33" spans="1:10" x14ac:dyDescent="0.25">
      <c r="A33" s="162"/>
      <c r="B33" s="148" t="s">
        <v>626</v>
      </c>
      <c r="C33" s="51"/>
      <c r="D33" s="18"/>
      <c r="E33" s="18"/>
      <c r="F33" s="18"/>
      <c r="G33" s="18"/>
      <c r="H33" s="18"/>
      <c r="I33" s="18"/>
      <c r="J33" s="69"/>
    </row>
    <row r="34" spans="1:10" x14ac:dyDescent="0.25">
      <c r="A34" s="162"/>
      <c r="B34" s="145"/>
      <c r="C34" s="18"/>
      <c r="D34" s="18"/>
      <c r="E34" s="18"/>
      <c r="F34" s="18"/>
      <c r="G34" s="18"/>
      <c r="H34" s="18"/>
      <c r="I34" s="18"/>
      <c r="J34" s="69"/>
    </row>
    <row r="35" spans="1:10" x14ac:dyDescent="0.25">
      <c r="A35" s="162" t="s">
        <v>627</v>
      </c>
      <c r="B35" s="145" t="s">
        <v>628</v>
      </c>
      <c r="C35" s="193">
        <f>ROUND('ANEXO 6'!C52,0)</f>
        <v>0</v>
      </c>
      <c r="D35" s="192">
        <f>ROUND('ANEXO 6'!D52,0)</f>
        <v>0</v>
      </c>
      <c r="E35" s="59" t="str">
        <f>IFERROR(TRUNC(IF(C35&lt;&gt;0,C35/$C$133,"")*100,2),"")</f>
        <v/>
      </c>
      <c r="F35" s="59" t="str">
        <f>IFERROR(TRUNC(IF(D35&lt;&gt;0,D35/$D$133,"")*100,2),"")</f>
        <v/>
      </c>
      <c r="G35" s="60" t="str">
        <f>IF(OR(C35&lt;&gt;0,D35&lt;&gt;0),C35-D35,"")</f>
        <v/>
      </c>
      <c r="H35" s="59" t="str">
        <f>IFERROR(ABS(IF(G35&lt;&gt;0,IF(D35&lt;&gt;0,TRUNC(G35/D35*100,2),IF(C35&lt;&gt;0,TRUNC(G35/C35*100,2),"")),"")),"")</f>
        <v/>
      </c>
      <c r="I35" s="103" t="str">
        <f>IF(OR(N(E35)&lt;&gt;0,N(F35)&lt;&gt;0),IF(OR(N(E35)&gt;4,N(F35)&gt;4),IF(N(H35)&gt;14,"SI","NO"),"NO"),"NO")</f>
        <v>NO</v>
      </c>
      <c r="J35" s="69"/>
    </row>
    <row r="36" spans="1:10" x14ac:dyDescent="0.25">
      <c r="A36" s="162" t="s">
        <v>629</v>
      </c>
      <c r="B36" s="145" t="s">
        <v>630</v>
      </c>
      <c r="C36" s="193">
        <f>ROUND('ANEXO 6'!C41,0)</f>
        <v>0</v>
      </c>
      <c r="D36" s="192">
        <f>ROUND('ANEXO 6'!D41,0)</f>
        <v>0</v>
      </c>
      <c r="E36" s="59" t="str">
        <f>IFERROR(TRUNC(IF(C36&lt;&gt;0,C36/$C$133,"")*100,2),"")</f>
        <v/>
      </c>
      <c r="F36" s="59" t="str">
        <f>IFERROR(TRUNC(IF(D36&lt;&gt;0,D36/$D$133,"")*100,2),"")</f>
        <v/>
      </c>
      <c r="G36" s="60" t="str">
        <f>IF(OR(C36&lt;&gt;0,D36&lt;&gt;0),C36-D36,"")</f>
        <v/>
      </c>
      <c r="H36" s="59" t="str">
        <f>IFERROR(ABS(IF(G36&lt;&gt;0,IF(D36&lt;&gt;0,TRUNC(G36/D36*100,2),IF(C36&lt;&gt;0,TRUNC(G36/C36*100,2),"")),"")),"")</f>
        <v/>
      </c>
      <c r="I36" s="103" t="str">
        <f>IF(OR(N(E36)&lt;&gt;0,N(F36)&lt;&gt;0),IF(OR(N(E36)&gt;4,N(F36)&gt;4),IF(N(H36)&gt;14,"SI","NO"),"NO"),"NO")</f>
        <v>NO</v>
      </c>
      <c r="J36" s="69"/>
    </row>
    <row r="37" spans="1:10" x14ac:dyDescent="0.25">
      <c r="A37" s="162" t="s">
        <v>631</v>
      </c>
      <c r="B37" s="145" t="s">
        <v>632</v>
      </c>
      <c r="C37" s="193">
        <f>ROUND('ANEXO 6'!C18,0)</f>
        <v>0</v>
      </c>
      <c r="D37" s="192">
        <f>ROUND('ANEXO 6'!D18,0)</f>
        <v>0</v>
      </c>
      <c r="E37" s="59" t="str">
        <f>IFERROR(TRUNC(IF(C37&lt;&gt;0,C37/$C$133,"")*100,2),"")</f>
        <v/>
      </c>
      <c r="F37" s="59" t="str">
        <f>IFERROR(TRUNC(IF(D37&lt;&gt;0,D37/$D$133,"")*100,2),"")</f>
        <v/>
      </c>
      <c r="G37" s="60" t="str">
        <f>IF(OR(C37&lt;&gt;0,D37&lt;&gt;0),C37-D37,"")</f>
        <v/>
      </c>
      <c r="H37" s="59" t="str">
        <f>IFERROR(ABS(IF(G37&lt;&gt;0,IF(D37&lt;&gt;0,TRUNC(G37/D37*100,2),IF(C37&lt;&gt;0,TRUNC(G37/C37*100,2),"")),"")),"")</f>
        <v/>
      </c>
      <c r="I37" s="103" t="str">
        <f>IF(OR(N(E37)&lt;&gt;0,N(F37)&lt;&gt;0),IF(OR(N(E37)&gt;4,N(F37)&gt;4),IF(N(H37)&gt;14,"SI","NO"),"NO"),"NO")</f>
        <v>NO</v>
      </c>
      <c r="J37" s="69"/>
    </row>
    <row r="38" spans="1:10" x14ac:dyDescent="0.25">
      <c r="A38" s="162" t="s">
        <v>633</v>
      </c>
      <c r="B38" s="145" t="s">
        <v>634</v>
      </c>
      <c r="C38" s="116"/>
      <c r="D38" s="117"/>
      <c r="E38" s="59" t="str">
        <f>IFERROR(TRUNC(IF(C38&lt;&gt;0,C38/$C$133,"")*100,2),"")</f>
        <v/>
      </c>
      <c r="F38" s="59" t="str">
        <f>IFERROR(TRUNC(IF(D38&lt;&gt;0,D38/$D$133,"")*100,2),"")</f>
        <v/>
      </c>
      <c r="G38" s="60" t="str">
        <f>IF(OR(C38&lt;&gt;0,D38&lt;&gt;0),C38-D38,"")</f>
        <v/>
      </c>
      <c r="H38" s="59" t="str">
        <f>IFERROR(ABS(IF(G38&lt;&gt;0,IF(D38&lt;&gt;0,TRUNC(G38/D38*100,2),IF(C38&lt;&gt;0,TRUNC(G38/C38*100,2),"")),"")),"")</f>
        <v/>
      </c>
      <c r="I38" s="103" t="str">
        <f>IF(OR(N(E38)&lt;&gt;0,N(F38)&lt;&gt;0),IF(OR(N(E38)&gt;4,N(F38)&gt;4),IF(N(H38)&gt;14,"SI","NO"),"NO"),"NO")</f>
        <v>NO</v>
      </c>
      <c r="J38" s="69"/>
    </row>
    <row r="39" spans="1:10" x14ac:dyDescent="0.25">
      <c r="A39" s="162" t="s">
        <v>635</v>
      </c>
      <c r="B39" s="145" t="s">
        <v>636</v>
      </c>
      <c r="C39" s="116"/>
      <c r="D39" s="116"/>
      <c r="E39" s="55" t="str">
        <f>IFERROR(TRUNC(IF(C39&lt;&gt;0,C39/$C$133,"")*100,2),"")</f>
        <v/>
      </c>
      <c r="F39" s="55" t="str">
        <f>IFERROR(TRUNC(IF(D39&lt;&gt;0,D39/$D$133,"")*100,2),"")</f>
        <v/>
      </c>
      <c r="G39" s="56" t="str">
        <f>IF(OR(C39&lt;&gt;0,D39&lt;&gt;0),C39-D39,"")</f>
        <v/>
      </c>
      <c r="H39" s="55" t="str">
        <f>IFERROR(ABS(IF(G39&lt;&gt;0,IF(D39&lt;&gt;0,TRUNC(G39/D39*100,2),IF(C39&lt;&gt;0,TRUNC(G39/C39*100,2),"")),"")),"")</f>
        <v/>
      </c>
      <c r="I39" s="108" t="str">
        <f>IF(OR(N(E39)&lt;&gt;0,N(F39)&lt;&gt;0),IF(OR(N(E39)&gt;4,N(F39)&gt;4),IF(N(H39)&gt;14,"SI","NO"),"NO"),"NO")</f>
        <v>NO</v>
      </c>
      <c r="J39" s="69"/>
    </row>
    <row r="40" spans="1:10" x14ac:dyDescent="0.25">
      <c r="A40" s="162" t="s">
        <v>637</v>
      </c>
      <c r="B40" s="145" t="s">
        <v>638</v>
      </c>
      <c r="C40" s="52"/>
      <c r="D40" s="52"/>
      <c r="E40" s="57"/>
      <c r="F40" s="57"/>
      <c r="G40" s="52"/>
      <c r="H40" s="57"/>
      <c r="I40" s="58"/>
      <c r="J40" s="69"/>
    </row>
    <row r="41" spans="1:10" x14ac:dyDescent="0.25">
      <c r="A41" s="162" t="s">
        <v>639</v>
      </c>
      <c r="B41" s="145" t="s">
        <v>640</v>
      </c>
      <c r="C41" s="54">
        <f>ROUND(SUM(C35:C40),0)</f>
        <v>0</v>
      </c>
      <c r="D41" s="54">
        <f>ROUND(SUM(D35:D40),0)</f>
        <v>0</v>
      </c>
      <c r="E41" s="29"/>
      <c r="F41" s="29"/>
      <c r="G41" s="29"/>
      <c r="H41" s="29"/>
      <c r="I41" s="29"/>
      <c r="J41" s="69"/>
    </row>
    <row r="42" spans="1:10" x14ac:dyDescent="0.25">
      <c r="A42" s="162"/>
      <c r="B42" s="145"/>
      <c r="C42" s="18"/>
      <c r="D42" s="18"/>
      <c r="E42" s="18"/>
      <c r="F42" s="18"/>
      <c r="G42" s="18"/>
      <c r="H42" s="18"/>
      <c r="I42" s="18"/>
      <c r="J42" s="69"/>
    </row>
    <row r="43" spans="1:10" x14ac:dyDescent="0.25">
      <c r="A43" s="162"/>
      <c r="B43" s="148" t="s">
        <v>641</v>
      </c>
      <c r="C43" s="51"/>
      <c r="D43" s="18"/>
      <c r="E43" s="18"/>
      <c r="F43" s="18"/>
      <c r="G43" s="18"/>
      <c r="H43" s="18"/>
      <c r="I43" s="18"/>
      <c r="J43" s="69"/>
    </row>
    <row r="44" spans="1:10" x14ac:dyDescent="0.25">
      <c r="A44" s="162"/>
      <c r="B44" s="145"/>
      <c r="C44" s="18"/>
      <c r="D44" s="18"/>
      <c r="E44" s="18"/>
      <c r="F44" s="18"/>
      <c r="G44" s="18"/>
      <c r="H44" s="18"/>
      <c r="I44" s="18"/>
      <c r="J44" s="69"/>
    </row>
    <row r="45" spans="1:10" x14ac:dyDescent="0.25">
      <c r="A45" s="162" t="s">
        <v>642</v>
      </c>
      <c r="B45" s="145" t="s">
        <v>643</v>
      </c>
      <c r="C45" s="116"/>
      <c r="D45" s="116"/>
      <c r="E45" s="55" t="str">
        <f>IFERROR(TRUNC(IF(C45&lt;&gt;0,C45/$C$133,"")*100,2),"")</f>
        <v/>
      </c>
      <c r="F45" s="55" t="str">
        <f>IFERROR(TRUNC(IF(D45&lt;&gt;0,D45/$D$133,"")*100,2),"")</f>
        <v/>
      </c>
      <c r="G45" s="56" t="str">
        <f>IF(OR(C45&lt;&gt;0,D45&lt;&gt;0),C45-D45,"")</f>
        <v/>
      </c>
      <c r="H45" s="55" t="str">
        <f>IFERROR(ABS(IF(G45&lt;&gt;0,IF(D45&lt;&gt;0,TRUNC(G45/D45*100,2),IF(C45&lt;&gt;0,TRUNC(G45/C45*100,2),"")),"")),"")</f>
        <v/>
      </c>
      <c r="I45" s="108" t="str">
        <f>IF(OR(N(E45)&lt;&gt;0,N(F45)&lt;&gt;0),IF(OR(N(E45)&gt;4,N(F45)&gt;4),IF(N(H45)&gt;14,"SI","NO"),"NO"),"NO")</f>
        <v>NO</v>
      </c>
      <c r="J45" s="69"/>
    </row>
    <row r="46" spans="1:10" x14ac:dyDescent="0.25">
      <c r="A46" s="162" t="s">
        <v>644</v>
      </c>
      <c r="B46" s="145" t="s">
        <v>645</v>
      </c>
      <c r="C46" s="116"/>
      <c r="D46" s="116"/>
      <c r="E46" s="55" t="str">
        <f>IFERROR(TRUNC(IF(C46&lt;&gt;0,C46/$C$133,"")*100,2),"")</f>
        <v/>
      </c>
      <c r="F46" s="55" t="str">
        <f>IFERROR(TRUNC(IF(D46&lt;&gt;0,D46/$D$133,"")*100,2),"")</f>
        <v/>
      </c>
      <c r="G46" s="56" t="str">
        <f>IF(OR(C46&lt;&gt;0,D46&lt;&gt;0),C46-D46,"")</f>
        <v/>
      </c>
      <c r="H46" s="55" t="str">
        <f>IFERROR(ABS(IF(G46&lt;&gt;0,IF(D46&lt;&gt;0,TRUNC(G46/D46*100,2),IF(C46&lt;&gt;0,TRUNC(G46/C46*100,2),"")),"")),"")</f>
        <v/>
      </c>
      <c r="I46" s="108" t="str">
        <f>IF(OR(N(E46)&lt;&gt;0,N(F46)&lt;&gt;0),IF(OR(N(E46)&gt;4,N(F46)&gt;4),IF(N(H46)&gt;14,"SI","NO"),"NO"),"NO")</f>
        <v>NO</v>
      </c>
      <c r="J46" s="69"/>
    </row>
    <row r="47" spans="1:10" x14ac:dyDescent="0.25">
      <c r="A47" s="162" t="s">
        <v>646</v>
      </c>
      <c r="B47" s="145" t="s">
        <v>647</v>
      </c>
      <c r="C47" s="52"/>
      <c r="D47" s="52"/>
      <c r="E47" s="57"/>
      <c r="F47" s="57"/>
      <c r="G47" s="52"/>
      <c r="H47" s="57"/>
      <c r="I47" s="58"/>
      <c r="J47" s="69"/>
    </row>
    <row r="48" spans="1:10" ht="22.5" x14ac:dyDescent="0.25">
      <c r="A48" s="162" t="s">
        <v>648</v>
      </c>
      <c r="B48" s="145" t="s">
        <v>649</v>
      </c>
      <c r="C48" s="116"/>
      <c r="D48" s="116"/>
      <c r="E48" s="55" t="str">
        <f>IFERROR(TRUNC(IF(C48&lt;&gt;0,C48/$C$133,"")*100,2),"")</f>
        <v/>
      </c>
      <c r="F48" s="55" t="str">
        <f>IFERROR(TRUNC(IF(D48&lt;&gt;0,D48/$D$133,"")*100,2),"")</f>
        <v/>
      </c>
      <c r="G48" s="56" t="str">
        <f>IF(OR(C48&lt;&gt;0,D48&lt;&gt;0),C48-D48,"")</f>
        <v/>
      </c>
      <c r="H48" s="55" t="str">
        <f>IFERROR(ABS(IF(G48&lt;&gt;0,IF(D48&lt;&gt;0,TRUNC(G48/D48*100,2),IF(C48&lt;&gt;0,TRUNC(G48/C48*100,2),"")),"")),"")</f>
        <v/>
      </c>
      <c r="I48" s="108" t="str">
        <f>IF(OR(N(E48)&lt;&gt;0,N(F48)&lt;&gt;0),IF(OR(N(E48)&gt;4,N(F48)&gt;4),IF(N(H48)&gt;14,"SI","NO"),"NO"),"NO")</f>
        <v>NO</v>
      </c>
      <c r="J48" s="69"/>
    </row>
    <row r="49" spans="1:10" x14ac:dyDescent="0.25">
      <c r="A49" s="162" t="s">
        <v>650</v>
      </c>
      <c r="B49" s="145" t="s">
        <v>651</v>
      </c>
      <c r="C49" s="54">
        <f>ROUND(SUM(C45:C47)+C48,0)</f>
        <v>0</v>
      </c>
      <c r="D49" s="54">
        <f>ROUND(SUM(D45:D47)+D48,0)</f>
        <v>0</v>
      </c>
      <c r="E49" s="29"/>
      <c r="F49" s="29"/>
      <c r="G49" s="29"/>
      <c r="H49" s="29"/>
      <c r="I49" s="29"/>
      <c r="J49" s="69"/>
    </row>
    <row r="50" spans="1:10" x14ac:dyDescent="0.25">
      <c r="A50" s="162"/>
      <c r="B50" s="145"/>
      <c r="C50" s="18"/>
      <c r="D50" s="18"/>
      <c r="E50" s="18"/>
      <c r="F50" s="18"/>
      <c r="G50" s="18"/>
      <c r="H50" s="18"/>
      <c r="I50" s="18"/>
      <c r="J50" s="69"/>
    </row>
    <row r="51" spans="1:10" x14ac:dyDescent="0.25">
      <c r="A51" s="162" t="s">
        <v>652</v>
      </c>
      <c r="B51" s="145" t="s">
        <v>653</v>
      </c>
      <c r="C51" s="52"/>
      <c r="D51" s="52"/>
      <c r="E51" s="57"/>
      <c r="F51" s="57"/>
      <c r="G51" s="52"/>
      <c r="H51" s="57"/>
      <c r="I51" s="58"/>
      <c r="J51" s="69"/>
    </row>
    <row r="52" spans="1:10" x14ac:dyDescent="0.25">
      <c r="A52" s="162"/>
      <c r="B52" s="145"/>
      <c r="C52" s="18"/>
      <c r="D52" s="18"/>
      <c r="E52" s="18"/>
      <c r="F52" s="18"/>
      <c r="G52" s="18"/>
      <c r="H52" s="18"/>
      <c r="I52" s="18"/>
      <c r="J52" s="69"/>
    </row>
    <row r="53" spans="1:10" x14ac:dyDescent="0.25">
      <c r="A53" s="162" t="s">
        <v>654</v>
      </c>
      <c r="B53" s="145" t="s">
        <v>655</v>
      </c>
      <c r="C53" s="116"/>
      <c r="D53" s="116"/>
      <c r="E53" s="55" t="str">
        <f>IFERROR(TRUNC(IF(C53&lt;&gt;0,C53/$C$133,"")*100,2),"")</f>
        <v/>
      </c>
      <c r="F53" s="55" t="str">
        <f>IFERROR(TRUNC(IF(D53&lt;&gt;0,D53/$D$133,"")*100,2),"")</f>
        <v/>
      </c>
      <c r="G53" s="56" t="str">
        <f>IF(OR(C53&lt;&gt;0,D53&lt;&gt;0),C53-D53,"")</f>
        <v/>
      </c>
      <c r="H53" s="55" t="str">
        <f>IFERROR(ABS(IF(G53&lt;&gt;0,IF(D53&lt;&gt;0,TRUNC(G53/D53*100,2),IF(C53&lt;&gt;0,TRUNC(G53/C53*100,2),"")),"")),"")</f>
        <v/>
      </c>
      <c r="I53" s="108" t="str">
        <f>IF(OR(N(E53)&lt;&gt;0,N(F53)&lt;&gt;0),IF(OR(N(E53)&gt;4,N(F53)&gt;4),IF(N(H53)&gt;14,"SI","NO"),"NO"),"NO")</f>
        <v>NO</v>
      </c>
      <c r="J53" s="69"/>
    </row>
    <row r="54" spans="1:10" x14ac:dyDescent="0.25">
      <c r="A54" s="162"/>
      <c r="B54" s="145"/>
      <c r="C54" s="18"/>
      <c r="D54" s="18"/>
      <c r="E54" s="18"/>
      <c r="F54" s="18"/>
      <c r="G54" s="18"/>
      <c r="H54" s="18"/>
      <c r="I54" s="18"/>
      <c r="J54" s="69"/>
    </row>
    <row r="55" spans="1:10" x14ac:dyDescent="0.25">
      <c r="A55" s="162" t="s">
        <v>656</v>
      </c>
      <c r="B55" s="145" t="s">
        <v>657</v>
      </c>
      <c r="C55" s="116">
        <f>ROUND(C16+C31+C41+C49+C51+C53,0)</f>
        <v>0</v>
      </c>
      <c r="D55" s="116">
        <f>ROUND(D16+D31+D41+D49+D51+D53,0)</f>
        <v>0</v>
      </c>
      <c r="E55" s="29"/>
      <c r="F55" s="29"/>
      <c r="G55" s="29"/>
      <c r="H55" s="29"/>
      <c r="I55" s="29"/>
      <c r="J55" s="69"/>
    </row>
    <row r="56" spans="1:10" x14ac:dyDescent="0.25">
      <c r="A56" s="162"/>
      <c r="B56" s="145"/>
      <c r="C56" s="18"/>
      <c r="D56" s="18"/>
      <c r="E56" s="18"/>
      <c r="F56" s="18"/>
      <c r="G56" s="18"/>
      <c r="H56" s="18"/>
      <c r="I56" s="18"/>
      <c r="J56" s="69"/>
    </row>
    <row r="57" spans="1:10" x14ac:dyDescent="0.25">
      <c r="A57" s="162"/>
      <c r="B57" s="148" t="s">
        <v>658</v>
      </c>
      <c r="C57" s="51"/>
      <c r="D57" s="18"/>
      <c r="E57" s="18"/>
      <c r="F57" s="18"/>
      <c r="G57" s="18"/>
      <c r="H57" s="18"/>
      <c r="I57" s="18"/>
      <c r="J57" s="69"/>
    </row>
    <row r="58" spans="1:10" x14ac:dyDescent="0.25">
      <c r="A58" s="162"/>
      <c r="B58" s="148"/>
      <c r="C58" s="51"/>
      <c r="D58" s="18"/>
      <c r="E58" s="18"/>
      <c r="F58" s="18"/>
      <c r="G58" s="18"/>
      <c r="H58" s="18"/>
      <c r="I58" s="18"/>
      <c r="J58" s="69"/>
    </row>
    <row r="59" spans="1:10" x14ac:dyDescent="0.25">
      <c r="A59" s="162"/>
      <c r="B59" s="148" t="s">
        <v>659</v>
      </c>
      <c r="C59" s="51"/>
      <c r="D59" s="18"/>
      <c r="E59" s="18"/>
      <c r="F59" s="18"/>
      <c r="G59" s="18"/>
      <c r="H59" s="18"/>
      <c r="I59" s="18"/>
      <c r="J59" s="69"/>
    </row>
    <row r="60" spans="1:10" x14ac:dyDescent="0.25">
      <c r="A60" s="162"/>
      <c r="B60" s="145"/>
      <c r="C60" s="18"/>
      <c r="D60" s="18"/>
      <c r="E60" s="18"/>
      <c r="F60" s="18"/>
      <c r="G60" s="18"/>
      <c r="H60" s="18"/>
      <c r="I60" s="18"/>
      <c r="J60" s="69"/>
    </row>
    <row r="61" spans="1:10" ht="22.5" x14ac:dyDescent="0.25">
      <c r="A61" s="162" t="s">
        <v>660</v>
      </c>
      <c r="B61" s="145" t="s">
        <v>661</v>
      </c>
      <c r="C61" s="116"/>
      <c r="D61" s="116"/>
      <c r="E61" s="55" t="str">
        <f>IFERROR(TRUNC(IF(C61&lt;&gt;0,C61/$C$133,"")*100,2),"")</f>
        <v/>
      </c>
      <c r="F61" s="55" t="str">
        <f>IFERROR(TRUNC(IF(D61&lt;&gt;0,D61/$D$133,"")*100,2),"")</f>
        <v/>
      </c>
      <c r="G61" s="56" t="str">
        <f>IF(OR(C61&lt;&gt;0,D61&lt;&gt;0),C61-D61,"")</f>
        <v/>
      </c>
      <c r="H61" s="55" t="str">
        <f>IFERROR(ABS(IF(G61&lt;&gt;0,IF(D61&lt;&gt;0,TRUNC(G61/D61*100,2),IF(C61&lt;&gt;0,TRUNC(G61/C61*100,2),"")),"")),"")</f>
        <v/>
      </c>
      <c r="I61" s="108" t="str">
        <f>IF(OR(N(E61)&lt;&gt;0,N(F61)&lt;&gt;0),IF(OR(N(E61)&gt;4,N(F61)&gt;4),IF(N(H61)&gt;14,"SI","NO"),"NO"),"NO")</f>
        <v>NO</v>
      </c>
      <c r="J61" s="69"/>
    </row>
    <row r="62" spans="1:10" ht="22.5" x14ac:dyDescent="0.25">
      <c r="A62" s="162" t="s">
        <v>662</v>
      </c>
      <c r="B62" s="145" t="s">
        <v>663</v>
      </c>
      <c r="C62" s="116"/>
      <c r="D62" s="116"/>
      <c r="E62" s="55" t="str">
        <f>IFERROR(TRUNC(IF(C62&lt;&gt;0,C62/$C$133,"")*100,2),"")</f>
        <v/>
      </c>
      <c r="F62" s="55" t="str">
        <f>IFERROR(TRUNC(IF(D62&lt;&gt;0,D62/$D$133,"")*100,2),"")</f>
        <v/>
      </c>
      <c r="G62" s="56" t="str">
        <f>IF(OR(C62&lt;&gt;0,D62&lt;&gt;0),C62-D62,"")</f>
        <v/>
      </c>
      <c r="H62" s="55" t="str">
        <f>IFERROR(ABS(IF(G62&lt;&gt;0,IF(D62&lt;&gt;0,TRUNC(G62/D62*100,2),IF(C62&lt;&gt;0,TRUNC(G62/C62*100,2),"")),"")),"")</f>
        <v/>
      </c>
      <c r="I62" s="108" t="str">
        <f>IF(OR(N(E62)&lt;&gt;0,N(F62)&lt;&gt;0),IF(OR(N(E62)&gt;4,N(F62)&gt;4),IF(N(H62)&gt;14,"SI","NO"),"NO"),"NO")</f>
        <v>NO</v>
      </c>
      <c r="J62" s="69"/>
    </row>
    <row r="63" spans="1:10" ht="22.5" x14ac:dyDescent="0.25">
      <c r="A63" s="162" t="s">
        <v>664</v>
      </c>
      <c r="B63" s="145" t="s">
        <v>665</v>
      </c>
      <c r="C63" s="54">
        <f>ROUND(SUM(C61:C62),0)</f>
        <v>0</v>
      </c>
      <c r="D63" s="54">
        <f>ROUND(SUM(D61:D62),0)</f>
        <v>0</v>
      </c>
      <c r="E63" s="29"/>
      <c r="F63" s="29"/>
      <c r="G63" s="29"/>
      <c r="H63" s="29"/>
      <c r="I63" s="29"/>
      <c r="J63" s="69"/>
    </row>
    <row r="64" spans="1:10" x14ac:dyDescent="0.25">
      <c r="A64" s="162"/>
      <c r="B64" s="145"/>
      <c r="C64" s="18"/>
      <c r="D64" s="18"/>
      <c r="E64" s="18"/>
      <c r="F64" s="18"/>
      <c r="G64" s="18"/>
      <c r="H64" s="18"/>
      <c r="I64" s="18"/>
      <c r="J64" s="69"/>
    </row>
    <row r="65" spans="1:10" x14ac:dyDescent="0.25">
      <c r="A65" s="162"/>
      <c r="B65" s="148" t="s">
        <v>666</v>
      </c>
      <c r="C65" s="18"/>
      <c r="D65" s="18"/>
      <c r="E65" s="18"/>
      <c r="F65" s="18"/>
      <c r="G65" s="18"/>
      <c r="H65" s="18"/>
      <c r="I65" s="18"/>
      <c r="J65" s="69"/>
    </row>
    <row r="66" spans="1:10" x14ac:dyDescent="0.25">
      <c r="A66" s="162"/>
      <c r="B66" s="145"/>
      <c r="C66" s="18"/>
      <c r="D66" s="18"/>
      <c r="E66" s="18"/>
      <c r="F66" s="18"/>
      <c r="G66" s="18"/>
      <c r="H66" s="18"/>
      <c r="I66" s="18"/>
      <c r="J66" s="69"/>
    </row>
    <row r="67" spans="1:10" x14ac:dyDescent="0.25">
      <c r="A67" s="162" t="s">
        <v>667</v>
      </c>
      <c r="B67" s="145" t="s">
        <v>645</v>
      </c>
      <c r="C67" s="116"/>
      <c r="D67" s="116"/>
      <c r="E67" s="55" t="str">
        <f>IFERROR(TRUNC(IF(C67&lt;&gt;0,C67/$C$133,"")*100,2),"")</f>
        <v/>
      </c>
      <c r="F67" s="55" t="str">
        <f>IFERROR(TRUNC(IF(D67&lt;&gt;0,D67/$D$133,"")*100,2),"")</f>
        <v/>
      </c>
      <c r="G67" s="56" t="str">
        <f>IF(OR(C67&lt;&gt;0,D67&lt;&gt;0),C67-D67,"")</f>
        <v/>
      </c>
      <c r="H67" s="55" t="str">
        <f>IFERROR(ABS(IF(G67&lt;&gt;0,IF(D67&lt;&gt;0,TRUNC(G67/D67*100,2),IF(C67&lt;&gt;0,TRUNC(G67/C67*100,2),"")),"")),"")</f>
        <v/>
      </c>
      <c r="I67" s="108" t="str">
        <f>IF(OR(N(E67)&lt;&gt;0,N(F67)&lt;&gt;0),IF(OR(N(E67)&gt;4,N(F67)&gt;4),IF(N(H67)&gt;14,"SI","NO"),"NO"),"NO")</f>
        <v>NO</v>
      </c>
      <c r="J67" s="69"/>
    </row>
    <row r="68" spans="1:10" x14ac:dyDescent="0.25">
      <c r="A68" s="162" t="s">
        <v>668</v>
      </c>
      <c r="B68" s="145" t="s">
        <v>647</v>
      </c>
      <c r="C68" s="52"/>
      <c r="D68" s="52"/>
      <c r="E68" s="57"/>
      <c r="F68" s="57"/>
      <c r="G68" s="52"/>
      <c r="H68" s="57"/>
      <c r="I68" s="58"/>
      <c r="J68" s="69"/>
    </row>
    <row r="69" spans="1:10" ht="22.5" x14ac:dyDescent="0.25">
      <c r="A69" s="162" t="s">
        <v>669</v>
      </c>
      <c r="B69" s="145" t="s">
        <v>670</v>
      </c>
      <c r="C69" s="54">
        <f>ROUND(C67+C68,0)</f>
        <v>0</v>
      </c>
      <c r="D69" s="54">
        <f>ROUND(D67+D68,0)</f>
        <v>0</v>
      </c>
      <c r="E69" s="29"/>
      <c r="F69" s="29"/>
      <c r="G69" s="29"/>
      <c r="H69" s="29"/>
      <c r="I69" s="29"/>
      <c r="J69" s="69"/>
    </row>
    <row r="70" spans="1:10" x14ac:dyDescent="0.25">
      <c r="A70" s="162"/>
      <c r="B70" s="145"/>
      <c r="C70" s="18"/>
      <c r="D70" s="18"/>
      <c r="E70" s="18"/>
      <c r="F70" s="18"/>
      <c r="G70" s="18"/>
      <c r="H70" s="18"/>
      <c r="I70" s="18"/>
      <c r="J70" s="69"/>
    </row>
    <row r="71" spans="1:10" x14ac:dyDescent="0.25">
      <c r="A71" s="162"/>
      <c r="B71" s="148" t="s">
        <v>671</v>
      </c>
      <c r="C71" s="51"/>
      <c r="D71" s="18"/>
      <c r="E71" s="18"/>
      <c r="F71" s="18"/>
      <c r="G71" s="18"/>
      <c r="H71" s="18"/>
      <c r="I71" s="18"/>
      <c r="J71" s="69"/>
    </row>
    <row r="72" spans="1:10" x14ac:dyDescent="0.25">
      <c r="A72" s="162"/>
      <c r="B72" s="145"/>
      <c r="C72" s="18"/>
      <c r="D72" s="18"/>
      <c r="E72" s="18"/>
      <c r="F72" s="18"/>
      <c r="G72" s="18"/>
      <c r="H72" s="18"/>
      <c r="I72" s="18"/>
      <c r="J72" s="69"/>
    </row>
    <row r="73" spans="1:10" x14ac:dyDescent="0.25">
      <c r="A73" s="184" t="s">
        <v>672</v>
      </c>
      <c r="B73" s="189" t="s">
        <v>5427</v>
      </c>
      <c r="C73" s="61"/>
      <c r="D73" s="61"/>
      <c r="E73" s="62" t="str">
        <f>IFERROR(TRUNC(IF(C73&lt;&gt;0,C73/$C$133,"")*100,2),"")</f>
        <v/>
      </c>
      <c r="F73" s="62" t="str">
        <f>IFERROR(TRUNC(IF(D73&lt;&gt;0,D73/$D$133,"")*100,2),"")</f>
        <v/>
      </c>
      <c r="G73" s="63" t="str">
        <f>IF(OR(C73&lt;&gt;0,D73&lt;&gt;0),C73-D73,"")</f>
        <v/>
      </c>
      <c r="H73" s="62" t="str">
        <f>IFERROR(ABS(IF(G73&lt;&gt;0,IF(D73&lt;&gt;0,TRUNC(G73/D73*100,2),IF(C73&lt;&gt;0,TRUNC(G73/C73*100,2),"")),"")),"")</f>
        <v/>
      </c>
      <c r="I73" s="119" t="str">
        <f>IF(OR(N(E73)&lt;&gt;0,N(F73)&lt;&gt;0),IF(OR(N(E73)&gt;4,N(F73)&gt;4),IF(N(H73)&gt;14,"SI","NO"),"NO"),"NO")</f>
        <v>NO</v>
      </c>
      <c r="J73" s="69"/>
    </row>
    <row r="74" spans="1:10" x14ac:dyDescent="0.25">
      <c r="A74" s="162" t="s">
        <v>673</v>
      </c>
      <c r="B74" s="145" t="s">
        <v>674</v>
      </c>
      <c r="C74" s="120">
        <f>ROUND(SUM(C73:C73),0)</f>
        <v>0</v>
      </c>
      <c r="D74" s="120">
        <f>ROUND(SUM(D73:D73),0)</f>
        <v>0</v>
      </c>
      <c r="E74" s="29"/>
      <c r="F74" s="29"/>
      <c r="G74" s="29"/>
      <c r="H74" s="29"/>
      <c r="I74" s="29"/>
      <c r="J74" s="69"/>
    </row>
    <row r="75" spans="1:10" x14ac:dyDescent="0.25">
      <c r="A75" s="162"/>
      <c r="B75" s="145"/>
      <c r="C75" s="18"/>
      <c r="D75" s="18"/>
      <c r="E75" s="18"/>
      <c r="F75" s="18"/>
      <c r="G75" s="18"/>
      <c r="H75" s="18"/>
      <c r="I75" s="18"/>
      <c r="J75" s="69"/>
    </row>
    <row r="76" spans="1:10" x14ac:dyDescent="0.25">
      <c r="A76" s="162"/>
      <c r="B76" s="148" t="s">
        <v>675</v>
      </c>
      <c r="C76" s="51"/>
      <c r="D76" s="18"/>
      <c r="E76" s="18"/>
      <c r="F76" s="18"/>
      <c r="G76" s="18"/>
      <c r="H76" s="18"/>
      <c r="I76" s="18"/>
      <c r="J76" s="69"/>
    </row>
    <row r="77" spans="1:10" x14ac:dyDescent="0.25">
      <c r="A77" s="162"/>
      <c r="B77" s="148"/>
      <c r="C77" s="51"/>
      <c r="D77" s="18"/>
      <c r="E77" s="18"/>
      <c r="F77" s="18"/>
      <c r="G77" s="18"/>
      <c r="H77" s="18"/>
      <c r="I77" s="18"/>
      <c r="J77" s="69"/>
    </row>
    <row r="78" spans="1:10" x14ac:dyDescent="0.25">
      <c r="A78" s="162"/>
      <c r="B78" s="148" t="s">
        <v>676</v>
      </c>
      <c r="C78" s="51"/>
      <c r="D78" s="18"/>
      <c r="E78" s="18"/>
      <c r="F78" s="18"/>
      <c r="G78" s="18"/>
      <c r="H78" s="18"/>
      <c r="I78" s="18"/>
      <c r="J78" s="69"/>
    </row>
    <row r="79" spans="1:10" x14ac:dyDescent="0.25">
      <c r="A79" s="162"/>
      <c r="B79" s="145"/>
      <c r="C79" s="18"/>
      <c r="D79" s="18"/>
      <c r="E79" s="18"/>
      <c r="F79" s="18"/>
      <c r="G79" s="18"/>
      <c r="H79" s="18"/>
      <c r="I79" s="18"/>
      <c r="J79" s="69"/>
    </row>
    <row r="80" spans="1:10" x14ac:dyDescent="0.25">
      <c r="A80" s="162" t="s">
        <v>677</v>
      </c>
      <c r="B80" s="145" t="s">
        <v>678</v>
      </c>
      <c r="C80" s="116"/>
      <c r="D80" s="117"/>
      <c r="E80" s="59" t="str">
        <f t="shared" ref="E80:E85" si="5">IFERROR(TRUNC(IF(C80&lt;&gt;0,C80/$C$133,"")*100,2),"")</f>
        <v/>
      </c>
      <c r="F80" s="59" t="str">
        <f t="shared" ref="F80:F85" si="6">IFERROR(TRUNC(IF(D80&lt;&gt;0,D80/$D$133,"")*100,2),"")</f>
        <v/>
      </c>
      <c r="G80" s="60" t="str">
        <f t="shared" ref="G80:G85" si="7">IF(OR(C80&lt;&gt;0,D80&lt;&gt;0),C80-D80,"")</f>
        <v/>
      </c>
      <c r="H80" s="59" t="str">
        <f t="shared" ref="H80:H85" si="8">IFERROR(ABS(IF(G80&lt;&gt;0,IF(D80&lt;&gt;0,TRUNC(G80/D80*100,2),IF(C80&lt;&gt;0,TRUNC(G80/C80*100,2),"")),"")),"")</f>
        <v/>
      </c>
      <c r="I80" s="103" t="str">
        <f t="shared" ref="I80:I85" si="9">IF(OR(N(E80)&lt;&gt;0,N(F80)&lt;&gt;0),IF(OR(N(E80)&gt;4,N(F80)&gt;4),IF(N(H80)&gt;14,"SI","NO"),"NO"),"NO")</f>
        <v>NO</v>
      </c>
      <c r="J80" s="69"/>
    </row>
    <row r="81" spans="1:10" x14ac:dyDescent="0.25">
      <c r="A81" s="162" t="s">
        <v>679</v>
      </c>
      <c r="B81" s="145" t="s">
        <v>680</v>
      </c>
      <c r="C81" s="116"/>
      <c r="D81" s="117"/>
      <c r="E81" s="59" t="str">
        <f t="shared" si="5"/>
        <v/>
      </c>
      <c r="F81" s="59" t="str">
        <f t="shared" si="6"/>
        <v/>
      </c>
      <c r="G81" s="60" t="str">
        <f t="shared" si="7"/>
        <v/>
      </c>
      <c r="H81" s="59" t="str">
        <f t="shared" si="8"/>
        <v/>
      </c>
      <c r="I81" s="103" t="str">
        <f t="shared" si="9"/>
        <v>NO</v>
      </c>
      <c r="J81" s="69"/>
    </row>
    <row r="82" spans="1:10" x14ac:dyDescent="0.25">
      <c r="A82" s="162" t="s">
        <v>681</v>
      </c>
      <c r="B82" s="145" t="s">
        <v>682</v>
      </c>
      <c r="C82" s="116"/>
      <c r="D82" s="117"/>
      <c r="E82" s="59" t="str">
        <f t="shared" si="5"/>
        <v/>
      </c>
      <c r="F82" s="59" t="str">
        <f t="shared" si="6"/>
        <v/>
      </c>
      <c r="G82" s="60" t="str">
        <f t="shared" si="7"/>
        <v/>
      </c>
      <c r="H82" s="59" t="str">
        <f t="shared" si="8"/>
        <v/>
      </c>
      <c r="I82" s="103" t="str">
        <f t="shared" si="9"/>
        <v>NO</v>
      </c>
      <c r="J82" s="69"/>
    </row>
    <row r="83" spans="1:10" x14ac:dyDescent="0.25">
      <c r="A83" s="162" t="s">
        <v>683</v>
      </c>
      <c r="B83" s="145" t="s">
        <v>684</v>
      </c>
      <c r="C83" s="116"/>
      <c r="D83" s="117"/>
      <c r="E83" s="59" t="str">
        <f t="shared" si="5"/>
        <v/>
      </c>
      <c r="F83" s="59" t="str">
        <f t="shared" si="6"/>
        <v/>
      </c>
      <c r="G83" s="60" t="str">
        <f t="shared" si="7"/>
        <v/>
      </c>
      <c r="H83" s="59" t="str">
        <f t="shared" si="8"/>
        <v/>
      </c>
      <c r="I83" s="103" t="str">
        <f t="shared" si="9"/>
        <v>NO</v>
      </c>
      <c r="J83" s="69"/>
    </row>
    <row r="84" spans="1:10" x14ac:dyDescent="0.25">
      <c r="A84" s="162" t="s">
        <v>685</v>
      </c>
      <c r="B84" s="145" t="s">
        <v>686</v>
      </c>
      <c r="C84" s="116"/>
      <c r="D84" s="117"/>
      <c r="E84" s="59" t="str">
        <f t="shared" si="5"/>
        <v/>
      </c>
      <c r="F84" s="59" t="str">
        <f t="shared" si="6"/>
        <v/>
      </c>
      <c r="G84" s="60" t="str">
        <f t="shared" si="7"/>
        <v/>
      </c>
      <c r="H84" s="59" t="str">
        <f t="shared" si="8"/>
        <v/>
      </c>
      <c r="I84" s="103" t="str">
        <f t="shared" si="9"/>
        <v>NO</v>
      </c>
      <c r="J84" s="69"/>
    </row>
    <row r="85" spans="1:10" x14ac:dyDescent="0.25">
      <c r="A85" s="162" t="s">
        <v>687</v>
      </c>
      <c r="B85" s="145" t="s">
        <v>688</v>
      </c>
      <c r="C85" s="116"/>
      <c r="D85" s="117"/>
      <c r="E85" s="59" t="str">
        <f t="shared" si="5"/>
        <v/>
      </c>
      <c r="F85" s="59" t="str">
        <f t="shared" si="6"/>
        <v/>
      </c>
      <c r="G85" s="60" t="str">
        <f t="shared" si="7"/>
        <v/>
      </c>
      <c r="H85" s="59" t="str">
        <f t="shared" si="8"/>
        <v/>
      </c>
      <c r="I85" s="103" t="str">
        <f t="shared" si="9"/>
        <v>NO</v>
      </c>
      <c r="J85" s="69"/>
    </row>
    <row r="86" spans="1:10" x14ac:dyDescent="0.25">
      <c r="A86" s="162" t="s">
        <v>689</v>
      </c>
      <c r="B86" s="145" t="s">
        <v>690</v>
      </c>
      <c r="C86" s="52"/>
      <c r="D86" s="52"/>
      <c r="E86" s="57"/>
      <c r="F86" s="57"/>
      <c r="G86" s="52"/>
      <c r="H86" s="57"/>
      <c r="I86" s="58"/>
      <c r="J86" s="69"/>
    </row>
    <row r="87" spans="1:10" x14ac:dyDescent="0.25">
      <c r="A87" s="162" t="s">
        <v>691</v>
      </c>
      <c r="B87" s="145" t="s">
        <v>692</v>
      </c>
      <c r="C87" s="54">
        <f>ROUND(SUM(C80:C86),0)</f>
        <v>0</v>
      </c>
      <c r="D87" s="54">
        <f>ROUND(SUM(D80:D86),0)</f>
        <v>0</v>
      </c>
      <c r="E87" s="29"/>
      <c r="F87" s="29"/>
      <c r="G87" s="29"/>
      <c r="H87" s="29"/>
      <c r="I87" s="29"/>
      <c r="J87" s="69"/>
    </row>
    <row r="88" spans="1:10" x14ac:dyDescent="0.25">
      <c r="A88" s="162"/>
      <c r="B88" s="145"/>
      <c r="C88" s="18"/>
      <c r="D88" s="18"/>
      <c r="E88" s="18"/>
      <c r="F88" s="18"/>
      <c r="G88" s="18"/>
      <c r="H88" s="18"/>
      <c r="I88" s="18"/>
      <c r="J88" s="69"/>
    </row>
    <row r="89" spans="1:10" x14ac:dyDescent="0.25">
      <c r="A89" s="162"/>
      <c r="B89" s="148" t="s">
        <v>693</v>
      </c>
      <c r="C89" s="51"/>
      <c r="D89" s="18"/>
      <c r="E89" s="18"/>
      <c r="F89" s="18"/>
      <c r="G89" s="18"/>
      <c r="H89" s="18"/>
      <c r="I89" s="18"/>
      <c r="J89" s="69"/>
    </row>
    <row r="90" spans="1:10" x14ac:dyDescent="0.25">
      <c r="A90" s="162"/>
      <c r="B90" s="145"/>
      <c r="C90" s="18"/>
      <c r="D90" s="18"/>
      <c r="E90" s="18"/>
      <c r="F90" s="18"/>
      <c r="G90" s="18"/>
      <c r="H90" s="18"/>
      <c r="I90" s="18"/>
      <c r="J90" s="69"/>
    </row>
    <row r="91" spans="1:10" x14ac:dyDescent="0.25">
      <c r="A91" s="162" t="s">
        <v>694</v>
      </c>
      <c r="B91" s="145" t="s">
        <v>695</v>
      </c>
      <c r="C91" s="116"/>
      <c r="D91" s="117"/>
      <c r="E91" s="59" t="str">
        <f>IFERROR(TRUNC(IF(C91&lt;&gt;0,C91/$C$133,"")*100,2),"")</f>
        <v/>
      </c>
      <c r="F91" s="59" t="str">
        <f>IFERROR(TRUNC(IF(D91&lt;&gt;0,D91/$D$133,"")*100,2),"")</f>
        <v/>
      </c>
      <c r="G91" s="60" t="str">
        <f>IF(OR(C91&lt;&gt;0,D91&lt;&gt;0),C91-D91,"")</f>
        <v/>
      </c>
      <c r="H91" s="59" t="str">
        <f>IFERROR(ABS(IF(G91&lt;&gt;0,IF(D91&lt;&gt;0,TRUNC(G91/D91*100,2),IF(C91&lt;&gt;0,TRUNC(G91/C91*100,2),"")),"")),"")</f>
        <v/>
      </c>
      <c r="I91" s="103" t="str">
        <f>IF(OR(N(E91)&lt;&gt;0,N(F91)&lt;&gt;0),IF(OR(N(E91)&gt;4,N(F91)&gt;4),IF(N(H91)&gt;14,"SI","NO"),"NO"),"NO")</f>
        <v>NO</v>
      </c>
      <c r="J91" s="69"/>
    </row>
    <row r="92" spans="1:10" x14ac:dyDescent="0.25">
      <c r="A92" s="162" t="s">
        <v>696</v>
      </c>
      <c r="B92" s="145" t="s">
        <v>697</v>
      </c>
      <c r="C92" s="116"/>
      <c r="D92" s="117"/>
      <c r="E92" s="59" t="str">
        <f>IFERROR(TRUNC(IF(C92&lt;&gt;0,C92/$C$133,"")*100,2),"")</f>
        <v/>
      </c>
      <c r="F92" s="59" t="str">
        <f>IFERROR(TRUNC(IF(D92&lt;&gt;0,D92/$D$133,"")*100,2),"")</f>
        <v/>
      </c>
      <c r="G92" s="60" t="str">
        <f>IF(OR(C92&lt;&gt;0,D92&lt;&gt;0),C92-D92,"")</f>
        <v/>
      </c>
      <c r="H92" s="59" t="str">
        <f>IFERROR(ABS(IF(G92&lt;&gt;0,IF(D92&lt;&gt;0,TRUNC(G92/D92*100,2),IF(C92&lt;&gt;0,TRUNC(G92/C92*100,2),"")),"")),"")</f>
        <v/>
      </c>
      <c r="I92" s="103" t="str">
        <f>IF(OR(N(E92)&lt;&gt;0,N(F92)&lt;&gt;0),IF(OR(N(E92)&gt;4,N(F92)&gt;4),IF(N(H92)&gt;14,"SI","NO"),"NO"),"NO")</f>
        <v>NO</v>
      </c>
      <c r="J92" s="69"/>
    </row>
    <row r="93" spans="1:10" ht="22.5" x14ac:dyDescent="0.25">
      <c r="A93" s="162" t="s">
        <v>698</v>
      </c>
      <c r="B93" s="145" t="s">
        <v>699</v>
      </c>
      <c r="C93" s="116"/>
      <c r="D93" s="117"/>
      <c r="E93" s="59" t="str">
        <f>IFERROR(TRUNC(IF(C93&lt;&gt;0,C93/$C$133,"")*100,2),"")</f>
        <v/>
      </c>
      <c r="F93" s="59" t="str">
        <f>IFERROR(TRUNC(IF(D93&lt;&gt;0,D93/$D$133,"")*100,2),"")</f>
        <v/>
      </c>
      <c r="G93" s="60" t="str">
        <f>IF(OR(C93&lt;&gt;0,D93&lt;&gt;0),C93-D93,"")</f>
        <v/>
      </c>
      <c r="H93" s="59" t="str">
        <f>IFERROR(ABS(IF(G93&lt;&gt;0,IF(D93&lt;&gt;0,TRUNC(G93/D93*100,2),IF(C93&lt;&gt;0,TRUNC(G93/C93*100,2),"")),"")),"")</f>
        <v/>
      </c>
      <c r="I93" s="103" t="str">
        <f>IF(OR(N(E93)&lt;&gt;0,N(F93)&lt;&gt;0),IF(OR(N(E93)&gt;4,N(F93)&gt;4),IF(N(H93)&gt;14,"SI","NO"),"NO"),"NO")</f>
        <v>NO</v>
      </c>
      <c r="J93" s="69"/>
    </row>
    <row r="94" spans="1:10" ht="22.5" x14ac:dyDescent="0.25">
      <c r="A94" s="162" t="s">
        <v>700</v>
      </c>
      <c r="B94" s="145" t="s">
        <v>701</v>
      </c>
      <c r="C94" s="116"/>
      <c r="D94" s="117"/>
      <c r="E94" s="59" t="str">
        <f>IFERROR(TRUNC(IF(C94&lt;&gt;0,C94/$C$133,"")*100,2),"")</f>
        <v/>
      </c>
      <c r="F94" s="59" t="str">
        <f>IFERROR(TRUNC(IF(D94&lt;&gt;0,D94/$D$133,"")*100,2),"")</f>
        <v/>
      </c>
      <c r="G94" s="60" t="str">
        <f>IF(OR(C94&lt;&gt;0,D94&lt;&gt;0),C94-D94,"")</f>
        <v/>
      </c>
      <c r="H94" s="59" t="str">
        <f>IFERROR(ABS(IF(G94&lt;&gt;0,IF(D94&lt;&gt;0,TRUNC(G94/D94*100,2),IF(C94&lt;&gt;0,TRUNC(G94/C94*100,2),"")),"")),"")</f>
        <v/>
      </c>
      <c r="I94" s="103" t="str">
        <f>IF(OR(N(E94)&lt;&gt;0,N(F94)&lt;&gt;0),IF(OR(N(E94)&gt;4,N(F94)&gt;4),IF(N(H94)&gt;14,"SI","NO"),"NO"),"NO")</f>
        <v>NO</v>
      </c>
      <c r="J94" s="69"/>
    </row>
    <row r="95" spans="1:10" ht="22.5" x14ac:dyDescent="0.25">
      <c r="A95" s="162" t="s">
        <v>702</v>
      </c>
      <c r="B95" s="145" t="s">
        <v>703</v>
      </c>
      <c r="C95" s="116"/>
      <c r="D95" s="117"/>
      <c r="E95" s="59" t="str">
        <f>IFERROR(TRUNC(IF(C95&lt;&gt;0,C95/$C$133,"")*100,2),"")</f>
        <v/>
      </c>
      <c r="F95" s="59" t="str">
        <f>IFERROR(TRUNC(IF(D95&lt;&gt;0,D95/$D$133,"")*100,2),"")</f>
        <v/>
      </c>
      <c r="G95" s="60" t="str">
        <f>IF(OR(C95&lt;&gt;0,D95&lt;&gt;0),C95-D95,"")</f>
        <v/>
      </c>
      <c r="H95" s="59" t="str">
        <f>IFERROR(ABS(IF(G95&lt;&gt;0,IF(D95&lt;&gt;0,TRUNC(G95/D95*100,2),IF(C95&lt;&gt;0,TRUNC(G95/C95*100,2),"")),"")),"")</f>
        <v/>
      </c>
      <c r="I95" s="103" t="str">
        <f>IF(OR(N(E95)&lt;&gt;0,N(F95)&lt;&gt;0),IF(OR(N(E95)&gt;4,N(F95)&gt;4),IF(N(H95)&gt;14,"SI","NO"),"NO"),"NO")</f>
        <v>NO</v>
      </c>
      <c r="J95" s="69"/>
    </row>
    <row r="96" spans="1:10" ht="22.5" x14ac:dyDescent="0.25">
      <c r="A96" s="162" t="s">
        <v>704</v>
      </c>
      <c r="B96" s="145" t="s">
        <v>705</v>
      </c>
      <c r="C96" s="52"/>
      <c r="D96" s="52"/>
      <c r="E96" s="57"/>
      <c r="F96" s="57"/>
      <c r="G96" s="52"/>
      <c r="H96" s="57"/>
      <c r="I96" s="58"/>
      <c r="J96" s="69"/>
    </row>
    <row r="97" spans="1:10" x14ac:dyDescent="0.25">
      <c r="A97" s="162" t="s">
        <v>706</v>
      </c>
      <c r="B97" s="145" t="s">
        <v>707</v>
      </c>
      <c r="C97" s="54">
        <f>ROUND(SUM(C91:C96),0)</f>
        <v>0</v>
      </c>
      <c r="D97" s="54">
        <f>ROUND(SUM(D91:D96),0)</f>
        <v>0</v>
      </c>
      <c r="E97" s="29"/>
      <c r="F97" s="29"/>
      <c r="G97" s="29"/>
      <c r="H97" s="29"/>
      <c r="I97" s="29"/>
      <c r="J97" s="69"/>
    </row>
    <row r="98" spans="1:10" x14ac:dyDescent="0.25">
      <c r="A98" s="162"/>
      <c r="B98" s="145"/>
      <c r="C98" s="18"/>
      <c r="D98" s="18"/>
      <c r="E98" s="18"/>
      <c r="F98" s="18"/>
      <c r="G98" s="18"/>
      <c r="H98" s="18"/>
      <c r="I98" s="18"/>
      <c r="J98" s="69"/>
    </row>
    <row r="99" spans="1:10" x14ac:dyDescent="0.25">
      <c r="A99" s="162"/>
      <c r="B99" s="148" t="s">
        <v>708</v>
      </c>
      <c r="C99" s="18"/>
      <c r="D99" s="18"/>
      <c r="E99" s="18"/>
      <c r="F99" s="18"/>
      <c r="G99" s="18"/>
      <c r="H99" s="18"/>
      <c r="I99" s="18"/>
      <c r="J99" s="69"/>
    </row>
    <row r="100" spans="1:10" x14ac:dyDescent="0.25">
      <c r="A100" s="162"/>
      <c r="B100" s="145"/>
      <c r="C100" s="18"/>
      <c r="D100" s="18"/>
      <c r="E100" s="18"/>
      <c r="F100" s="18"/>
      <c r="G100" s="18"/>
      <c r="H100" s="18"/>
      <c r="I100" s="18"/>
      <c r="J100" s="69"/>
    </row>
    <row r="101" spans="1:10" ht="22.5" x14ac:dyDescent="0.25">
      <c r="A101" s="162" t="s">
        <v>709</v>
      </c>
      <c r="B101" s="145" t="s">
        <v>5428</v>
      </c>
      <c r="C101" s="116"/>
      <c r="D101" s="116"/>
      <c r="E101" s="55" t="str">
        <f>IFERROR(TRUNC(IF(C101&lt;&gt;0,C101/$C$133,"")*100,2),"")</f>
        <v/>
      </c>
      <c r="F101" s="55" t="str">
        <f>IFERROR(TRUNC(IF(D101&lt;&gt;0,D101/$D$133,"")*100,2),"")</f>
        <v/>
      </c>
      <c r="G101" s="56" t="str">
        <f>IF(OR(C101&lt;&gt;0,D101&lt;&gt;0),C101-D101,"")</f>
        <v/>
      </c>
      <c r="H101" s="55" t="str">
        <f>IFERROR(ABS(IF(G101&lt;&gt;0,IF(D101&lt;&gt;0,TRUNC(G101/D101*100,2),IF(C101&lt;&gt;0,TRUNC(G101/C101*100,2),"")),"")),"")</f>
        <v/>
      </c>
      <c r="I101" s="108" t="str">
        <f>IF(OR(N(E101)&lt;&gt;0,N(F101)&lt;&gt;0),IF(OR(N(E101)&gt;4,N(F101)&gt;4),IF(N(H101)&gt;14,"SI","NO"),"NO"),"NO")</f>
        <v>NO</v>
      </c>
      <c r="J101" s="69"/>
    </row>
    <row r="102" spans="1:10" ht="22.5" x14ac:dyDescent="0.25">
      <c r="A102" s="162" t="s">
        <v>710</v>
      </c>
      <c r="B102" s="145" t="s">
        <v>5429</v>
      </c>
      <c r="C102" s="116"/>
      <c r="D102" s="116"/>
      <c r="E102" s="55" t="str">
        <f>IFERROR(TRUNC(IF(C102&lt;&gt;0,C102/$C$133,"")*100,2),"")</f>
        <v/>
      </c>
      <c r="F102" s="55" t="str">
        <f>IFERROR(TRUNC(IF(D102&lt;&gt;0,D102/$D$133,"")*100,2),"")</f>
        <v/>
      </c>
      <c r="G102" s="56" t="str">
        <f>IF(OR(C102&lt;&gt;0,D102&lt;&gt;0),C102-D102,"")</f>
        <v/>
      </c>
      <c r="H102" s="55" t="str">
        <f>IFERROR(ABS(IF(G102&lt;&gt;0,IF(D102&lt;&gt;0,TRUNC(G102/D102*100,2),IF(C102&lt;&gt;0,TRUNC(G102/C102*100,2),"")),"")),"")</f>
        <v/>
      </c>
      <c r="I102" s="108" t="str">
        <f>IF(OR(N(E102)&lt;&gt;0,N(F102)&lt;&gt;0),IF(OR(N(E102)&gt;4,N(F102)&gt;4),IF(N(H102)&gt;14,"SI","NO"),"NO"),"NO")</f>
        <v>NO</v>
      </c>
      <c r="J102" s="69"/>
    </row>
    <row r="103" spans="1:10" ht="22.5" x14ac:dyDescent="0.25">
      <c r="A103" s="162" t="s">
        <v>711</v>
      </c>
      <c r="B103" s="145" t="s">
        <v>5430</v>
      </c>
      <c r="C103" s="116"/>
      <c r="D103" s="116"/>
      <c r="E103" s="55" t="str">
        <f>IFERROR(TRUNC(IF(C103&lt;&gt;0,C103/$C$133,"")*100,2),"")</f>
        <v/>
      </c>
      <c r="F103" s="55" t="str">
        <f>IFERROR(TRUNC(IF(D103&lt;&gt;0,D103/$D$133,"")*100,2),"")</f>
        <v/>
      </c>
      <c r="G103" s="56" t="str">
        <f>IF(OR(C103&lt;&gt;0,D103&lt;&gt;0),C103-D103,"")</f>
        <v/>
      </c>
      <c r="H103" s="55" t="str">
        <f>IFERROR(ABS(IF(G103&lt;&gt;0,IF(D103&lt;&gt;0,TRUNC(G103/D103*100,2),IF(C103&lt;&gt;0,TRUNC(G103/C103*100,2),"")),"")),"")</f>
        <v/>
      </c>
      <c r="I103" s="108" t="str">
        <f>IF(OR(N(E103)&lt;&gt;0,N(F103)&lt;&gt;0),IF(OR(N(E103)&gt;4,N(F103)&gt;4),IF(N(H103)&gt;14,"SI","NO"),"NO"),"NO")</f>
        <v>NO</v>
      </c>
      <c r="J103" s="69"/>
    </row>
    <row r="104" spans="1:10" ht="22.5" x14ac:dyDescent="0.25">
      <c r="A104" s="162" t="s">
        <v>712</v>
      </c>
      <c r="B104" s="145" t="s">
        <v>5431</v>
      </c>
      <c r="C104" s="116"/>
      <c r="D104" s="116"/>
      <c r="E104" s="55" t="str">
        <f>IFERROR(TRUNC(IF(C104&lt;&gt;0,C104/$C$133,"")*100,2),"")</f>
        <v/>
      </c>
      <c r="F104" s="55" t="str">
        <f>IFERROR(TRUNC(IF(D104&lt;&gt;0,D104/$D$133,"")*100,2),"")</f>
        <v/>
      </c>
      <c r="G104" s="56" t="str">
        <f>IF(OR(C104&lt;&gt;0,D104&lt;&gt;0),C104-D104,"")</f>
        <v/>
      </c>
      <c r="H104" s="55" t="str">
        <f>IFERROR(ABS(IF(G104&lt;&gt;0,IF(D104&lt;&gt;0,TRUNC(G104/D104*100,2),IF(C104&lt;&gt;0,TRUNC(G104/C104*100,2),"")),"")),"")</f>
        <v/>
      </c>
      <c r="I104" s="108" t="str">
        <f>IF(OR(N(E104)&lt;&gt;0,N(F104)&lt;&gt;0),IF(OR(N(E104)&gt;4,N(F104)&gt;4),IF(N(H104)&gt;14,"SI","NO"),"NO"),"NO")</f>
        <v>NO</v>
      </c>
      <c r="J104" s="69"/>
    </row>
    <row r="105" spans="1:10" ht="22.5" x14ac:dyDescent="0.25">
      <c r="A105" s="162" t="s">
        <v>713</v>
      </c>
      <c r="B105" s="145" t="s">
        <v>5432</v>
      </c>
      <c r="C105" s="116"/>
      <c r="D105" s="116"/>
      <c r="E105" s="55" t="str">
        <f>IFERROR(TRUNC(IF(C105&lt;&gt;0,C105/$C$133,"")*100,2),"")</f>
        <v/>
      </c>
      <c r="F105" s="55" t="str">
        <f>IFERROR(TRUNC(IF(D105&lt;&gt;0,D105/$D$133,"")*100,2),"")</f>
        <v/>
      </c>
      <c r="G105" s="56" t="str">
        <f>IF(OR(C105&lt;&gt;0,D105&lt;&gt;0),C105-D105,"")</f>
        <v/>
      </c>
      <c r="H105" s="55" t="str">
        <f>IFERROR(ABS(IF(G105&lt;&gt;0,IF(D105&lt;&gt;0,TRUNC(G105/D105*100,2),IF(C105&lt;&gt;0,TRUNC(G105/C105*100,2),"")),"")),"")</f>
        <v/>
      </c>
      <c r="I105" s="108" t="str">
        <f>IF(OR(N(E105)&lt;&gt;0,N(F105)&lt;&gt;0),IF(OR(N(E105)&gt;4,N(F105)&gt;4),IF(N(H105)&gt;14,"SI","NO"),"NO"),"NO")</f>
        <v>NO</v>
      </c>
      <c r="J105" s="69"/>
    </row>
    <row r="106" spans="1:10" ht="22.5" x14ac:dyDescent="0.25">
      <c r="A106" s="162" t="s">
        <v>714</v>
      </c>
      <c r="B106" s="145" t="s">
        <v>5433</v>
      </c>
      <c r="C106" s="52"/>
      <c r="D106" s="52"/>
      <c r="E106" s="57"/>
      <c r="F106" s="57"/>
      <c r="G106" s="52"/>
      <c r="H106" s="57"/>
      <c r="I106" s="58"/>
      <c r="J106" s="69"/>
    </row>
    <row r="107" spans="1:10" ht="22.5" x14ac:dyDescent="0.25">
      <c r="A107" s="162" t="s">
        <v>715</v>
      </c>
      <c r="B107" s="145" t="s">
        <v>5434</v>
      </c>
      <c r="C107" s="54">
        <f>ROUND(SUM(C101:C106),0)</f>
        <v>0</v>
      </c>
      <c r="D107" s="54">
        <f>ROUND(SUM(D101:D106),0)</f>
        <v>0</v>
      </c>
      <c r="E107" s="29"/>
      <c r="F107" s="29"/>
      <c r="G107" s="29"/>
      <c r="H107" s="29"/>
      <c r="I107" s="29"/>
      <c r="J107" s="69"/>
    </row>
    <row r="108" spans="1:10" x14ac:dyDescent="0.25">
      <c r="A108" s="162"/>
      <c r="B108" s="145"/>
      <c r="C108" s="18"/>
      <c r="D108" s="18"/>
      <c r="E108" s="18"/>
      <c r="F108" s="18"/>
      <c r="G108" s="18"/>
      <c r="H108" s="18"/>
      <c r="I108" s="18"/>
      <c r="J108" s="69"/>
    </row>
    <row r="109" spans="1:10" ht="22.5" x14ac:dyDescent="0.25">
      <c r="A109" s="162" t="s">
        <v>716</v>
      </c>
      <c r="B109" s="145" t="s">
        <v>717</v>
      </c>
      <c r="C109" s="116">
        <f>ROUND(C87-C97-C107,0)</f>
        <v>0</v>
      </c>
      <c r="D109" s="117">
        <f>ROUND(D87-D97-D107,0)</f>
        <v>0</v>
      </c>
      <c r="E109" s="29"/>
      <c r="F109" s="29"/>
      <c r="G109" s="29"/>
      <c r="H109" s="29"/>
      <c r="I109" s="29"/>
      <c r="J109" s="69"/>
    </row>
    <row r="110" spans="1:10" x14ac:dyDescent="0.25">
      <c r="A110" s="162"/>
      <c r="B110" s="145"/>
      <c r="C110" s="18"/>
      <c r="D110" s="18"/>
      <c r="E110" s="18"/>
      <c r="F110" s="18"/>
      <c r="G110" s="18"/>
      <c r="H110" s="18"/>
      <c r="I110" s="18"/>
      <c r="J110" s="69"/>
    </row>
    <row r="111" spans="1:10" x14ac:dyDescent="0.25">
      <c r="A111" s="162"/>
      <c r="B111" s="148" t="s">
        <v>718</v>
      </c>
      <c r="C111" s="51"/>
      <c r="D111" s="18"/>
      <c r="E111" s="18"/>
      <c r="F111" s="18"/>
      <c r="G111" s="18"/>
      <c r="H111" s="18"/>
      <c r="I111" s="18"/>
      <c r="J111" s="69"/>
    </row>
    <row r="112" spans="1:10" x14ac:dyDescent="0.25">
      <c r="A112" s="162"/>
      <c r="B112" s="145"/>
      <c r="C112" s="18"/>
      <c r="D112" s="18"/>
      <c r="E112" s="18"/>
      <c r="F112" s="18"/>
      <c r="G112" s="18"/>
      <c r="H112" s="18"/>
      <c r="I112" s="18"/>
      <c r="J112" s="69"/>
    </row>
    <row r="113" spans="1:10" x14ac:dyDescent="0.25">
      <c r="A113" s="162" t="s">
        <v>719</v>
      </c>
      <c r="B113" s="145" t="s">
        <v>720</v>
      </c>
      <c r="C113" s="116"/>
      <c r="D113" s="117"/>
      <c r="E113" s="59" t="str">
        <f>IFERROR(TRUNC(IF(C113&lt;&gt;0,C113/$C$133,"")*100,2),"")</f>
        <v/>
      </c>
      <c r="F113" s="59" t="str">
        <f>IFERROR(TRUNC(IF(D113&lt;&gt;0,D113/$D$133,"")*100,2),"")</f>
        <v/>
      </c>
      <c r="G113" s="60" t="str">
        <f>IF(OR(C113&lt;&gt;0,D113&lt;&gt;0),C113-D113,"")</f>
        <v/>
      </c>
      <c r="H113" s="59" t="str">
        <f>IFERROR(ABS(IF(G113&lt;&gt;0,IF(D113&lt;&gt;0,TRUNC(G113/D113*100,2),IF(C113&lt;&gt;0,TRUNC(G113/C113*100,2),"")),"")),"")</f>
        <v/>
      </c>
      <c r="I113" s="103" t="str">
        <f>IF(OR(N(E113)&lt;&gt;0,N(F113)&lt;&gt;0),IF(OR(N(E113)&gt;4,N(F113)&gt;4),IF(N(H113)&gt;14,"SI","NO"),"NO"),"NO")</f>
        <v>NO</v>
      </c>
      <c r="J113" s="69"/>
    </row>
    <row r="114" spans="1:10" x14ac:dyDescent="0.25">
      <c r="A114" s="162" t="s">
        <v>721</v>
      </c>
      <c r="B114" s="145" t="s">
        <v>722</v>
      </c>
      <c r="C114" s="116"/>
      <c r="D114" s="117"/>
      <c r="E114" s="59" t="str">
        <f>IFERROR(TRUNC(IF(C114&lt;&gt;0,C114/$C$133,"")*100,2),"")</f>
        <v/>
      </c>
      <c r="F114" s="59" t="str">
        <f>IFERROR(TRUNC(IF(D114&lt;&gt;0,D114/$D$133,"")*100,2),"")</f>
        <v/>
      </c>
      <c r="G114" s="60" t="str">
        <f>IF(OR(C114&lt;&gt;0,D114&lt;&gt;0),C114-D114,"")</f>
        <v/>
      </c>
      <c r="H114" s="59" t="str">
        <f>IFERROR(ABS(IF(G114&lt;&gt;0,IF(D114&lt;&gt;0,TRUNC(G114/D114*100,2),IF(C114&lt;&gt;0,TRUNC(G114/C114*100,2),"")),"")),"")</f>
        <v/>
      </c>
      <c r="I114" s="103" t="str">
        <f>IF(OR(N(E114)&lt;&gt;0,N(F114)&lt;&gt;0),IF(OR(N(E114)&gt;4,N(F114)&gt;4),IF(N(H114)&gt;14,"SI","NO"),"NO"),"NO")</f>
        <v>NO</v>
      </c>
      <c r="J114" s="69"/>
    </row>
    <row r="115" spans="1:10" x14ac:dyDescent="0.25">
      <c r="A115" s="162" t="s">
        <v>723</v>
      </c>
      <c r="B115" s="145" t="s">
        <v>724</v>
      </c>
      <c r="C115" s="116"/>
      <c r="D115" s="117"/>
      <c r="E115" s="59" t="str">
        <f>IFERROR(TRUNC(IF(C115&lt;&gt;0,C115/$C$133,"")*100,2),"")</f>
        <v/>
      </c>
      <c r="F115" s="59" t="str">
        <f>IFERROR(TRUNC(IF(D115&lt;&gt;0,D115/$D$133,"")*100,2),"")</f>
        <v/>
      </c>
      <c r="G115" s="60" t="str">
        <f>IF(OR(C115&lt;&gt;0,D115&lt;&gt;0),C115-D115,"")</f>
        <v/>
      </c>
      <c r="H115" s="59" t="str">
        <f>IFERROR(ABS(IF(G115&lt;&gt;0,IF(D115&lt;&gt;0,TRUNC(G115/D115*100,2),IF(C115&lt;&gt;0,TRUNC(G115/C115*100,2),"")),"")),"")</f>
        <v/>
      </c>
      <c r="I115" s="103" t="str">
        <f>IF(OR(N(E115)&lt;&gt;0,N(F115)&lt;&gt;0),IF(OR(N(E115)&gt;4,N(F115)&gt;4),IF(N(H115)&gt;14,"SI","NO"),"NO"),"NO")</f>
        <v>NO</v>
      </c>
      <c r="J115" s="69"/>
    </row>
    <row r="116" spans="1:10" x14ac:dyDescent="0.25">
      <c r="A116" s="162" t="s">
        <v>725</v>
      </c>
      <c r="B116" s="145" t="s">
        <v>726</v>
      </c>
      <c r="C116" s="116"/>
      <c r="D116" s="117"/>
      <c r="E116" s="59" t="str">
        <f>IFERROR(TRUNC(IF(C116&lt;&gt;0,C116/$C$133,"")*100,2),"")</f>
        <v/>
      </c>
      <c r="F116" s="59" t="str">
        <f>IFERROR(TRUNC(IF(D116&lt;&gt;0,D116/$D$133,"")*100,2),"")</f>
        <v/>
      </c>
      <c r="G116" s="60" t="str">
        <f>IF(OR(C116&lt;&gt;0,D116&lt;&gt;0),C116-D116,"")</f>
        <v/>
      </c>
      <c r="H116" s="59" t="str">
        <f>IFERROR(ABS(IF(G116&lt;&gt;0,IF(D116&lt;&gt;0,TRUNC(G116/D116*100,2),IF(C116&lt;&gt;0,TRUNC(G116/C116*100,2),"")),"")),"")</f>
        <v/>
      </c>
      <c r="I116" s="103" t="str">
        <f>IF(OR(N(E116)&lt;&gt;0,N(F116)&lt;&gt;0),IF(OR(N(E116)&gt;4,N(F116)&gt;4),IF(N(H116)&gt;14,"SI","NO"),"NO"),"NO")</f>
        <v>NO</v>
      </c>
      <c r="J116" s="69"/>
    </row>
    <row r="117" spans="1:10" x14ac:dyDescent="0.25">
      <c r="A117" s="162" t="s">
        <v>727</v>
      </c>
      <c r="B117" s="145" t="s">
        <v>636</v>
      </c>
      <c r="C117" s="116"/>
      <c r="D117" s="116"/>
      <c r="E117" s="55" t="str">
        <f>IFERROR(TRUNC(IF(C117&lt;&gt;0,C117/$C$133,"")*100,2),"")</f>
        <v/>
      </c>
      <c r="F117" s="55" t="str">
        <f>IFERROR(TRUNC(IF(D117&lt;&gt;0,D117/$D$133,"")*100,2),"")</f>
        <v/>
      </c>
      <c r="G117" s="56" t="str">
        <f>IF(OR(C117&lt;&gt;0,D117&lt;&gt;0),C117-D117,"")</f>
        <v/>
      </c>
      <c r="H117" s="55" t="str">
        <f>IFERROR(ABS(IF(G117&lt;&gt;0,IF(D117&lt;&gt;0,TRUNC(G117/D117*100,2),IF(C117&lt;&gt;0,TRUNC(G117/C117*100,2),"")),"")),"")</f>
        <v/>
      </c>
      <c r="I117" s="108" t="str">
        <f>IF(OR(N(E117)&lt;&gt;0,N(F117)&lt;&gt;0),IF(OR(N(E117)&gt;4,N(F117)&gt;4),IF(N(H117)&gt;14,"SI","NO"),"NO"),"NO")</f>
        <v>NO</v>
      </c>
      <c r="J117" s="69"/>
    </row>
    <row r="118" spans="1:10" x14ac:dyDescent="0.25">
      <c r="A118" s="162" t="s">
        <v>728</v>
      </c>
      <c r="B118" s="145" t="s">
        <v>729</v>
      </c>
      <c r="C118" s="52"/>
      <c r="D118" s="52"/>
      <c r="E118" s="57"/>
      <c r="F118" s="57"/>
      <c r="G118" s="52"/>
      <c r="H118" s="57"/>
      <c r="I118" s="58"/>
      <c r="J118" s="69"/>
    </row>
    <row r="119" spans="1:10" x14ac:dyDescent="0.25">
      <c r="A119" s="162" t="s">
        <v>730</v>
      </c>
      <c r="B119" s="145" t="s">
        <v>731</v>
      </c>
      <c r="C119" s="54">
        <f>ROUND(SUM(C113:C118),0)</f>
        <v>0</v>
      </c>
      <c r="D119" s="54">
        <f>ROUND(SUM(D113:D118),0)</f>
        <v>0</v>
      </c>
      <c r="E119" s="29"/>
      <c r="F119" s="29"/>
      <c r="G119" s="29"/>
      <c r="H119" s="29"/>
      <c r="I119" s="29"/>
      <c r="J119" s="69"/>
    </row>
    <row r="120" spans="1:10" x14ac:dyDescent="0.25">
      <c r="A120" s="162"/>
      <c r="B120" s="145"/>
      <c r="C120" s="18"/>
      <c r="D120" s="18"/>
      <c r="E120" s="18"/>
      <c r="F120" s="18"/>
      <c r="G120" s="18"/>
      <c r="H120" s="18"/>
      <c r="I120" s="18"/>
      <c r="J120" s="69"/>
    </row>
    <row r="121" spans="1:10" x14ac:dyDescent="0.25">
      <c r="A121" s="162"/>
      <c r="B121" s="148" t="s">
        <v>732</v>
      </c>
      <c r="C121" s="51"/>
      <c r="D121" s="18"/>
      <c r="E121" s="18"/>
      <c r="F121" s="18"/>
      <c r="G121" s="18"/>
      <c r="H121" s="18"/>
      <c r="I121" s="18"/>
      <c r="J121" s="69"/>
    </row>
    <row r="122" spans="1:10" x14ac:dyDescent="0.25">
      <c r="A122" s="162"/>
      <c r="B122" s="145"/>
      <c r="C122" s="18"/>
      <c r="D122" s="18"/>
      <c r="E122" s="18"/>
      <c r="F122" s="18"/>
      <c r="G122" s="18"/>
      <c r="H122" s="18"/>
      <c r="I122" s="18"/>
      <c r="J122" s="69"/>
    </row>
    <row r="123" spans="1:10" x14ac:dyDescent="0.25">
      <c r="A123" s="162" t="s">
        <v>733</v>
      </c>
      <c r="B123" s="145" t="s">
        <v>734</v>
      </c>
      <c r="C123" s="116"/>
      <c r="D123" s="116"/>
      <c r="E123" s="55" t="str">
        <f>IFERROR(TRUNC(IF(C123&lt;&gt;0,C123/$C$133,"")*100,2),"")</f>
        <v/>
      </c>
      <c r="F123" s="55" t="str">
        <f>IFERROR(TRUNC(IF(D123&lt;&gt;0,D123/$D$133,"")*100,2),"")</f>
        <v/>
      </c>
      <c r="G123" s="56" t="str">
        <f>IF(OR(C123&lt;&gt;0,D123&lt;&gt;0),C123-D123,"")</f>
        <v/>
      </c>
      <c r="H123" s="55" t="str">
        <f>IFERROR(ABS(IF(G123&lt;&gt;0,IF(D123&lt;&gt;0,TRUNC(G123/D123*100,2),IF(C123&lt;&gt;0,TRUNC(G123/C123*100,2),"")),"")),"")</f>
        <v/>
      </c>
      <c r="I123" s="108" t="str">
        <f>IF(OR(N(E123)&lt;&gt;0,N(F123)&lt;&gt;0),IF(OR(N(E123)&gt;4,N(F123)&gt;4),IF(N(H123)&gt;14,"SI","NO"),"NO"),"NO")</f>
        <v>NO</v>
      </c>
      <c r="J123" s="69"/>
    </row>
    <row r="124" spans="1:10" x14ac:dyDescent="0.25">
      <c r="A124" s="162" t="s">
        <v>735</v>
      </c>
      <c r="B124" s="145" t="s">
        <v>636</v>
      </c>
      <c r="C124" s="116"/>
      <c r="D124" s="116"/>
      <c r="E124" s="55" t="str">
        <f>IFERROR(TRUNC(IF(C124&lt;&gt;0,C124/$C$133,"")*100,2),"")</f>
        <v/>
      </c>
      <c r="F124" s="55" t="str">
        <f>IFERROR(TRUNC(IF(D124&lt;&gt;0,D124/$D$133,"")*100,2),"")</f>
        <v/>
      </c>
      <c r="G124" s="56" t="str">
        <f>IF(OR(C124&lt;&gt;0,D124&lt;&gt;0),C124-D124,"")</f>
        <v/>
      </c>
      <c r="H124" s="55" t="str">
        <f>IFERROR(ABS(IF(G124&lt;&gt;0,IF(D124&lt;&gt;0,TRUNC(G124/D124*100,2),IF(C124&lt;&gt;0,TRUNC(G124/C124*100,2),"")),"")),"")</f>
        <v/>
      </c>
      <c r="I124" s="108" t="str">
        <f>IF(OR(N(E124)&lt;&gt;0,N(F124)&lt;&gt;0),IF(OR(N(E124)&gt;4,N(F124)&gt;4),IF(N(H124)&gt;14,"SI","NO"),"NO"),"NO")</f>
        <v>NO</v>
      </c>
      <c r="J124" s="69"/>
    </row>
    <row r="125" spans="1:10" x14ac:dyDescent="0.25">
      <c r="A125" s="162" t="s">
        <v>736</v>
      </c>
      <c r="B125" s="145" t="s">
        <v>737</v>
      </c>
      <c r="C125" s="116"/>
      <c r="D125" s="116"/>
      <c r="E125" s="55" t="str">
        <f>IFERROR(TRUNC(IF(C125&lt;&gt;0,C125/$C$133,"")*100,2),"")</f>
        <v/>
      </c>
      <c r="F125" s="55" t="str">
        <f>IFERROR(TRUNC(IF(D125&lt;&gt;0,D125/$D$133,"")*100,2),"")</f>
        <v/>
      </c>
      <c r="G125" s="56" t="str">
        <f>IF(OR(C125&lt;&gt;0,D125&lt;&gt;0),C125-D125,"")</f>
        <v/>
      </c>
      <c r="H125" s="55" t="str">
        <f>IFERROR(ABS(IF(G125&lt;&gt;0,IF(D125&lt;&gt;0,TRUNC(G125/D125*100,2),IF(C125&lt;&gt;0,TRUNC(G125/C125*100,2),"")),"")),"")</f>
        <v/>
      </c>
      <c r="I125" s="108" t="str">
        <f>IF(OR(N(E125)&lt;&gt;0,N(F125)&lt;&gt;0),IF(OR(N(E125)&gt;4,N(F125)&gt;4),IF(N(H125)&gt;14,"SI","NO"),"NO"),"NO")</f>
        <v>NO</v>
      </c>
      <c r="J125" s="69"/>
    </row>
    <row r="126" spans="1:10" ht="22.5" x14ac:dyDescent="0.25">
      <c r="A126" s="162" t="s">
        <v>738</v>
      </c>
      <c r="B126" s="145" t="s">
        <v>739</v>
      </c>
      <c r="C126" s="116"/>
      <c r="D126" s="116"/>
      <c r="E126" s="55" t="str">
        <f>IFERROR(TRUNC(IF(C126&lt;&gt;0,C126/$C$133,"")*100,2),"")</f>
        <v/>
      </c>
      <c r="F126" s="55" t="str">
        <f>IFERROR(TRUNC(IF(D126&lt;&gt;0,D126/$D$133,"")*100,2),"")</f>
        <v/>
      </c>
      <c r="G126" s="56" t="str">
        <f>IF(OR(C126&lt;&gt;0,D126&lt;&gt;0),C126-D126,"")</f>
        <v/>
      </c>
      <c r="H126" s="55" t="str">
        <f>IFERROR(ABS(IF(G126&lt;&gt;0,IF(D126&lt;&gt;0,TRUNC(G126/D126*100,2),IF(C126&lt;&gt;0,TRUNC(G126/C126*100,2),"")),"")),"")</f>
        <v/>
      </c>
      <c r="I126" s="108" t="str">
        <f>IF(OR(N(E126)&lt;&gt;0,N(F126)&lt;&gt;0),IF(OR(N(E126)&gt;4,N(F126)&gt;4),IF(N(H126)&gt;14,"SI","NO"),"NO"),"NO")</f>
        <v>NO</v>
      </c>
      <c r="J126" s="69"/>
    </row>
    <row r="127" spans="1:10" x14ac:dyDescent="0.25">
      <c r="A127" s="162" t="s">
        <v>740</v>
      </c>
      <c r="B127" s="145" t="s">
        <v>741</v>
      </c>
      <c r="C127" s="116"/>
      <c r="D127" s="116"/>
      <c r="E127" s="55" t="str">
        <f>IFERROR(TRUNC(IF(C127&lt;&gt;0,C127/$C$133,"")*100,2),"")</f>
        <v/>
      </c>
      <c r="F127" s="55" t="str">
        <f>IFERROR(TRUNC(IF(D127&lt;&gt;0,D127/$D$133,"")*100,2),"")</f>
        <v/>
      </c>
      <c r="G127" s="56" t="str">
        <f>IF(OR(C127&lt;&gt;0,D127&lt;&gt;0),C127-D127,"")</f>
        <v/>
      </c>
      <c r="H127" s="55" t="str">
        <f>IFERROR(ABS(IF(G127&lt;&gt;0,IF(D127&lt;&gt;0,TRUNC(G127/D127*100,2),IF(C127&lt;&gt;0,TRUNC(G127/C127*100,2),"")),"")),"")</f>
        <v/>
      </c>
      <c r="I127" s="108" t="str">
        <f>IF(OR(N(E127)&lt;&gt;0,N(F127)&lt;&gt;0),IF(OR(N(E127)&gt;4,N(F127)&gt;4),IF(N(H127)&gt;14,"SI","NO"),"NO"),"NO")</f>
        <v>NO</v>
      </c>
      <c r="J127" s="69"/>
    </row>
    <row r="128" spans="1:10" x14ac:dyDescent="0.25">
      <c r="A128" s="162" t="s">
        <v>742</v>
      </c>
      <c r="B128" s="145" t="s">
        <v>732</v>
      </c>
      <c r="C128" s="52"/>
      <c r="D128" s="52"/>
      <c r="E128" s="57"/>
      <c r="F128" s="57"/>
      <c r="G128" s="52"/>
      <c r="H128" s="57"/>
      <c r="I128" s="58"/>
      <c r="J128" s="69"/>
    </row>
    <row r="129" spans="1:10" x14ac:dyDescent="0.25">
      <c r="A129" s="162" t="s">
        <v>743</v>
      </c>
      <c r="B129" s="145" t="s">
        <v>744</v>
      </c>
      <c r="C129" s="54">
        <f>ROUND(SUM(C123:C128),0)</f>
        <v>0</v>
      </c>
      <c r="D129" s="54">
        <f>ROUND(SUM(D123:D128),0)</f>
        <v>0</v>
      </c>
      <c r="E129" s="29"/>
      <c r="F129" s="29"/>
      <c r="G129" s="29"/>
      <c r="H129" s="29"/>
      <c r="I129" s="29"/>
      <c r="J129" s="69"/>
    </row>
    <row r="130" spans="1:10" x14ac:dyDescent="0.25">
      <c r="A130" s="162"/>
      <c r="B130" s="145"/>
      <c r="C130" s="18"/>
      <c r="D130" s="18"/>
      <c r="E130" s="18"/>
      <c r="F130" s="18"/>
      <c r="G130" s="18"/>
      <c r="H130" s="18"/>
      <c r="I130" s="18"/>
      <c r="J130" s="69"/>
    </row>
    <row r="131" spans="1:10" x14ac:dyDescent="0.25">
      <c r="A131" s="162" t="s">
        <v>745</v>
      </c>
      <c r="B131" s="145" t="s">
        <v>746</v>
      </c>
      <c r="C131" s="116">
        <f>ROUND(C63+C69+C74+C109+C119+C129,0)</f>
        <v>0</v>
      </c>
      <c r="D131" s="116">
        <f>ROUND(D63+D69+D74+D109+D119+D129,0)</f>
        <v>0</v>
      </c>
      <c r="E131" s="29"/>
      <c r="F131" s="29"/>
      <c r="G131" s="29"/>
      <c r="H131" s="29"/>
      <c r="I131" s="29"/>
      <c r="J131" s="69"/>
    </row>
    <row r="132" spans="1:10" x14ac:dyDescent="0.25">
      <c r="A132" s="162"/>
      <c r="B132" s="145"/>
      <c r="C132" s="18"/>
      <c r="D132" s="18"/>
      <c r="E132" s="18"/>
      <c r="F132" s="18"/>
      <c r="G132" s="18"/>
      <c r="H132" s="18"/>
      <c r="I132" s="18"/>
      <c r="J132" s="69"/>
    </row>
    <row r="133" spans="1:10" x14ac:dyDescent="0.25">
      <c r="A133" s="162" t="s">
        <v>747</v>
      </c>
      <c r="B133" s="145" t="s">
        <v>748</v>
      </c>
      <c r="C133" s="65">
        <f>ROUND(C55+C131,0)</f>
        <v>0</v>
      </c>
      <c r="D133" s="116">
        <f>ROUND(D55+D131,0)</f>
        <v>0</v>
      </c>
      <c r="E133" s="29"/>
      <c r="F133" s="29"/>
      <c r="G133" s="29"/>
      <c r="H133" s="29"/>
      <c r="I133" s="29"/>
      <c r="J133" s="69"/>
    </row>
    <row r="134" spans="1:10" x14ac:dyDescent="0.25">
      <c r="A134" s="162"/>
      <c r="B134" s="145"/>
      <c r="C134" s="18"/>
      <c r="D134" s="18"/>
      <c r="E134" s="18"/>
      <c r="F134" s="18"/>
      <c r="G134" s="18"/>
      <c r="H134" s="18"/>
      <c r="I134" s="18"/>
      <c r="J134" s="69"/>
    </row>
    <row r="135" spans="1:10" x14ac:dyDescent="0.25">
      <c r="A135" s="162"/>
      <c r="B135" s="147" t="s">
        <v>749</v>
      </c>
      <c r="C135" s="51"/>
      <c r="D135" s="18"/>
      <c r="E135" s="18"/>
      <c r="F135" s="18"/>
      <c r="G135" s="18"/>
      <c r="H135" s="18"/>
      <c r="I135" s="18"/>
      <c r="J135" s="69"/>
    </row>
    <row r="136" spans="1:10" x14ac:dyDescent="0.25">
      <c r="A136" s="162"/>
      <c r="B136" s="148"/>
      <c r="C136" s="51"/>
      <c r="D136" s="18"/>
      <c r="E136" s="18"/>
      <c r="F136" s="18"/>
      <c r="G136" s="18"/>
      <c r="H136" s="18"/>
      <c r="I136" s="18"/>
      <c r="J136" s="69"/>
    </row>
    <row r="137" spans="1:10" x14ac:dyDescent="0.25">
      <c r="A137" s="162"/>
      <c r="B137" s="148" t="s">
        <v>750</v>
      </c>
      <c r="C137" s="51"/>
      <c r="D137" s="18"/>
      <c r="E137" s="18"/>
      <c r="F137" s="18"/>
      <c r="G137" s="18"/>
      <c r="H137" s="18"/>
      <c r="I137" s="18"/>
      <c r="J137" s="69"/>
    </row>
    <row r="138" spans="1:10" x14ac:dyDescent="0.25">
      <c r="A138" s="162"/>
      <c r="B138" s="148"/>
      <c r="C138" s="51"/>
      <c r="D138" s="18"/>
      <c r="E138" s="18"/>
      <c r="F138" s="18"/>
      <c r="G138" s="18"/>
      <c r="H138" s="18"/>
      <c r="I138" s="18"/>
      <c r="J138" s="69"/>
    </row>
    <row r="139" spans="1:10" x14ac:dyDescent="0.25">
      <c r="A139" s="162"/>
      <c r="B139" s="148" t="s">
        <v>751</v>
      </c>
      <c r="C139" s="51"/>
      <c r="D139" s="18"/>
      <c r="E139" s="18"/>
      <c r="F139" s="18"/>
      <c r="G139" s="18"/>
      <c r="H139" s="18"/>
      <c r="I139" s="18"/>
      <c r="J139" s="69"/>
    </row>
    <row r="140" spans="1:10" x14ac:dyDescent="0.25">
      <c r="A140" s="162"/>
      <c r="B140" s="145"/>
      <c r="C140" s="20"/>
      <c r="D140" s="18"/>
      <c r="E140" s="18"/>
      <c r="F140" s="18"/>
      <c r="G140" s="18"/>
      <c r="H140" s="18"/>
      <c r="I140" s="18"/>
      <c r="J140" s="69"/>
    </row>
    <row r="141" spans="1:10" x14ac:dyDescent="0.25">
      <c r="A141" s="162" t="s">
        <v>752</v>
      </c>
      <c r="B141" s="145" t="s">
        <v>753</v>
      </c>
      <c r="C141" s="116"/>
      <c r="D141" s="116"/>
      <c r="E141" s="55" t="str">
        <f>IFERROR(TRUNC(IF(C141&lt;&gt;0,C141/$C$133,"")*100,2),"")</f>
        <v/>
      </c>
      <c r="F141" s="55" t="str">
        <f>IFERROR(TRUNC(IF(D141&lt;&gt;0,D141/$D$133,"")*100,2),"")</f>
        <v/>
      </c>
      <c r="G141" s="56" t="str">
        <f>IF(OR(C141&lt;&gt;0,D141&lt;&gt;0),C141-D141,"")</f>
        <v/>
      </c>
      <c r="H141" s="55" t="str">
        <f>IFERROR(ABS(IF(G141&lt;&gt;0,IF(D141&lt;&gt;0,TRUNC(G141/D141*100,2),IF(C141&lt;&gt;0,TRUNC(G141/C141*100,2),"")),"")),"")</f>
        <v/>
      </c>
      <c r="I141" s="108" t="str">
        <f>IF(OR(N(E141)&lt;&gt;0,N(F141)&lt;&gt;0),IF(OR(N(E141)&gt;4,N(F141)&gt;4),IF(N(H141)&gt;14,"SI","NO"),"NO"),"NO")</f>
        <v>NO</v>
      </c>
      <c r="J141" s="69"/>
    </row>
    <row r="142" spans="1:10" x14ac:dyDescent="0.25">
      <c r="A142" s="162" t="s">
        <v>754</v>
      </c>
      <c r="B142" s="145" t="s">
        <v>755</v>
      </c>
      <c r="C142" s="116"/>
      <c r="D142" s="116"/>
      <c r="E142" s="55" t="str">
        <f>IFERROR(TRUNC(IF(C142&lt;&gt;0,C142/$C$133,"")*100,2),"")</f>
        <v/>
      </c>
      <c r="F142" s="55" t="str">
        <f>IFERROR(TRUNC(IF(D142&lt;&gt;0,D142/$D$133,"")*100,2),"")</f>
        <v/>
      </c>
      <c r="G142" s="56" t="str">
        <f>IF(OR(C142&lt;&gt;0,D142&lt;&gt;0),C142-D142,"")</f>
        <v/>
      </c>
      <c r="H142" s="55" t="str">
        <f>IFERROR(ABS(IF(G142&lt;&gt;0,IF(D142&lt;&gt;0,TRUNC(G142/D142*100,2),IF(C142&lt;&gt;0,TRUNC(G142/C142*100,2),"")),"")),"")</f>
        <v/>
      </c>
      <c r="I142" s="108" t="str">
        <f>IF(OR(N(E142)&lt;&gt;0,N(F142)&lt;&gt;0),IF(OR(N(E142)&gt;4,N(F142)&gt;4),IF(N(H142)&gt;14,"SI","NO"),"NO"),"NO")</f>
        <v>NO</v>
      </c>
      <c r="J142" s="69"/>
    </row>
    <row r="143" spans="1:10" x14ac:dyDescent="0.25">
      <c r="A143" s="162" t="s">
        <v>756</v>
      </c>
      <c r="B143" s="145" t="s">
        <v>757</v>
      </c>
      <c r="C143" s="54">
        <f>ROUND(SUM(C141:C142),0)</f>
        <v>0</v>
      </c>
      <c r="D143" s="54">
        <f>ROUND(SUM(D141:D142),0)</f>
        <v>0</v>
      </c>
      <c r="E143" s="29"/>
      <c r="F143" s="29"/>
      <c r="G143" s="29"/>
      <c r="H143" s="29"/>
      <c r="I143" s="29"/>
      <c r="J143" s="69"/>
    </row>
    <row r="144" spans="1:10" x14ac:dyDescent="0.25">
      <c r="A144" s="162"/>
      <c r="B144" s="145"/>
      <c r="C144" s="18"/>
      <c r="D144" s="18"/>
      <c r="E144" s="18"/>
      <c r="F144" s="18"/>
      <c r="G144" s="18"/>
      <c r="H144" s="18"/>
      <c r="I144" s="18"/>
      <c r="J144" s="69"/>
    </row>
    <row r="145" spans="1:10" x14ac:dyDescent="0.25">
      <c r="A145" s="162"/>
      <c r="B145" s="148" t="s">
        <v>758</v>
      </c>
      <c r="C145" s="18"/>
      <c r="D145" s="18"/>
      <c r="E145" s="18"/>
      <c r="F145" s="18"/>
      <c r="G145" s="18"/>
      <c r="H145" s="18"/>
      <c r="I145" s="18"/>
      <c r="J145" s="69"/>
    </row>
    <row r="146" spans="1:10" x14ac:dyDescent="0.25">
      <c r="A146" s="162"/>
      <c r="B146" s="145"/>
      <c r="C146" s="18"/>
      <c r="D146" s="18"/>
      <c r="E146" s="18"/>
      <c r="F146" s="18"/>
      <c r="G146" s="18"/>
      <c r="H146" s="18"/>
      <c r="I146" s="18"/>
      <c r="J146" s="69"/>
    </row>
    <row r="147" spans="1:10" x14ac:dyDescent="0.25">
      <c r="A147" s="162" t="s">
        <v>759</v>
      </c>
      <c r="B147" s="145" t="s">
        <v>758</v>
      </c>
      <c r="C147" s="116"/>
      <c r="D147" s="116"/>
      <c r="E147" s="55" t="str">
        <f>IFERROR(TRUNC(IF(C147&lt;&gt;0,C147/$C$133,"")*100,2),"")</f>
        <v/>
      </c>
      <c r="F147" s="55" t="str">
        <f>IFERROR(TRUNC(IF(D147&lt;&gt;0,D147/$D$133,"")*100,2),"")</f>
        <v/>
      </c>
      <c r="G147" s="56" t="str">
        <f>IF(OR(C147&lt;&gt;0,D147&lt;&gt;0),C147-D147,"")</f>
        <v/>
      </c>
      <c r="H147" s="55" t="str">
        <f>IFERROR(ABS(IF(G147&lt;&gt;0,IF(D147&lt;&gt;0,TRUNC(G147/D147*100,2),IF(C147&lt;&gt;0,TRUNC(G147/C147*100,2),"")),"")),"")</f>
        <v/>
      </c>
      <c r="I147" s="108" t="str">
        <f>IF(OR(N(E147)&lt;&gt;0,N(F147)&lt;&gt;0),IF(OR(N(E147)&gt;4,N(F147)&gt;4),IF(N(H147)&gt;14,"SI","NO"),"NO"),"NO")</f>
        <v>NO</v>
      </c>
      <c r="J147" s="69"/>
    </row>
    <row r="148" spans="1:10" x14ac:dyDescent="0.25">
      <c r="A148" s="162" t="s">
        <v>760</v>
      </c>
      <c r="B148" s="145" t="s">
        <v>638</v>
      </c>
      <c r="C148" s="52"/>
      <c r="D148" s="52"/>
      <c r="E148" s="57"/>
      <c r="F148" s="57"/>
      <c r="G148" s="52"/>
      <c r="H148" s="57"/>
      <c r="I148" s="66"/>
      <c r="J148" s="69"/>
    </row>
    <row r="149" spans="1:10" x14ac:dyDescent="0.25">
      <c r="A149" s="162" t="s">
        <v>761</v>
      </c>
      <c r="B149" s="145" t="s">
        <v>762</v>
      </c>
      <c r="C149" s="54">
        <f>ROUND(SUM(C147:C148),0)</f>
        <v>0</v>
      </c>
      <c r="D149" s="54">
        <f>ROUND(SUM(D147:D148),0)</f>
        <v>0</v>
      </c>
      <c r="E149" s="67"/>
      <c r="F149" s="67"/>
      <c r="G149" s="67"/>
      <c r="H149" s="67"/>
      <c r="I149" s="67"/>
      <c r="J149" s="69"/>
    </row>
    <row r="150" spans="1:10" x14ac:dyDescent="0.25">
      <c r="A150" s="162"/>
      <c r="B150" s="145"/>
      <c r="C150" s="18"/>
      <c r="D150" s="18"/>
      <c r="E150" s="18"/>
      <c r="F150" s="18"/>
      <c r="G150" s="18"/>
      <c r="H150" s="18"/>
      <c r="I150" s="18"/>
      <c r="J150" s="69"/>
    </row>
    <row r="151" spans="1:10" x14ac:dyDescent="0.25">
      <c r="A151" s="162"/>
      <c r="B151" s="148" t="s">
        <v>763</v>
      </c>
      <c r="C151" s="51"/>
      <c r="D151" s="18"/>
      <c r="E151" s="18"/>
      <c r="F151" s="18"/>
      <c r="G151" s="18"/>
      <c r="H151" s="18"/>
      <c r="I151" s="18"/>
      <c r="J151" s="69"/>
    </row>
    <row r="152" spans="1:10" x14ac:dyDescent="0.25">
      <c r="A152" s="162"/>
      <c r="B152" s="145"/>
      <c r="C152" s="18"/>
      <c r="D152" s="18"/>
      <c r="E152" s="18"/>
      <c r="F152" s="18"/>
      <c r="G152" s="18"/>
      <c r="H152" s="18"/>
      <c r="I152" s="18"/>
      <c r="J152" s="69"/>
    </row>
    <row r="153" spans="1:10" x14ac:dyDescent="0.25">
      <c r="A153" s="162" t="s">
        <v>764</v>
      </c>
      <c r="B153" s="145" t="s">
        <v>753</v>
      </c>
      <c r="C153" s="116"/>
      <c r="D153" s="116"/>
      <c r="E153" s="55" t="str">
        <f>IFERROR(TRUNC(IF(C153&lt;&gt;0,C153/$C$133,"")*100,2),"")</f>
        <v/>
      </c>
      <c r="F153" s="55" t="str">
        <f>IFERROR(TRUNC(IF(D153&lt;&gt;0,D153/$D$133,"")*100,2),"")</f>
        <v/>
      </c>
      <c r="G153" s="56" t="str">
        <f>IF(OR(C153&lt;&gt;0,D153&lt;&gt;0),C153-D153,"")</f>
        <v/>
      </c>
      <c r="H153" s="55" t="str">
        <f>IFERROR(ABS(IF(G153&lt;&gt;0,IF(D153&lt;&gt;0,TRUNC(G153/D153*100,2),IF(C153&lt;&gt;0,TRUNC(G153/C153*100,2),"")),"")),"")</f>
        <v/>
      </c>
      <c r="I153" s="108" t="str">
        <f>IF(OR(N(E153)&lt;&gt;0,N(F153)&lt;&gt;0),IF(OR(N(E153)&gt;4,N(F153)&gt;4),IF(N(H153)&gt;14,"SI","NO"),"NO"),"NO")</f>
        <v>NO</v>
      </c>
      <c r="J153" s="69"/>
    </row>
    <row r="154" spans="1:10" x14ac:dyDescent="0.25">
      <c r="A154" s="162" t="s">
        <v>765</v>
      </c>
      <c r="B154" s="145" t="s">
        <v>755</v>
      </c>
      <c r="C154" s="116"/>
      <c r="D154" s="116"/>
      <c r="E154" s="55" t="str">
        <f>IFERROR(TRUNC(IF(C154&lt;&gt;0,C154/$C$133,"")*100,2),"")</f>
        <v/>
      </c>
      <c r="F154" s="55" t="str">
        <f>IFERROR(TRUNC(IF(D154&lt;&gt;0,D154/$D$133,"")*100,2),"")</f>
        <v/>
      </c>
      <c r="G154" s="56" t="str">
        <f>IF(OR(C154&lt;&gt;0,D154&lt;&gt;0),C154-D154,"")</f>
        <v/>
      </c>
      <c r="H154" s="55" t="str">
        <f>IFERROR(ABS(IF(G154&lt;&gt;0,IF(D154&lt;&gt;0,TRUNC(G154/D154*100,2),IF(C154&lt;&gt;0,TRUNC(G154/C154*100,2),"")),"")),"")</f>
        <v/>
      </c>
      <c r="I154" s="108" t="str">
        <f>IF(OR(N(E154)&lt;&gt;0,N(F154)&lt;&gt;0),IF(OR(N(E154)&gt;4,N(F154)&gt;4),IF(N(H154)&gt;14,"SI","NO"),"NO"),"NO")</f>
        <v>NO</v>
      </c>
      <c r="J154" s="69"/>
    </row>
    <row r="155" spans="1:10" x14ac:dyDescent="0.25">
      <c r="A155" s="162" t="s">
        <v>766</v>
      </c>
      <c r="B155" s="145" t="s">
        <v>767</v>
      </c>
      <c r="C155" s="54">
        <f>ROUND(SUM(C153:C154),0)</f>
        <v>0</v>
      </c>
      <c r="D155" s="54">
        <f>ROUND(SUM(D153:D154),0)</f>
        <v>0</v>
      </c>
      <c r="E155" s="29"/>
      <c r="F155" s="29"/>
      <c r="G155" s="29"/>
      <c r="H155" s="29"/>
      <c r="I155" s="29"/>
      <c r="J155" s="69"/>
    </row>
    <row r="156" spans="1:10" x14ac:dyDescent="0.25">
      <c r="A156" s="162"/>
      <c r="B156" s="145"/>
      <c r="C156" s="18"/>
      <c r="D156" s="18"/>
      <c r="E156" s="18"/>
      <c r="F156" s="18"/>
      <c r="G156" s="18"/>
      <c r="H156" s="18"/>
      <c r="I156" s="18"/>
      <c r="J156" s="69"/>
    </row>
    <row r="157" spans="1:10" x14ac:dyDescent="0.25">
      <c r="A157" s="162"/>
      <c r="B157" s="148" t="s">
        <v>768</v>
      </c>
      <c r="C157" s="51"/>
      <c r="D157" s="18"/>
      <c r="E157" s="18"/>
      <c r="F157" s="18"/>
      <c r="G157" s="18"/>
      <c r="H157" s="18"/>
      <c r="I157" s="18"/>
      <c r="J157" s="69"/>
    </row>
    <row r="158" spans="1:10" x14ac:dyDescent="0.25">
      <c r="A158" s="162"/>
      <c r="B158" s="145"/>
      <c r="C158" s="18"/>
      <c r="D158" s="18"/>
      <c r="E158" s="18"/>
      <c r="F158" s="18"/>
      <c r="G158" s="18"/>
      <c r="H158" s="18"/>
      <c r="I158" s="18"/>
      <c r="J158" s="69"/>
    </row>
    <row r="159" spans="1:10" x14ac:dyDescent="0.25">
      <c r="A159" s="162" t="s">
        <v>769</v>
      </c>
      <c r="B159" s="145" t="s">
        <v>753</v>
      </c>
      <c r="C159" s="116"/>
      <c r="D159" s="116"/>
      <c r="E159" s="55" t="str">
        <f>IFERROR(TRUNC(IF(C159&lt;&gt;0,C159/$C$133,"")*100,2),"")</f>
        <v/>
      </c>
      <c r="F159" s="55" t="str">
        <f>IFERROR(TRUNC(IF(D159&lt;&gt;0,D159/$D$133,"")*100,2),"")</f>
        <v/>
      </c>
      <c r="G159" s="56" t="str">
        <f>IF(OR(C159&lt;&gt;0,D159&lt;&gt;0),C159-D159,"")</f>
        <v/>
      </c>
      <c r="H159" s="55" t="str">
        <f>IFERROR(ABS(IF(G159&lt;&gt;0,IF(D159&lt;&gt;0,TRUNC(G159/D159*100,2),IF(C159&lt;&gt;0,TRUNC(G159/C159*100,2),"")),"")),"")</f>
        <v/>
      </c>
      <c r="I159" s="108" t="str">
        <f>IF(OR(N(E159)&lt;&gt;0,N(F159)&lt;&gt;0),IF(OR(N(E159)&gt;4,N(F159)&gt;4),IF(N(H159)&gt;14,"SI","NO"),"NO"),"NO")</f>
        <v>NO</v>
      </c>
      <c r="J159" s="69"/>
    </row>
    <row r="160" spans="1:10" x14ac:dyDescent="0.25">
      <c r="A160" s="162" t="s">
        <v>770</v>
      </c>
      <c r="B160" s="145" t="s">
        <v>755</v>
      </c>
      <c r="C160" s="116"/>
      <c r="D160" s="116"/>
      <c r="E160" s="55" t="str">
        <f>IFERROR(TRUNC(IF(C160&lt;&gt;0,C160/$C$133,"")*100,2),"")</f>
        <v/>
      </c>
      <c r="F160" s="55" t="str">
        <f>IFERROR(TRUNC(IF(D160&lt;&gt;0,D160/$D$133,"")*100,2),"")</f>
        <v/>
      </c>
      <c r="G160" s="56" t="str">
        <f>IF(OR(C160&lt;&gt;0,D160&lt;&gt;0),C160-D160,"")</f>
        <v/>
      </c>
      <c r="H160" s="55" t="str">
        <f>IFERROR(ABS(IF(G160&lt;&gt;0,IF(D160&lt;&gt;0,TRUNC(G160/D160*100,2),IF(C160&lt;&gt;0,TRUNC(G160/C160*100,2),"")),"")),"")</f>
        <v/>
      </c>
      <c r="I160" s="108" t="str">
        <f>IF(OR(N(E160)&lt;&gt;0,N(F160)&lt;&gt;0),IF(OR(N(E160)&gt;4,N(F160)&gt;4),IF(N(H160)&gt;14,"SI","NO"),"NO"),"NO")</f>
        <v>NO</v>
      </c>
      <c r="J160" s="69"/>
    </row>
    <row r="161" spans="1:10" x14ac:dyDescent="0.25">
      <c r="A161" s="162" t="s">
        <v>771</v>
      </c>
      <c r="B161" s="145" t="s">
        <v>772</v>
      </c>
      <c r="C161" s="54">
        <f>ROUND(SUM(C159:C160),0)</f>
        <v>0</v>
      </c>
      <c r="D161" s="54">
        <f>ROUND(SUM(D159:D160),0)</f>
        <v>0</v>
      </c>
      <c r="E161" s="29"/>
      <c r="F161" s="29"/>
      <c r="G161" s="29"/>
      <c r="H161" s="29"/>
      <c r="I161" s="29"/>
      <c r="J161" s="69"/>
    </row>
    <row r="162" spans="1:10" x14ac:dyDescent="0.25">
      <c r="A162" s="162"/>
      <c r="B162" s="145"/>
      <c r="C162" s="18"/>
      <c r="D162" s="18"/>
      <c r="E162" s="18"/>
      <c r="F162" s="18"/>
      <c r="G162" s="18"/>
      <c r="H162" s="18"/>
      <c r="I162" s="18"/>
      <c r="J162" s="69"/>
    </row>
    <row r="163" spans="1:10" x14ac:dyDescent="0.25">
      <c r="A163" s="162"/>
      <c r="B163" s="148" t="s">
        <v>773</v>
      </c>
      <c r="C163" s="51"/>
      <c r="D163" s="18"/>
      <c r="E163" s="18"/>
      <c r="F163" s="18"/>
      <c r="G163" s="18"/>
      <c r="H163" s="18"/>
      <c r="I163" s="18"/>
      <c r="J163" s="69"/>
    </row>
    <row r="164" spans="1:10" x14ac:dyDescent="0.25">
      <c r="A164" s="162" t="s">
        <v>774</v>
      </c>
      <c r="B164" s="145" t="s">
        <v>775</v>
      </c>
      <c r="C164" s="193">
        <f>ROUND('ANEXO 10'!E9+'ANEXO 10'!E10+'ANEXO 10'!E15+'ANEXO 10'!E19+'ANEXO 10'!E23+'ANEXO 10'!E27+'ANEXO 10'!E31+'ANEXO 10'!E35+'ANEXO 10'!E39+'ANEXO 10'!E43+'ANEXO 10'!E47+'ANEXO 10'!E121+'ANEXO 10'!E125+'ANEXO 10'!E129+'ANEXO 10'!E133+'ANEXO 10'!E137,0)</f>
        <v>0</v>
      </c>
      <c r="D164" s="116"/>
      <c r="E164" s="55" t="str">
        <f t="shared" ref="E164:E175" si="10">IFERROR(TRUNC(IF(C164&lt;&gt;0,C164/$C$133,"")*100,2),"")</f>
        <v/>
      </c>
      <c r="F164" s="55" t="str">
        <f t="shared" ref="F164:F175" si="11">IFERROR(TRUNC(IF(D164&lt;&gt;0,D164/$D$133,"")*100,2),"")</f>
        <v/>
      </c>
      <c r="G164" s="56" t="str">
        <f t="shared" ref="G164:G175" si="12">IF(OR(C164&lt;&gt;0,D164&lt;&gt;0),C164-D164,"")</f>
        <v/>
      </c>
      <c r="H164" s="55" t="str">
        <f t="shared" ref="H164:H175" si="13">IFERROR(ABS(IF(G164&lt;&gt;0,IF(D164&lt;&gt;0,TRUNC(G164/D164*100,2),IF(C164&lt;&gt;0,TRUNC(G164/C164*100,2),"")),"")),"")</f>
        <v/>
      </c>
      <c r="I164" s="108" t="str">
        <f t="shared" ref="I164:I175" si="14">IF(OR(N(E164)&lt;&gt;0,N(F164)&lt;&gt;0),IF(OR(N(E164)&gt;4,N(F164)&gt;4),IF(N(H164)&gt;14,"SI","NO"),"NO"),"NO")</f>
        <v>NO</v>
      </c>
      <c r="J164" s="69"/>
    </row>
    <row r="165" spans="1:10" x14ac:dyDescent="0.25">
      <c r="A165" s="162" t="s">
        <v>776</v>
      </c>
      <c r="B165" s="145" t="s">
        <v>777</v>
      </c>
      <c r="C165" s="193">
        <f>ROUND('ANEXO 10'!E61,0)</f>
        <v>0</v>
      </c>
      <c r="D165" s="116"/>
      <c r="E165" s="55" t="str">
        <f t="shared" si="10"/>
        <v/>
      </c>
      <c r="F165" s="55" t="str">
        <f t="shared" si="11"/>
        <v/>
      </c>
      <c r="G165" s="56" t="str">
        <f t="shared" si="12"/>
        <v/>
      </c>
      <c r="H165" s="55" t="str">
        <f t="shared" si="13"/>
        <v/>
      </c>
      <c r="I165" s="108" t="str">
        <f t="shared" si="14"/>
        <v>NO</v>
      </c>
      <c r="J165" s="69"/>
    </row>
    <row r="166" spans="1:10" x14ac:dyDescent="0.25">
      <c r="A166" s="162" t="s">
        <v>778</v>
      </c>
      <c r="B166" s="145" t="s">
        <v>543</v>
      </c>
      <c r="C166" s="193">
        <f>ROUND('ANEXO 10'!E65+'ANEXO 10'!E69+'ANEXO 10'!E141+'ANEXO 10'!E145,0)</f>
        <v>0</v>
      </c>
      <c r="D166" s="116"/>
      <c r="E166" s="55" t="str">
        <f t="shared" si="10"/>
        <v/>
      </c>
      <c r="F166" s="55" t="str">
        <f t="shared" si="11"/>
        <v/>
      </c>
      <c r="G166" s="56" t="str">
        <f t="shared" si="12"/>
        <v/>
      </c>
      <c r="H166" s="55" t="str">
        <f t="shared" si="13"/>
        <v/>
      </c>
      <c r="I166" s="108" t="str">
        <f t="shared" si="14"/>
        <v>NO</v>
      </c>
      <c r="J166" s="69"/>
    </row>
    <row r="167" spans="1:10" x14ac:dyDescent="0.25">
      <c r="A167" s="162" t="s">
        <v>779</v>
      </c>
      <c r="B167" s="145" t="s">
        <v>780</v>
      </c>
      <c r="C167" s="193">
        <f>ROUND('ANEXO 10'!E51,0)</f>
        <v>0</v>
      </c>
      <c r="D167" s="116"/>
      <c r="E167" s="55" t="str">
        <f t="shared" si="10"/>
        <v/>
      </c>
      <c r="F167" s="55" t="str">
        <f t="shared" si="11"/>
        <v/>
      </c>
      <c r="G167" s="56" t="str">
        <f t="shared" si="12"/>
        <v/>
      </c>
      <c r="H167" s="55" t="str">
        <f t="shared" si="13"/>
        <v/>
      </c>
      <c r="I167" s="108" t="str">
        <f t="shared" si="14"/>
        <v>NO</v>
      </c>
      <c r="J167" s="69"/>
    </row>
    <row r="168" spans="1:10" ht="22.5" x14ac:dyDescent="0.25">
      <c r="A168" s="162" t="s">
        <v>781</v>
      </c>
      <c r="B168" s="145" t="s">
        <v>782</v>
      </c>
      <c r="C168" s="193">
        <f>ROUND('ANEXO 10'!E73+'ANEXO 10'!E77+'ANEXO 10'!E149+'ANEXO 10'!E153,0)</f>
        <v>0</v>
      </c>
      <c r="D168" s="116"/>
      <c r="E168" s="55" t="str">
        <f t="shared" si="10"/>
        <v/>
      </c>
      <c r="F168" s="55" t="str">
        <f t="shared" si="11"/>
        <v/>
      </c>
      <c r="G168" s="56" t="str">
        <f t="shared" si="12"/>
        <v/>
      </c>
      <c r="H168" s="55" t="str">
        <f t="shared" si="13"/>
        <v/>
      </c>
      <c r="I168" s="108" t="str">
        <f t="shared" si="14"/>
        <v>NO</v>
      </c>
      <c r="J168" s="69"/>
    </row>
    <row r="169" spans="1:10" x14ac:dyDescent="0.25">
      <c r="A169" s="162" t="s">
        <v>783</v>
      </c>
      <c r="B169" s="145" t="s">
        <v>784</v>
      </c>
      <c r="C169" s="193">
        <f>ROUND('ANEXO 10'!E81+'ANEXO 10'!E157,0)</f>
        <v>0</v>
      </c>
      <c r="D169" s="116"/>
      <c r="E169" s="55" t="str">
        <f t="shared" si="10"/>
        <v/>
      </c>
      <c r="F169" s="55" t="str">
        <f t="shared" si="11"/>
        <v/>
      </c>
      <c r="G169" s="56" t="str">
        <f t="shared" si="12"/>
        <v/>
      </c>
      <c r="H169" s="55" t="str">
        <f t="shared" si="13"/>
        <v/>
      </c>
      <c r="I169" s="108" t="str">
        <f t="shared" si="14"/>
        <v>NO</v>
      </c>
      <c r="J169" s="69"/>
    </row>
    <row r="170" spans="1:10" x14ac:dyDescent="0.25">
      <c r="A170" s="162" t="s">
        <v>785</v>
      </c>
      <c r="B170" s="145" t="s">
        <v>786</v>
      </c>
      <c r="C170" s="193">
        <f>ROUND('ANEXO 10'!E97+'ANEXO 10'!E101+'ANEXO 10'!E173,0)</f>
        <v>0</v>
      </c>
      <c r="D170" s="116"/>
      <c r="E170" s="55" t="str">
        <f t="shared" si="10"/>
        <v/>
      </c>
      <c r="F170" s="55" t="str">
        <f t="shared" si="11"/>
        <v/>
      </c>
      <c r="G170" s="56" t="str">
        <f t="shared" si="12"/>
        <v/>
      </c>
      <c r="H170" s="55" t="str">
        <f t="shared" si="13"/>
        <v/>
      </c>
      <c r="I170" s="108" t="str">
        <f t="shared" si="14"/>
        <v>NO</v>
      </c>
      <c r="J170" s="69"/>
    </row>
    <row r="171" spans="1:10" x14ac:dyDescent="0.25">
      <c r="A171" s="162" t="s">
        <v>787</v>
      </c>
      <c r="B171" s="145" t="s">
        <v>788</v>
      </c>
      <c r="C171" s="193">
        <f>ROUND('ANEXO 10'!E85+'ANEXO 10'!E161,0)-C172</f>
        <v>0</v>
      </c>
      <c r="D171" s="116"/>
      <c r="E171" s="55" t="str">
        <f t="shared" si="10"/>
        <v/>
      </c>
      <c r="F171" s="55" t="str">
        <f t="shared" si="11"/>
        <v/>
      </c>
      <c r="G171" s="56" t="str">
        <f t="shared" si="12"/>
        <v/>
      </c>
      <c r="H171" s="55" t="str">
        <f t="shared" si="13"/>
        <v/>
      </c>
      <c r="I171" s="108" t="str">
        <f t="shared" si="14"/>
        <v>NO</v>
      </c>
      <c r="J171" s="69"/>
    </row>
    <row r="172" spans="1:10" x14ac:dyDescent="0.25">
      <c r="A172" s="162" t="s">
        <v>789</v>
      </c>
      <c r="B172" s="145" t="s">
        <v>790</v>
      </c>
      <c r="C172" s="116"/>
      <c r="D172" s="116"/>
      <c r="E172" s="55" t="str">
        <f t="shared" si="10"/>
        <v/>
      </c>
      <c r="F172" s="55" t="str">
        <f t="shared" si="11"/>
        <v/>
      </c>
      <c r="G172" s="56" t="str">
        <f t="shared" si="12"/>
        <v/>
      </c>
      <c r="H172" s="55" t="str">
        <f t="shared" si="13"/>
        <v/>
      </c>
      <c r="I172" s="108" t="str">
        <f t="shared" si="14"/>
        <v>NO</v>
      </c>
      <c r="J172" s="69"/>
    </row>
    <row r="173" spans="1:10" x14ac:dyDescent="0.25">
      <c r="A173" s="162" t="s">
        <v>791</v>
      </c>
      <c r="B173" s="145" t="s">
        <v>792</v>
      </c>
      <c r="C173" s="193">
        <f>ROUND('ANEXO 10'!E89+'ANEXO 10'!E165,0)</f>
        <v>0</v>
      </c>
      <c r="D173" s="116"/>
      <c r="E173" s="55" t="str">
        <f t="shared" si="10"/>
        <v/>
      </c>
      <c r="F173" s="55" t="str">
        <f t="shared" si="11"/>
        <v/>
      </c>
      <c r="G173" s="56" t="str">
        <f t="shared" si="12"/>
        <v/>
      </c>
      <c r="H173" s="55" t="str">
        <f t="shared" si="13"/>
        <v/>
      </c>
      <c r="I173" s="108" t="str">
        <f t="shared" si="14"/>
        <v>NO</v>
      </c>
      <c r="J173" s="69"/>
    </row>
    <row r="174" spans="1:10" x14ac:dyDescent="0.25">
      <c r="A174" s="162" t="s">
        <v>793</v>
      </c>
      <c r="B174" s="145" t="s">
        <v>794</v>
      </c>
      <c r="C174" s="193">
        <f>ROUND('ANEXO 10'!E93+'ANEXO 10'!E169,0)</f>
        <v>0</v>
      </c>
      <c r="D174" s="116"/>
      <c r="E174" s="55" t="str">
        <f t="shared" si="10"/>
        <v/>
      </c>
      <c r="F174" s="55" t="str">
        <f t="shared" si="11"/>
        <v/>
      </c>
      <c r="G174" s="56" t="str">
        <f t="shared" si="12"/>
        <v/>
      </c>
      <c r="H174" s="55" t="str">
        <f t="shared" si="13"/>
        <v/>
      </c>
      <c r="I174" s="108" t="str">
        <f t="shared" si="14"/>
        <v>NO</v>
      </c>
      <c r="J174" s="69"/>
    </row>
    <row r="175" spans="1:10" x14ac:dyDescent="0.25">
      <c r="A175" s="162" t="s">
        <v>795</v>
      </c>
      <c r="B175" s="145" t="s">
        <v>796</v>
      </c>
      <c r="C175" s="193">
        <f>ROUND('ANEXO 10'!E55,0)</f>
        <v>0</v>
      </c>
      <c r="D175" s="116"/>
      <c r="E175" s="55" t="str">
        <f t="shared" si="10"/>
        <v/>
      </c>
      <c r="F175" s="55" t="str">
        <f t="shared" si="11"/>
        <v/>
      </c>
      <c r="G175" s="56" t="str">
        <f t="shared" si="12"/>
        <v/>
      </c>
      <c r="H175" s="55" t="str">
        <f t="shared" si="13"/>
        <v/>
      </c>
      <c r="I175" s="108" t="str">
        <f t="shared" si="14"/>
        <v>NO</v>
      </c>
      <c r="J175" s="69"/>
    </row>
    <row r="176" spans="1:10" x14ac:dyDescent="0.25">
      <c r="A176" s="162" t="s">
        <v>797</v>
      </c>
      <c r="B176" s="145" t="s">
        <v>798</v>
      </c>
      <c r="C176" s="52"/>
      <c r="D176" s="52"/>
      <c r="E176" s="57"/>
      <c r="F176" s="57"/>
      <c r="G176" s="52"/>
      <c r="H176" s="57"/>
      <c r="I176" s="58"/>
      <c r="J176" s="69"/>
    </row>
    <row r="177" spans="1:10" x14ac:dyDescent="0.25">
      <c r="A177" s="162" t="s">
        <v>799</v>
      </c>
      <c r="B177" s="145" t="s">
        <v>800</v>
      </c>
      <c r="C177" s="54">
        <f>ROUND(SUM(C164:C175)+C176,0)</f>
        <v>0</v>
      </c>
      <c r="D177" s="54">
        <f>ROUND(SUM(D164:D175)+D176,0)</f>
        <v>0</v>
      </c>
      <c r="E177" s="29"/>
      <c r="F177" s="29"/>
      <c r="G177" s="29"/>
      <c r="H177" s="29"/>
      <c r="I177" s="29"/>
      <c r="J177" s="69"/>
    </row>
    <row r="178" spans="1:10" x14ac:dyDescent="0.25">
      <c r="A178" s="162"/>
      <c r="B178" s="145"/>
      <c r="C178" s="18"/>
      <c r="D178" s="18"/>
      <c r="E178" s="18"/>
      <c r="F178" s="18"/>
      <c r="G178" s="18"/>
      <c r="H178" s="18"/>
      <c r="I178" s="18"/>
      <c r="J178" s="69"/>
    </row>
    <row r="179" spans="1:10" x14ac:dyDescent="0.25">
      <c r="A179" s="162"/>
      <c r="B179" s="148" t="s">
        <v>801</v>
      </c>
      <c r="C179" s="51"/>
      <c r="D179" s="18"/>
      <c r="E179" s="18"/>
      <c r="F179" s="18"/>
      <c r="G179" s="18"/>
      <c r="H179" s="18"/>
      <c r="I179" s="18"/>
      <c r="J179" s="69"/>
    </row>
    <row r="180" spans="1:10" x14ac:dyDescent="0.25">
      <c r="A180" s="162"/>
      <c r="B180" s="145"/>
      <c r="C180" s="18"/>
      <c r="D180" s="18"/>
      <c r="E180" s="18"/>
      <c r="F180" s="18"/>
      <c r="G180" s="18"/>
      <c r="H180" s="18"/>
      <c r="I180" s="18"/>
      <c r="J180" s="69"/>
    </row>
    <row r="181" spans="1:10" ht="22.5" x14ac:dyDescent="0.25">
      <c r="A181" s="162" t="s">
        <v>802</v>
      </c>
      <c r="B181" s="145" t="s">
        <v>803</v>
      </c>
      <c r="C181" s="116"/>
      <c r="D181" s="116"/>
      <c r="E181" s="55" t="str">
        <f t="shared" ref="E181:E186" si="15">IFERROR(TRUNC(IF(C181&lt;&gt;0,C181/$C$133,"")*100,2),"")</f>
        <v/>
      </c>
      <c r="F181" s="55" t="str">
        <f t="shared" ref="F181:F186" si="16">IFERROR(TRUNC(IF(D181&lt;&gt;0,D181/$D$133,"")*100,2),"")</f>
        <v/>
      </c>
      <c r="G181" s="56" t="str">
        <f t="shared" ref="G181:G186" si="17">IF(OR(C181&lt;&gt;0,D181&lt;&gt;0),C181-D181,"")</f>
        <v/>
      </c>
      <c r="H181" s="55" t="str">
        <f t="shared" ref="H181:H186" si="18">IFERROR(ABS(IF(G181&lt;&gt;0,IF(D181&lt;&gt;0,TRUNC(G181/D181*100,2),IF(C181&lt;&gt;0,TRUNC(G181/C181*100,2),"")),"")),"")</f>
        <v/>
      </c>
      <c r="I181" s="108" t="str">
        <f t="shared" ref="I181:I186" si="19">IF(OR(N(E181)&lt;&gt;0,N(F181)&lt;&gt;0),IF(OR(N(E181)&gt;4,N(F181)&gt;4),IF(N(H181)&gt;14,"SI","NO"),"NO"),"NO")</f>
        <v>NO</v>
      </c>
      <c r="J181" s="69"/>
    </row>
    <row r="182" spans="1:10" ht="22.5" x14ac:dyDescent="0.25">
      <c r="A182" s="162" t="s">
        <v>804</v>
      </c>
      <c r="B182" s="145" t="s">
        <v>805</v>
      </c>
      <c r="C182" s="116"/>
      <c r="D182" s="116"/>
      <c r="E182" s="55" t="str">
        <f t="shared" si="15"/>
        <v/>
      </c>
      <c r="F182" s="55" t="str">
        <f t="shared" si="16"/>
        <v/>
      </c>
      <c r="G182" s="56" t="str">
        <f t="shared" si="17"/>
        <v/>
      </c>
      <c r="H182" s="55" t="str">
        <f t="shared" si="18"/>
        <v/>
      </c>
      <c r="I182" s="108" t="str">
        <f t="shared" si="19"/>
        <v>NO</v>
      </c>
      <c r="J182" s="69"/>
    </row>
    <row r="183" spans="1:10" x14ac:dyDescent="0.25">
      <c r="A183" s="162" t="s">
        <v>806</v>
      </c>
      <c r="B183" s="145" t="s">
        <v>807</v>
      </c>
      <c r="C183" s="116"/>
      <c r="D183" s="116"/>
      <c r="E183" s="55" t="str">
        <f t="shared" si="15"/>
        <v/>
      </c>
      <c r="F183" s="55" t="str">
        <f t="shared" si="16"/>
        <v/>
      </c>
      <c r="G183" s="56" t="str">
        <f t="shared" si="17"/>
        <v/>
      </c>
      <c r="H183" s="55" t="str">
        <f t="shared" si="18"/>
        <v/>
      </c>
      <c r="I183" s="108" t="str">
        <f t="shared" si="19"/>
        <v>NO</v>
      </c>
      <c r="J183" s="69"/>
    </row>
    <row r="184" spans="1:10" x14ac:dyDescent="0.25">
      <c r="A184" s="162" t="s">
        <v>808</v>
      </c>
      <c r="B184" s="145" t="s">
        <v>809</v>
      </c>
      <c r="C184" s="116"/>
      <c r="D184" s="116"/>
      <c r="E184" s="55" t="str">
        <f t="shared" si="15"/>
        <v/>
      </c>
      <c r="F184" s="55" t="str">
        <f t="shared" si="16"/>
        <v/>
      </c>
      <c r="G184" s="56" t="str">
        <f t="shared" si="17"/>
        <v/>
      </c>
      <c r="H184" s="55" t="str">
        <f t="shared" si="18"/>
        <v/>
      </c>
      <c r="I184" s="108" t="str">
        <f t="shared" si="19"/>
        <v>NO</v>
      </c>
      <c r="J184" s="69"/>
    </row>
    <row r="185" spans="1:10" x14ac:dyDescent="0.25">
      <c r="A185" s="162" t="s">
        <v>810</v>
      </c>
      <c r="B185" s="145" t="s">
        <v>811</v>
      </c>
      <c r="C185" s="116"/>
      <c r="D185" s="116"/>
      <c r="E185" s="55" t="str">
        <f t="shared" si="15"/>
        <v/>
      </c>
      <c r="F185" s="55" t="str">
        <f t="shared" si="16"/>
        <v/>
      </c>
      <c r="G185" s="56" t="str">
        <f t="shared" si="17"/>
        <v/>
      </c>
      <c r="H185" s="55" t="str">
        <f t="shared" si="18"/>
        <v/>
      </c>
      <c r="I185" s="108" t="str">
        <f t="shared" si="19"/>
        <v>NO</v>
      </c>
      <c r="J185" s="69"/>
    </row>
    <row r="186" spans="1:10" x14ac:dyDescent="0.25">
      <c r="A186" s="162" t="s">
        <v>812</v>
      </c>
      <c r="B186" s="145" t="s">
        <v>813</v>
      </c>
      <c r="C186" s="116"/>
      <c r="D186" s="116"/>
      <c r="E186" s="55" t="str">
        <f t="shared" si="15"/>
        <v/>
      </c>
      <c r="F186" s="55" t="str">
        <f t="shared" si="16"/>
        <v/>
      </c>
      <c r="G186" s="56" t="str">
        <f t="shared" si="17"/>
        <v/>
      </c>
      <c r="H186" s="55" t="str">
        <f t="shared" si="18"/>
        <v/>
      </c>
      <c r="I186" s="108" t="str">
        <f t="shared" si="19"/>
        <v>NO</v>
      </c>
      <c r="J186" s="69"/>
    </row>
    <row r="187" spans="1:10" x14ac:dyDescent="0.25">
      <c r="A187" s="162" t="s">
        <v>814</v>
      </c>
      <c r="B187" s="145" t="s">
        <v>815</v>
      </c>
      <c r="C187" s="52"/>
      <c r="D187" s="52"/>
      <c r="E187" s="57"/>
      <c r="F187" s="57"/>
      <c r="G187" s="52"/>
      <c r="H187" s="57"/>
      <c r="I187" s="58"/>
      <c r="J187" s="69"/>
    </row>
    <row r="188" spans="1:10" x14ac:dyDescent="0.25">
      <c r="A188" s="162" t="s">
        <v>816</v>
      </c>
      <c r="B188" s="145" t="s">
        <v>817</v>
      </c>
      <c r="C188" s="52"/>
      <c r="D188" s="52"/>
      <c r="E188" s="57"/>
      <c r="F188" s="57"/>
      <c r="G188" s="52"/>
      <c r="H188" s="57"/>
      <c r="I188" s="58"/>
      <c r="J188" s="69"/>
    </row>
    <row r="189" spans="1:10" x14ac:dyDescent="0.25">
      <c r="A189" s="162" t="s">
        <v>818</v>
      </c>
      <c r="B189" s="145" t="s">
        <v>819</v>
      </c>
      <c r="C189" s="52"/>
      <c r="D189" s="52"/>
      <c r="E189" s="57"/>
      <c r="F189" s="57"/>
      <c r="G189" s="52"/>
      <c r="H189" s="57"/>
      <c r="I189" s="58"/>
      <c r="J189" s="69"/>
    </row>
    <row r="190" spans="1:10" x14ac:dyDescent="0.25">
      <c r="A190" s="162" t="s">
        <v>820</v>
      </c>
      <c r="B190" s="145" t="s">
        <v>821</v>
      </c>
      <c r="C190" s="54">
        <f>ROUND(SUM(C181:C186)+C187+C188+C189,0)</f>
        <v>0</v>
      </c>
      <c r="D190" s="54">
        <f>ROUND(SUM(D181:D186)+D187+D188+D189,0)</f>
        <v>0</v>
      </c>
      <c r="E190" s="29"/>
      <c r="F190" s="29"/>
      <c r="G190" s="29"/>
      <c r="H190" s="29"/>
      <c r="I190" s="29"/>
      <c r="J190" s="69"/>
    </row>
    <row r="191" spans="1:10" x14ac:dyDescent="0.25">
      <c r="A191" s="162"/>
      <c r="B191" s="145"/>
      <c r="C191" s="18"/>
      <c r="D191" s="18"/>
      <c r="E191" s="18"/>
      <c r="F191" s="18"/>
      <c r="G191" s="18"/>
      <c r="H191" s="18"/>
      <c r="I191" s="18"/>
      <c r="J191" s="69"/>
    </row>
    <row r="192" spans="1:10" ht="22.5" x14ac:dyDescent="0.25">
      <c r="A192" s="162" t="s">
        <v>822</v>
      </c>
      <c r="B192" s="145" t="s">
        <v>823</v>
      </c>
      <c r="C192" s="116"/>
      <c r="D192" s="116"/>
      <c r="E192" s="55" t="str">
        <f>IFERROR(TRUNC(IF(C192&lt;&gt;0,C192/$C$133,"")*100,2),"")</f>
        <v/>
      </c>
      <c r="F192" s="55" t="str">
        <f>IFERROR(TRUNC(IF(D192&lt;&gt;0,D192/$D$133,"")*100,2),"")</f>
        <v/>
      </c>
      <c r="G192" s="56" t="str">
        <f>IF(OR(C192&lt;&gt;0,D192&lt;&gt;0),C192-D192,"")</f>
        <v/>
      </c>
      <c r="H192" s="55" t="str">
        <f>IFERROR(ABS(IF(G192&lt;&gt;0,IF(D192&lt;&gt;0,TRUNC(G192/D192*100,2),IF(C192&lt;&gt;0,TRUNC(G192/C192*100,2),"")),"")),"")</f>
        <v/>
      </c>
      <c r="I192" s="108" t="str">
        <f>IF(OR(N(E192)&lt;&gt;0,N(F192)&lt;&gt;0),IF(OR(N(E192)&gt;4,N(F192)&gt;4),IF(N(H192)&gt;14,"SI","NO"),"NO"),"NO")</f>
        <v>NO</v>
      </c>
      <c r="J192" s="69"/>
    </row>
    <row r="193" spans="1:10" x14ac:dyDescent="0.25">
      <c r="A193" s="162"/>
      <c r="B193" s="145"/>
      <c r="C193" s="18"/>
      <c r="D193" s="18"/>
      <c r="E193" s="18"/>
      <c r="F193" s="18"/>
      <c r="G193" s="18"/>
      <c r="H193" s="18"/>
      <c r="I193" s="18"/>
      <c r="J193" s="69"/>
    </row>
    <row r="194" spans="1:10" x14ac:dyDescent="0.25">
      <c r="A194" s="162" t="s">
        <v>824</v>
      </c>
      <c r="B194" s="145" t="s">
        <v>825</v>
      </c>
      <c r="C194" s="116">
        <f>ROUND(C143+C149+C155+C161+C177+C190+C192,0)</f>
        <v>0</v>
      </c>
      <c r="D194" s="116">
        <f>ROUND(D143+D149+D155+D161+D177+D190+D192,0)</f>
        <v>0</v>
      </c>
      <c r="E194" s="29"/>
      <c r="F194" s="29"/>
      <c r="G194" s="29"/>
      <c r="H194" s="29"/>
      <c r="I194" s="29"/>
      <c r="J194" s="69"/>
    </row>
    <row r="195" spans="1:10" x14ac:dyDescent="0.25">
      <c r="A195" s="162"/>
      <c r="B195" s="145"/>
      <c r="C195" s="18"/>
      <c r="D195" s="18"/>
      <c r="E195" s="18"/>
      <c r="F195" s="18"/>
      <c r="G195" s="18"/>
      <c r="H195" s="18"/>
      <c r="I195" s="18"/>
      <c r="J195" s="69"/>
    </row>
    <row r="196" spans="1:10" x14ac:dyDescent="0.25">
      <c r="A196" s="162"/>
      <c r="B196" s="148" t="s">
        <v>826</v>
      </c>
      <c r="C196" s="51"/>
      <c r="D196" s="18"/>
      <c r="E196" s="18"/>
      <c r="F196" s="18"/>
      <c r="G196" s="18"/>
      <c r="H196" s="18"/>
      <c r="I196" s="18"/>
      <c r="J196" s="69"/>
    </row>
    <row r="197" spans="1:10" x14ac:dyDescent="0.25">
      <c r="A197" s="162"/>
      <c r="B197" s="148"/>
      <c r="C197" s="51"/>
      <c r="D197" s="18"/>
      <c r="E197" s="18"/>
      <c r="F197" s="18"/>
      <c r="G197" s="18"/>
      <c r="H197" s="18"/>
      <c r="I197" s="18"/>
      <c r="J197" s="69"/>
    </row>
    <row r="198" spans="1:10" x14ac:dyDescent="0.25">
      <c r="A198" s="162"/>
      <c r="B198" s="148" t="s">
        <v>827</v>
      </c>
      <c r="C198" s="51"/>
      <c r="D198" s="18"/>
      <c r="E198" s="18"/>
      <c r="F198" s="18"/>
      <c r="G198" s="18"/>
      <c r="H198" s="18"/>
      <c r="I198" s="18"/>
      <c r="J198" s="69"/>
    </row>
    <row r="199" spans="1:10" x14ac:dyDescent="0.25">
      <c r="A199" s="162"/>
      <c r="B199" s="145"/>
      <c r="C199" s="18"/>
      <c r="D199" s="18"/>
      <c r="E199" s="18"/>
      <c r="F199" s="18"/>
      <c r="G199" s="18"/>
      <c r="H199" s="18"/>
      <c r="I199" s="18"/>
      <c r="J199" s="69"/>
    </row>
    <row r="200" spans="1:10" x14ac:dyDescent="0.25">
      <c r="A200" s="162" t="s">
        <v>828</v>
      </c>
      <c r="B200" s="145" t="s">
        <v>829</v>
      </c>
      <c r="C200" s="116"/>
      <c r="D200" s="116"/>
      <c r="E200" s="55" t="str">
        <f>IFERROR(TRUNC(IF(C200&lt;&gt;0,C200/$C$133,"")*100,2),"")</f>
        <v/>
      </c>
      <c r="F200" s="55" t="str">
        <f>IFERROR(TRUNC(IF(D200&lt;&gt;0,D200/$D$133,"")*100,2),"")</f>
        <v/>
      </c>
      <c r="G200" s="56" t="str">
        <f>IF(OR(C200&lt;&gt;0,D200&lt;&gt;0),C200-D200,"")</f>
        <v/>
      </c>
      <c r="H200" s="55" t="str">
        <f>IFERROR(ABS(IF(G200&lt;&gt;0,IF(D200&lt;&gt;0,TRUNC(G200/D200*100,2),IF(C200&lt;&gt;0,TRUNC(G200/C200*100,2),"")),"")),"")</f>
        <v/>
      </c>
      <c r="I200" s="108" t="str">
        <f>IF(OR(N(E200)&lt;&gt;0,N(F200)&lt;&gt;0),IF(OR(N(E200)&gt;4,N(F200)&gt;4),IF(N(H200)&gt;14,"SI","NO"),"NO"),"NO")</f>
        <v>NO</v>
      </c>
      <c r="J200" s="69"/>
    </row>
    <row r="201" spans="1:10" ht="22.5" x14ac:dyDescent="0.25">
      <c r="A201" s="162" t="s">
        <v>830</v>
      </c>
      <c r="B201" s="145" t="s">
        <v>831</v>
      </c>
      <c r="C201" s="116"/>
      <c r="D201" s="116"/>
      <c r="E201" s="55" t="str">
        <f>IFERROR(TRUNC(IF(C201&lt;&gt;0,C201/$C$133,"")*100,2),"")</f>
        <v/>
      </c>
      <c r="F201" s="55" t="str">
        <f>IFERROR(TRUNC(IF(D201&lt;&gt;0,D201/$D$133,"")*100,2),"")</f>
        <v/>
      </c>
      <c r="G201" s="56" t="str">
        <f>IF(OR(C201&lt;&gt;0,D201&lt;&gt;0),C201-D201,"")</f>
        <v/>
      </c>
      <c r="H201" s="55" t="str">
        <f>IFERROR(ABS(IF(G201&lt;&gt;0,IF(D201&lt;&gt;0,TRUNC(G201/D201*100,2),IF(C201&lt;&gt;0,TRUNC(G201/C201*100,2),"")),"")),"")</f>
        <v/>
      </c>
      <c r="I201" s="108" t="str">
        <f>IF(OR(N(E201)&lt;&gt;0,N(F201)&lt;&gt;0),IF(OR(N(E201)&gt;4,N(F201)&gt;4),IF(N(H201)&gt;14,"SI","NO"),"NO"),"NO")</f>
        <v>NO</v>
      </c>
      <c r="J201" s="69"/>
    </row>
    <row r="202" spans="1:10" x14ac:dyDescent="0.25">
      <c r="A202" s="162" t="s">
        <v>832</v>
      </c>
      <c r="B202" s="145" t="s">
        <v>5653</v>
      </c>
      <c r="C202" s="116"/>
      <c r="D202" s="116"/>
      <c r="E202" s="55" t="str">
        <f>IFERROR(TRUNC(IF(C202&lt;&gt;0,C202/$C$133,"")*100,2),"")</f>
        <v/>
      </c>
      <c r="F202" s="55" t="str">
        <f>IFERROR(TRUNC(IF(D202&lt;&gt;0,D202/$D$133,"")*100,2),"")</f>
        <v/>
      </c>
      <c r="G202" s="56" t="str">
        <f>IF(OR(C202&lt;&gt;0,D202&lt;&gt;0),C202-D202,"")</f>
        <v/>
      </c>
      <c r="H202" s="55" t="str">
        <f>IFERROR(ABS(IF(G202&lt;&gt;0,IF(D202&lt;&gt;0,TRUNC(G202/D202*100,2),IF(C202&lt;&gt;0,TRUNC(G202/C202*100,2),"")),"")),"")</f>
        <v/>
      </c>
      <c r="I202" s="108" t="str">
        <f>IF(OR(N(E202)&lt;&gt;0,N(F202)&lt;&gt;0),IF(OR(N(E202)&gt;4,N(F202)&gt;4),IF(N(H202)&gt;14,"SI","NO"),"NO"),"NO")</f>
        <v>NO</v>
      </c>
      <c r="J202" s="69"/>
    </row>
    <row r="203" spans="1:10" x14ac:dyDescent="0.25">
      <c r="A203" s="162" t="s">
        <v>833</v>
      </c>
      <c r="B203" s="145" t="s">
        <v>741</v>
      </c>
      <c r="C203" s="116"/>
      <c r="D203" s="116"/>
      <c r="E203" s="55" t="str">
        <f>IFERROR(TRUNC(IF(C203&lt;&gt;0,C203/$C$133,"")*100,2),"")</f>
        <v/>
      </c>
      <c r="F203" s="55" t="str">
        <f>IFERROR(TRUNC(IF(D203&lt;&gt;0,D203/$D$133,"")*100,2),"")</f>
        <v/>
      </c>
      <c r="G203" s="56" t="str">
        <f>IF(OR(C203&lt;&gt;0,D203&lt;&gt;0),C203-D203,"")</f>
        <v/>
      </c>
      <c r="H203" s="55" t="str">
        <f>IFERROR(ABS(IF(G203&lt;&gt;0,IF(D203&lt;&gt;0,TRUNC(G203/D203*100,2),IF(C203&lt;&gt;0,TRUNC(G203/C203*100,2),"")),"")),"")</f>
        <v/>
      </c>
      <c r="I203" s="108" t="str">
        <f>IF(OR(N(E203)&lt;&gt;0,N(F203)&lt;&gt;0),IF(OR(N(E203)&gt;4,N(F203)&gt;4),IF(N(H203)&gt;14,"SI","NO"),"NO"),"NO")</f>
        <v>NO</v>
      </c>
      <c r="J203" s="69"/>
    </row>
    <row r="204" spans="1:10" x14ac:dyDescent="0.25">
      <c r="A204" s="162" t="s">
        <v>834</v>
      </c>
      <c r="B204" s="145" t="s">
        <v>835</v>
      </c>
      <c r="C204" s="54">
        <f>ROUND(SUM(C200:C203),0)</f>
        <v>0</v>
      </c>
      <c r="D204" s="54">
        <f>ROUND(SUM(D200:D203),0)</f>
        <v>0</v>
      </c>
      <c r="E204" s="29"/>
      <c r="F204" s="29"/>
      <c r="G204" s="29"/>
      <c r="H204" s="29"/>
      <c r="I204" s="29"/>
      <c r="J204" s="69"/>
    </row>
    <row r="205" spans="1:10" x14ac:dyDescent="0.25">
      <c r="A205" s="162"/>
      <c r="B205" s="145"/>
      <c r="C205" s="18"/>
      <c r="D205" s="18"/>
      <c r="E205" s="18"/>
      <c r="F205" s="18"/>
      <c r="G205" s="18"/>
      <c r="H205" s="18"/>
      <c r="I205" s="18"/>
      <c r="J205" s="69"/>
    </row>
    <row r="206" spans="1:10" x14ac:dyDescent="0.25">
      <c r="A206" s="162" t="s">
        <v>836</v>
      </c>
      <c r="B206" s="145" t="s">
        <v>837</v>
      </c>
      <c r="C206" s="116"/>
      <c r="D206" s="116"/>
      <c r="E206" s="55" t="str">
        <f>IFERROR(TRUNC(IF(C206&lt;&gt;0,C206/$C$133,"")*100,2),"")</f>
        <v/>
      </c>
      <c r="F206" s="55" t="str">
        <f>IFERROR(TRUNC(IF(D206&lt;&gt;0,D206/$D$133,"")*100,2),"")</f>
        <v/>
      </c>
      <c r="G206" s="56" t="str">
        <f>IF(OR(C206&lt;&gt;0,D206&lt;&gt;0),C206-D206,"")</f>
        <v/>
      </c>
      <c r="H206" s="55" t="str">
        <f>IFERROR(ABS(IF(G206&lt;&gt;0,IF(D206&lt;&gt;0,TRUNC(G206/D206*100,2),IF(C206&lt;&gt;0,TRUNC(G206/C206*100,2),"")),"")),"")</f>
        <v/>
      </c>
      <c r="I206" s="108" t="str">
        <f>IF(OR(N(E206)&lt;&gt;0,N(F206)&lt;&gt;0),IF(OR(N(E206)&gt;4,N(F206)&gt;4),IF(N(H206)&gt;14,"SI","NO"),"NO"),"NO")</f>
        <v>NO</v>
      </c>
      <c r="J206" s="69"/>
    </row>
    <row r="207" spans="1:10" x14ac:dyDescent="0.25">
      <c r="A207" s="162"/>
      <c r="B207" s="145"/>
      <c r="C207" s="18"/>
      <c r="D207" s="18"/>
      <c r="E207" s="18"/>
      <c r="F207" s="18"/>
      <c r="G207" s="18"/>
      <c r="H207" s="18"/>
      <c r="I207" s="18"/>
      <c r="J207" s="69"/>
    </row>
    <row r="208" spans="1:10" x14ac:dyDescent="0.25">
      <c r="A208" s="162"/>
      <c r="B208" s="148" t="s">
        <v>801</v>
      </c>
      <c r="C208" s="51"/>
      <c r="D208" s="18"/>
      <c r="E208" s="18"/>
      <c r="F208" s="18"/>
      <c r="G208" s="18"/>
      <c r="H208" s="18"/>
      <c r="I208" s="18"/>
      <c r="J208" s="69"/>
    </row>
    <row r="209" spans="1:10" x14ac:dyDescent="0.25">
      <c r="A209" s="162"/>
      <c r="B209" s="145"/>
      <c r="C209" s="18"/>
      <c r="D209" s="18"/>
      <c r="E209" s="18"/>
      <c r="F209" s="18"/>
      <c r="G209" s="18"/>
      <c r="H209" s="18"/>
      <c r="I209" s="18"/>
      <c r="J209" s="69"/>
    </row>
    <row r="210" spans="1:10" x14ac:dyDescent="0.25">
      <c r="A210" s="162" t="s">
        <v>838</v>
      </c>
      <c r="B210" s="145" t="s">
        <v>839</v>
      </c>
      <c r="C210" s="116"/>
      <c r="D210" s="116"/>
      <c r="E210" s="55" t="str">
        <f>IFERROR(TRUNC(IF(C210&lt;&gt;0,C210/$C$133,"")*100,2),"")</f>
        <v/>
      </c>
      <c r="F210" s="55" t="str">
        <f>IFERROR(TRUNC(IF(D210&lt;&gt;0,D210/$D$133,"")*100,2),"")</f>
        <v/>
      </c>
      <c r="G210" s="56" t="str">
        <f>IF(OR(C210&lt;&gt;0,D210&lt;&gt;0),C210-D210,"")</f>
        <v/>
      </c>
      <c r="H210" s="55" t="str">
        <f>IFERROR(ABS(IF(G210&lt;&gt;0,IF(D210&lt;&gt;0,TRUNC(G210/D210*100,2),IF(C210&lt;&gt;0,TRUNC(G210/C210*100,2),"")),"")),"")</f>
        <v/>
      </c>
      <c r="I210" s="108" t="str">
        <f>IF(OR(N(E210)&lt;&gt;0,N(F210)&lt;&gt;0),IF(OR(N(E210)&gt;4,N(F210)&gt;4),IF(N(H210)&gt;14,"SI","NO"),"NO"),"NO")</f>
        <v>NO</v>
      </c>
      <c r="J210" s="69"/>
    </row>
    <row r="211" spans="1:10" x14ac:dyDescent="0.25">
      <c r="A211" s="162" t="s">
        <v>840</v>
      </c>
      <c r="B211" s="145" t="s">
        <v>737</v>
      </c>
      <c r="C211" s="116"/>
      <c r="D211" s="116"/>
      <c r="E211" s="55" t="str">
        <f>IFERROR(TRUNC(IF(C211&lt;&gt;0,C211/$C$133,"")*100,2),"")</f>
        <v/>
      </c>
      <c r="F211" s="55" t="str">
        <f>IFERROR(TRUNC(IF(D211&lt;&gt;0,D211/$D$133,"")*100,2),"")</f>
        <v/>
      </c>
      <c r="G211" s="56" t="str">
        <f>IF(OR(C211&lt;&gt;0,D211&lt;&gt;0),C211-D211,"")</f>
        <v/>
      </c>
      <c r="H211" s="55" t="str">
        <f>IFERROR(ABS(IF(G211&lt;&gt;0,IF(D211&lt;&gt;0,TRUNC(G211/D211*100,2),IF(C211&lt;&gt;0,TRUNC(G211/C211*100,2),"")),"")),"")</f>
        <v/>
      </c>
      <c r="I211" s="108" t="str">
        <f>IF(OR(N(E211)&lt;&gt;0,N(F211)&lt;&gt;0),IF(OR(N(E211)&gt;4,N(F211)&gt;4),IF(N(H211)&gt;14,"SI","NO"),"NO"),"NO")</f>
        <v>NO</v>
      </c>
      <c r="J211" s="69"/>
    </row>
    <row r="212" spans="1:10" ht="22.5" x14ac:dyDescent="0.25">
      <c r="A212" s="162" t="s">
        <v>841</v>
      </c>
      <c r="B212" s="145" t="s">
        <v>739</v>
      </c>
      <c r="C212" s="116"/>
      <c r="D212" s="116"/>
      <c r="E212" s="55" t="str">
        <f>IFERROR(TRUNC(IF(C212&lt;&gt;0,C212/$C$133,"")*100,2),"")</f>
        <v/>
      </c>
      <c r="F212" s="55" t="str">
        <f>IFERROR(TRUNC(IF(D212&lt;&gt;0,D212/$D$133,"")*100,2),"")</f>
        <v/>
      </c>
      <c r="G212" s="56" t="str">
        <f>IF(OR(C212&lt;&gt;0,D212&lt;&gt;0),C212-D212,"")</f>
        <v/>
      </c>
      <c r="H212" s="55" t="str">
        <f>IFERROR(ABS(IF(G212&lt;&gt;0,IF(D212&lt;&gt;0,TRUNC(G212/D212*100,2),IF(C212&lt;&gt;0,TRUNC(G212/C212*100,2),"")),"")),"")</f>
        <v/>
      </c>
      <c r="I212" s="108" t="str">
        <f>IF(OR(N(E212)&lt;&gt;0,N(F212)&lt;&gt;0),IF(OR(N(E212)&gt;4,N(F212)&gt;4),IF(N(H212)&gt;14,"SI","NO"),"NO"),"NO")</f>
        <v>NO</v>
      </c>
      <c r="J212" s="69"/>
    </row>
    <row r="213" spans="1:10" x14ac:dyDescent="0.25">
      <c r="A213" s="162" t="s">
        <v>842</v>
      </c>
      <c r="B213" s="145" t="s">
        <v>638</v>
      </c>
      <c r="C213" s="52"/>
      <c r="D213" s="52"/>
      <c r="E213" s="57"/>
      <c r="F213" s="57"/>
      <c r="G213" s="52"/>
      <c r="H213" s="57"/>
      <c r="I213" s="58"/>
      <c r="J213" s="69"/>
    </row>
    <row r="214" spans="1:10" x14ac:dyDescent="0.25">
      <c r="A214" s="162"/>
      <c r="B214" s="145"/>
      <c r="C214" s="18"/>
      <c r="D214" s="18"/>
      <c r="E214" s="18"/>
      <c r="F214" s="18"/>
      <c r="G214" s="18"/>
      <c r="H214" s="18"/>
      <c r="I214" s="18"/>
      <c r="J214" s="69"/>
    </row>
    <row r="215" spans="1:10" x14ac:dyDescent="0.25">
      <c r="A215" s="162" t="s">
        <v>843</v>
      </c>
      <c r="B215" s="145" t="s">
        <v>821</v>
      </c>
      <c r="C215" s="54">
        <f>ROUND(SUM(C210:C212)+C213,0)</f>
        <v>0</v>
      </c>
      <c r="D215" s="54">
        <f>ROUND(SUM(D210:D212)+D213,0)</f>
        <v>0</v>
      </c>
      <c r="E215" s="29"/>
      <c r="F215" s="29"/>
      <c r="G215" s="29"/>
      <c r="H215" s="29"/>
      <c r="I215" s="29"/>
      <c r="J215" s="69"/>
    </row>
    <row r="216" spans="1:10" x14ac:dyDescent="0.25">
      <c r="A216" s="162"/>
      <c r="B216" s="145"/>
      <c r="C216" s="18"/>
      <c r="D216" s="18"/>
      <c r="E216" s="18"/>
      <c r="F216" s="18"/>
      <c r="G216" s="18"/>
      <c r="H216" s="18"/>
      <c r="I216" s="18"/>
      <c r="J216" s="69"/>
    </row>
    <row r="217" spans="1:10" x14ac:dyDescent="0.25">
      <c r="A217" s="162" t="s">
        <v>844</v>
      </c>
      <c r="B217" s="145" t="s">
        <v>845</v>
      </c>
      <c r="C217" s="116">
        <f>ROUND(C204+C206+C215,0)</f>
        <v>0</v>
      </c>
      <c r="D217" s="116">
        <f>ROUND(D204+D206+D215,0)</f>
        <v>0</v>
      </c>
      <c r="E217" s="29"/>
      <c r="F217" s="29"/>
      <c r="G217" s="29"/>
      <c r="H217" s="29"/>
      <c r="I217" s="29"/>
      <c r="J217" s="69"/>
    </row>
    <row r="218" spans="1:10" x14ac:dyDescent="0.25">
      <c r="A218" s="162"/>
      <c r="B218" s="145"/>
      <c r="C218" s="18"/>
      <c r="D218" s="18"/>
      <c r="E218" s="18"/>
      <c r="F218" s="18"/>
      <c r="G218" s="18"/>
      <c r="H218" s="18"/>
      <c r="I218" s="18"/>
      <c r="J218" s="69"/>
    </row>
    <row r="219" spans="1:10" x14ac:dyDescent="0.25">
      <c r="A219" s="162" t="s">
        <v>846</v>
      </c>
      <c r="B219" s="145" t="s">
        <v>847</v>
      </c>
      <c r="C219" s="65">
        <f>ROUND(C194+C217,0)</f>
        <v>0</v>
      </c>
      <c r="D219" s="116">
        <f>ROUND(D194+D217,0)</f>
        <v>0</v>
      </c>
      <c r="E219" s="29"/>
      <c r="F219" s="29"/>
      <c r="G219" s="29"/>
      <c r="H219" s="29"/>
      <c r="I219" s="29"/>
      <c r="J219" s="69"/>
    </row>
    <row r="220" spans="1:10" x14ac:dyDescent="0.25">
      <c r="A220" s="162"/>
      <c r="B220" s="145"/>
      <c r="C220" s="18"/>
      <c r="D220" s="18"/>
      <c r="E220" s="18"/>
      <c r="F220" s="18"/>
      <c r="G220" s="18"/>
      <c r="H220" s="18"/>
      <c r="I220" s="18"/>
      <c r="J220" s="69"/>
    </row>
    <row r="221" spans="1:10" x14ac:dyDescent="0.25">
      <c r="A221" s="162"/>
      <c r="B221" s="147" t="s">
        <v>848</v>
      </c>
      <c r="C221" s="51"/>
      <c r="D221" s="18"/>
      <c r="E221" s="18"/>
      <c r="F221" s="18"/>
      <c r="G221" s="18"/>
      <c r="H221" s="18"/>
      <c r="I221" s="18"/>
      <c r="J221" s="69"/>
    </row>
    <row r="222" spans="1:10" x14ac:dyDescent="0.25">
      <c r="A222" s="162"/>
      <c r="B222" s="145"/>
      <c r="C222" s="18"/>
      <c r="D222" s="18"/>
      <c r="E222" s="18"/>
      <c r="F222" s="18"/>
      <c r="G222" s="18"/>
      <c r="H222" s="18"/>
      <c r="I222" s="18"/>
      <c r="J222" s="69"/>
    </row>
    <row r="223" spans="1:10" ht="22.5" x14ac:dyDescent="0.25">
      <c r="A223" s="162" t="s">
        <v>849</v>
      </c>
      <c r="B223" s="145" t="s">
        <v>850</v>
      </c>
      <c r="C223" s="68">
        <f>ROUND('ANEXO 3'!C56,0)</f>
        <v>0</v>
      </c>
      <c r="D223" s="192">
        <f>ROUND('ANEXO 3'!C31,0)</f>
        <v>0</v>
      </c>
      <c r="E223" s="29"/>
      <c r="F223" s="29"/>
      <c r="G223" s="29"/>
      <c r="H223" s="29"/>
      <c r="I223" s="29"/>
      <c r="J223" s="69"/>
    </row>
    <row r="224" spans="1:10" ht="22.5" x14ac:dyDescent="0.25">
      <c r="A224" s="162" t="s">
        <v>851</v>
      </c>
      <c r="B224" s="145" t="s">
        <v>5690</v>
      </c>
      <c r="C224" s="68">
        <f>ROUND('ANEXO 3'!D56,0)</f>
        <v>0</v>
      </c>
      <c r="D224" s="192">
        <f>ROUND('ANEXO 3'!D31,0)</f>
        <v>0</v>
      </c>
      <c r="E224" s="29"/>
      <c r="F224" s="29"/>
      <c r="G224" s="29"/>
      <c r="H224" s="29"/>
      <c r="I224" s="29"/>
      <c r="J224" s="69"/>
    </row>
    <row r="225" spans="1:10" ht="22.5" x14ac:dyDescent="0.25">
      <c r="A225" s="162" t="s">
        <v>852</v>
      </c>
      <c r="B225" s="145" t="s">
        <v>853</v>
      </c>
      <c r="C225" s="68">
        <f>ROUND('ANEXO 3'!E56,0)</f>
        <v>0</v>
      </c>
      <c r="D225" s="192">
        <f>ROUND('ANEXO 3'!E31,0)</f>
        <v>0</v>
      </c>
      <c r="E225" s="29"/>
      <c r="F225" s="29"/>
      <c r="G225" s="29"/>
      <c r="H225" s="29"/>
      <c r="I225" s="29"/>
      <c r="J225" s="69"/>
    </row>
    <row r="226" spans="1:10" x14ac:dyDescent="0.25">
      <c r="A226" s="162" t="s">
        <v>854</v>
      </c>
      <c r="B226" s="145" t="s">
        <v>5691</v>
      </c>
      <c r="C226" s="68">
        <f>ROUND('ANEXO 3'!F56,0)</f>
        <v>0</v>
      </c>
      <c r="D226" s="192">
        <f>ROUND('ANEXO 3'!F31,0)</f>
        <v>0</v>
      </c>
      <c r="E226" s="29"/>
      <c r="F226" s="29"/>
      <c r="G226" s="29"/>
      <c r="H226" s="29"/>
      <c r="I226" s="29"/>
      <c r="J226" s="69"/>
    </row>
    <row r="227" spans="1:10" x14ac:dyDescent="0.25">
      <c r="A227" s="162" t="s">
        <v>855</v>
      </c>
      <c r="B227" s="145" t="s">
        <v>856</v>
      </c>
      <c r="C227" s="68">
        <f>ROUND('ANEXO 3'!G56,0)</f>
        <v>0</v>
      </c>
      <c r="D227" s="192">
        <f>ROUND('ANEXO 3'!G31,0)</f>
        <v>0</v>
      </c>
      <c r="E227" s="29"/>
      <c r="F227" s="29"/>
      <c r="G227" s="29"/>
      <c r="H227" s="29"/>
      <c r="I227" s="29"/>
      <c r="J227" s="69"/>
    </row>
    <row r="228" spans="1:10" x14ac:dyDescent="0.25">
      <c r="A228" s="162" t="s">
        <v>857</v>
      </c>
      <c r="B228" s="145" t="s">
        <v>961</v>
      </c>
      <c r="C228" s="68">
        <f>'ANEXO 2'!C75</f>
        <v>0</v>
      </c>
      <c r="D228" s="192">
        <f>'ANEXO 2'!F75</f>
        <v>0</v>
      </c>
      <c r="E228" s="29"/>
      <c r="F228" s="29"/>
      <c r="G228" s="29"/>
      <c r="H228" s="29"/>
      <c r="I228" s="29"/>
      <c r="J228" s="69"/>
    </row>
    <row r="229" spans="1:10" x14ac:dyDescent="0.25">
      <c r="A229" s="162" t="s">
        <v>858</v>
      </c>
      <c r="B229" s="145" t="s">
        <v>859</v>
      </c>
      <c r="C229" s="68">
        <f>'ANEXO 2'!C74</f>
        <v>0</v>
      </c>
      <c r="D229" s="192">
        <f>'ANEXO 2'!F74</f>
        <v>0</v>
      </c>
      <c r="E229" s="29"/>
      <c r="F229" s="29"/>
      <c r="G229" s="29"/>
      <c r="H229" s="29"/>
      <c r="I229" s="29"/>
      <c r="J229" s="69"/>
    </row>
    <row r="230" spans="1:10" ht="22.5" x14ac:dyDescent="0.25">
      <c r="A230" s="162" t="s">
        <v>860</v>
      </c>
      <c r="B230" s="145" t="s">
        <v>861</v>
      </c>
      <c r="C230" s="68">
        <f>ROUND('ANEXO 3'!J56,0)</f>
        <v>0</v>
      </c>
      <c r="D230" s="192">
        <f>ROUND('ANEXO 3'!J31,0)</f>
        <v>0</v>
      </c>
      <c r="E230" s="29"/>
      <c r="F230" s="29"/>
      <c r="G230" s="29"/>
      <c r="H230" s="29"/>
      <c r="I230" s="29"/>
      <c r="J230" s="69"/>
    </row>
    <row r="231" spans="1:10" ht="22.5" x14ac:dyDescent="0.25">
      <c r="A231" s="162" t="s">
        <v>862</v>
      </c>
      <c r="B231" s="145" t="s">
        <v>863</v>
      </c>
      <c r="C231" s="68">
        <f>ROUND('ANEXO 3'!K56,0)</f>
        <v>0</v>
      </c>
      <c r="D231" s="192">
        <f>ROUND('ANEXO 3'!K31,0)</f>
        <v>0</v>
      </c>
      <c r="E231" s="29"/>
      <c r="F231" s="29"/>
      <c r="G231" s="29"/>
      <c r="H231" s="29"/>
      <c r="I231" s="29"/>
      <c r="J231" s="69"/>
    </row>
    <row r="232" spans="1:10" ht="22.5" x14ac:dyDescent="0.25">
      <c r="A232" s="162" t="s">
        <v>864</v>
      </c>
      <c r="B232" s="145" t="s">
        <v>865</v>
      </c>
      <c r="C232" s="52"/>
      <c r="D232" s="52"/>
      <c r="E232" s="29"/>
      <c r="F232" s="29"/>
      <c r="G232" s="29"/>
      <c r="H232" s="29"/>
      <c r="I232" s="29"/>
      <c r="J232" s="69"/>
    </row>
    <row r="233" spans="1:10" ht="22.5" x14ac:dyDescent="0.25">
      <c r="A233" s="162" t="s">
        <v>866</v>
      </c>
      <c r="B233" s="145" t="s">
        <v>867</v>
      </c>
      <c r="C233" s="52"/>
      <c r="D233" s="52"/>
      <c r="E233" s="29"/>
      <c r="F233" s="29"/>
      <c r="G233" s="29"/>
      <c r="H233" s="29"/>
      <c r="I233" s="29"/>
      <c r="J233" s="69"/>
    </row>
    <row r="234" spans="1:10" ht="22.5" x14ac:dyDescent="0.25">
      <c r="A234" s="162" t="s">
        <v>868</v>
      </c>
      <c r="B234" s="145" t="s">
        <v>869</v>
      </c>
      <c r="C234" s="52"/>
      <c r="D234" s="52"/>
      <c r="E234" s="29"/>
      <c r="F234" s="29"/>
      <c r="G234" s="29"/>
      <c r="H234" s="29"/>
      <c r="I234" s="29"/>
      <c r="J234" s="69"/>
    </row>
    <row r="235" spans="1:10" ht="22.5" x14ac:dyDescent="0.25">
      <c r="A235" s="162" t="s">
        <v>870</v>
      </c>
      <c r="B235" s="145" t="s">
        <v>871</v>
      </c>
      <c r="C235" s="52"/>
      <c r="D235" s="52"/>
      <c r="E235" s="29"/>
      <c r="F235" s="29"/>
      <c r="G235" s="29"/>
      <c r="H235" s="29"/>
      <c r="I235" s="29"/>
      <c r="J235" s="69"/>
    </row>
    <row r="236" spans="1:10" ht="22.5" x14ac:dyDescent="0.25">
      <c r="A236" s="162" t="s">
        <v>872</v>
      </c>
      <c r="B236" s="145" t="s">
        <v>873</v>
      </c>
      <c r="C236" s="68">
        <f>ROUND('ANEXO 3'!P56,0)</f>
        <v>0</v>
      </c>
      <c r="D236" s="192">
        <f>ROUND('ANEXO 3'!P31,0)</f>
        <v>0</v>
      </c>
      <c r="E236" s="29"/>
      <c r="F236" s="29"/>
      <c r="G236" s="29"/>
      <c r="H236" s="29"/>
      <c r="I236" s="29"/>
      <c r="J236" s="69"/>
    </row>
    <row r="237" spans="1:10" ht="22.5" x14ac:dyDescent="0.25">
      <c r="A237" s="162" t="s">
        <v>874</v>
      </c>
      <c r="B237" s="145" t="s">
        <v>875</v>
      </c>
      <c r="C237" s="68">
        <f>ROUND('ANEXO 3'!Q56,0)</f>
        <v>0</v>
      </c>
      <c r="D237" s="192">
        <f>ROUND('ANEXO 3'!Q31,0)</f>
        <v>0</v>
      </c>
      <c r="E237" s="29"/>
      <c r="F237" s="29"/>
      <c r="G237" s="29"/>
      <c r="H237" s="29"/>
      <c r="I237" s="29"/>
      <c r="J237" s="69"/>
    </row>
    <row r="238" spans="1:10" ht="22.5" x14ac:dyDescent="0.25">
      <c r="A238" s="162" t="s">
        <v>876</v>
      </c>
      <c r="B238" s="145" t="s">
        <v>1018</v>
      </c>
      <c r="C238" s="68">
        <f>ROUND('ANEXO 3'!R56,0)</f>
        <v>0</v>
      </c>
      <c r="D238" s="192">
        <f>ROUND('ANEXO 3'!R31,0)</f>
        <v>0</v>
      </c>
      <c r="E238" s="29"/>
      <c r="F238" s="29"/>
      <c r="G238" s="29"/>
      <c r="H238" s="29"/>
      <c r="I238" s="29"/>
      <c r="J238" s="69"/>
    </row>
    <row r="239" spans="1:10" x14ac:dyDescent="0.25">
      <c r="A239" s="162" t="s">
        <v>877</v>
      </c>
      <c r="B239" s="145" t="s">
        <v>878</v>
      </c>
      <c r="C239" s="52"/>
      <c r="D239" s="52"/>
      <c r="E239" s="29"/>
      <c r="F239" s="29"/>
      <c r="G239" s="29"/>
      <c r="H239" s="29"/>
      <c r="I239" s="29"/>
      <c r="J239" s="69"/>
    </row>
    <row r="240" spans="1:10" x14ac:dyDescent="0.25">
      <c r="A240" s="162" t="s">
        <v>879</v>
      </c>
      <c r="B240" s="145" t="s">
        <v>880</v>
      </c>
      <c r="C240" s="52"/>
      <c r="D240" s="52"/>
      <c r="E240" s="29"/>
      <c r="F240" s="29"/>
      <c r="G240" s="29"/>
      <c r="H240" s="29"/>
      <c r="I240" s="29"/>
      <c r="J240" s="69"/>
    </row>
    <row r="241" spans="1:10" x14ac:dyDescent="0.25">
      <c r="A241" s="162"/>
      <c r="B241" s="145"/>
      <c r="C241" s="18"/>
      <c r="D241" s="18"/>
      <c r="E241" s="18"/>
      <c r="F241" s="18"/>
      <c r="G241" s="18"/>
      <c r="H241" s="18"/>
      <c r="I241" s="18"/>
      <c r="J241" s="69"/>
    </row>
    <row r="242" spans="1:10" x14ac:dyDescent="0.25">
      <c r="A242" s="162" t="s">
        <v>881</v>
      </c>
      <c r="B242" s="145" t="s">
        <v>882</v>
      </c>
      <c r="C242" s="68">
        <f>ROUND('ANEXO 3'!U56,0)</f>
        <v>0</v>
      </c>
      <c r="D242" s="192">
        <f>ROUND('ANEXO 3'!U31,0)</f>
        <v>0</v>
      </c>
      <c r="E242" s="29"/>
      <c r="F242" s="29"/>
      <c r="G242" s="29"/>
      <c r="H242" s="29"/>
      <c r="I242" s="29"/>
      <c r="J242" s="69"/>
    </row>
    <row r="243" spans="1:10" x14ac:dyDescent="0.25">
      <c r="A243" s="162"/>
      <c r="B243" s="145"/>
      <c r="C243" s="18"/>
      <c r="D243" s="18"/>
      <c r="E243" s="18"/>
      <c r="F243" s="18"/>
      <c r="G243" s="18"/>
      <c r="H243" s="18"/>
      <c r="I243" s="18"/>
      <c r="J243" s="69"/>
    </row>
    <row r="244" spans="1:10" x14ac:dyDescent="0.25">
      <c r="A244" s="162" t="s">
        <v>883</v>
      </c>
      <c r="B244" s="145" t="s">
        <v>884</v>
      </c>
      <c r="C244" s="65">
        <f>ROUND(C219+C242,0)</f>
        <v>0</v>
      </c>
      <c r="D244" s="116">
        <f>ROUND(D219+D242,0)</f>
        <v>0</v>
      </c>
      <c r="E244" s="29"/>
      <c r="F244" s="29"/>
      <c r="G244" s="29"/>
      <c r="H244" s="29"/>
      <c r="I244" s="29"/>
      <c r="J244" s="69"/>
    </row>
    <row r="245" spans="1:10" x14ac:dyDescent="0.25">
      <c r="A245" s="163"/>
      <c r="B245" s="174"/>
      <c r="C245" s="18"/>
      <c r="D245" s="18"/>
      <c r="E245" s="18"/>
      <c r="F245" s="18"/>
      <c r="G245" s="18"/>
      <c r="H245" s="18"/>
      <c r="I245" s="18"/>
      <c r="J245" s="69"/>
    </row>
    <row r="246" spans="1:10" ht="23.25" x14ac:dyDescent="0.25">
      <c r="A246" s="163"/>
      <c r="B246" s="174" t="s">
        <v>885</v>
      </c>
      <c r="C246" s="18"/>
      <c r="D246" s="18"/>
      <c r="E246" s="18"/>
      <c r="F246" s="18"/>
      <c r="G246" s="18"/>
      <c r="H246" s="18"/>
      <c r="I246" s="18"/>
      <c r="J246" s="69"/>
    </row>
    <row r="247" spans="1:10" ht="8.1" customHeight="1" x14ac:dyDescent="0.25">
      <c r="A247" s="168" t="s">
        <v>0</v>
      </c>
      <c r="B247" s="172"/>
      <c r="C247" s="168"/>
      <c r="D247" s="168"/>
      <c r="E247" s="168"/>
      <c r="F247" s="168"/>
      <c r="G247" s="168"/>
      <c r="H247" s="168"/>
      <c r="I247" s="168"/>
      <c r="J247"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1"/>
  <sheetViews>
    <sheetView workbookViewId="0"/>
  </sheetViews>
  <sheetFormatPr defaultColWidth="11.5703125" defaultRowHeight="15" x14ac:dyDescent="0.25"/>
  <cols>
    <col min="1" max="1" width="14.28515625" style="107" customWidth="1"/>
    <col min="2" max="2" width="35.7109375" style="107" customWidth="1"/>
    <col min="3" max="4" width="30.7109375" style="107" customWidth="1"/>
    <col min="5" max="11" width="18.7109375" style="107" customWidth="1"/>
    <col min="12" max="12" width="1.7109375" style="107" customWidth="1"/>
    <col min="13" max="16384" width="11.5703125" style="107"/>
  </cols>
  <sheetData>
    <row r="1" spans="1:12" ht="23.25" x14ac:dyDescent="0.25">
      <c r="A1" s="42" t="s">
        <v>0</v>
      </c>
      <c r="B1" s="122" t="s">
        <v>5610</v>
      </c>
      <c r="C1" s="42"/>
      <c r="D1" s="42"/>
      <c r="E1" s="42" t="s">
        <v>0</v>
      </c>
      <c r="F1" s="42" t="s">
        <v>0</v>
      </c>
      <c r="G1" s="42" t="s">
        <v>0</v>
      </c>
      <c r="H1" s="42" t="s">
        <v>0</v>
      </c>
      <c r="I1" s="42" t="s">
        <v>0</v>
      </c>
      <c r="J1" s="42" t="s">
        <v>0</v>
      </c>
      <c r="K1" s="42" t="s">
        <v>0</v>
      </c>
      <c r="L1" s="69" t="s">
        <v>0</v>
      </c>
    </row>
    <row r="2" spans="1:12" ht="56.25" x14ac:dyDescent="0.25">
      <c r="A2" s="121" t="s">
        <v>5597</v>
      </c>
      <c r="B2" s="121" t="s">
        <v>5598</v>
      </c>
      <c r="C2" s="45" t="s">
        <v>2258</v>
      </c>
      <c r="D2" s="45" t="s">
        <v>2259</v>
      </c>
      <c r="E2" s="45" t="s">
        <v>2260</v>
      </c>
      <c r="F2" s="45" t="s">
        <v>2261</v>
      </c>
      <c r="G2" s="45" t="s">
        <v>2262</v>
      </c>
      <c r="H2" s="45" t="s">
        <v>2263</v>
      </c>
      <c r="I2" s="45" t="s">
        <v>2264</v>
      </c>
      <c r="J2" s="45" t="s">
        <v>2265</v>
      </c>
      <c r="K2" s="45" t="s">
        <v>2266</v>
      </c>
      <c r="L2" s="69" t="s">
        <v>0</v>
      </c>
    </row>
    <row r="3" spans="1:12" x14ac:dyDescent="0.25">
      <c r="A3" s="163"/>
      <c r="B3" s="46" t="s">
        <v>0</v>
      </c>
      <c r="C3" s="47"/>
      <c r="D3" s="47"/>
      <c r="E3" s="47"/>
      <c r="F3" s="47"/>
      <c r="G3" s="47"/>
      <c r="H3" s="47"/>
      <c r="I3" s="47"/>
      <c r="J3" s="47"/>
      <c r="K3" s="47"/>
      <c r="L3" s="69"/>
    </row>
    <row r="4" spans="1:12" x14ac:dyDescent="0.25">
      <c r="A4" s="163"/>
      <c r="B4" s="48" t="s">
        <v>5626</v>
      </c>
      <c r="C4" s="47"/>
      <c r="D4" s="47"/>
      <c r="E4" s="47"/>
      <c r="F4" s="47"/>
      <c r="G4" s="47"/>
      <c r="H4" s="47"/>
      <c r="I4" s="47"/>
      <c r="J4" s="47"/>
      <c r="K4" s="47"/>
      <c r="L4" s="69"/>
    </row>
    <row r="5" spans="1:12" x14ac:dyDescent="0.25">
      <c r="A5" s="163"/>
      <c r="B5" s="27" t="s">
        <v>0</v>
      </c>
      <c r="C5" s="47"/>
      <c r="D5" s="47"/>
      <c r="E5" s="47"/>
      <c r="F5" s="47"/>
      <c r="G5" s="47"/>
      <c r="H5" s="47"/>
      <c r="I5" s="47"/>
      <c r="J5" s="47"/>
      <c r="K5" s="47"/>
      <c r="L5" s="69"/>
    </row>
    <row r="6" spans="1:12" ht="22.5" x14ac:dyDescent="0.25">
      <c r="A6" s="163"/>
      <c r="B6" s="129" t="s">
        <v>5635</v>
      </c>
      <c r="C6" s="47"/>
      <c r="D6" s="47"/>
      <c r="E6" s="47"/>
      <c r="F6" s="47"/>
      <c r="G6" s="47"/>
      <c r="H6" s="47"/>
      <c r="I6" s="47"/>
      <c r="J6" s="47"/>
      <c r="K6" s="47"/>
      <c r="L6" s="69"/>
    </row>
    <row r="7" spans="1:12" x14ac:dyDescent="0.25">
      <c r="A7" s="163"/>
      <c r="B7" s="160"/>
      <c r="C7" s="18"/>
      <c r="D7" s="18"/>
      <c r="E7" s="18"/>
      <c r="F7" s="18"/>
      <c r="G7" s="18"/>
      <c r="H7" s="18"/>
      <c r="I7" s="18"/>
      <c r="J7" s="18"/>
      <c r="K7" s="18"/>
      <c r="L7" s="69"/>
    </row>
    <row r="8" spans="1:12" x14ac:dyDescent="0.25">
      <c r="A8" s="184" t="s">
        <v>2267</v>
      </c>
      <c r="B8" s="190" t="s">
        <v>5322</v>
      </c>
      <c r="C8" s="85"/>
      <c r="D8" s="86"/>
      <c r="E8" s="87"/>
      <c r="F8" s="85"/>
      <c r="G8" s="85"/>
      <c r="H8" s="61"/>
      <c r="I8" s="61"/>
      <c r="J8" s="61"/>
      <c r="K8" s="61"/>
      <c r="L8" s="69"/>
    </row>
    <row r="9" spans="1:12" x14ac:dyDescent="0.25">
      <c r="A9" s="162"/>
      <c r="B9" s="153"/>
      <c r="C9" s="18"/>
      <c r="D9" s="18"/>
      <c r="E9" s="18"/>
      <c r="F9" s="18"/>
      <c r="G9" s="18"/>
      <c r="H9" s="18"/>
      <c r="I9" s="18"/>
      <c r="J9" s="18"/>
      <c r="K9" s="18"/>
      <c r="L9" s="69"/>
    </row>
    <row r="10" spans="1:12" x14ac:dyDescent="0.25">
      <c r="A10" s="162" t="s">
        <v>2268</v>
      </c>
      <c r="B10" s="153" t="s">
        <v>905</v>
      </c>
      <c r="C10" s="29"/>
      <c r="D10" s="29"/>
      <c r="E10" s="29"/>
      <c r="F10" s="29"/>
      <c r="G10" s="29"/>
      <c r="H10" s="54">
        <f>ROUND(SUM(H8:H9),0)</f>
        <v>0</v>
      </c>
      <c r="I10" s="54">
        <f>ROUND(SUM(I8:I9),0)</f>
        <v>0</v>
      </c>
      <c r="J10" s="54">
        <f>ROUND(SUM(J8:J9),0)</f>
        <v>0</v>
      </c>
      <c r="K10" s="54">
        <f>ROUND(SUM(K8:K9),0)</f>
        <v>0</v>
      </c>
      <c r="L10" s="69"/>
    </row>
    <row r="11" spans="1:12" ht="8.1" customHeight="1" x14ac:dyDescent="0.25">
      <c r="A11" s="70" t="s">
        <v>0</v>
      </c>
      <c r="B11" s="152"/>
      <c r="C11" s="70"/>
      <c r="D11" s="70"/>
      <c r="E11" s="70"/>
      <c r="F11" s="70"/>
      <c r="G11" s="70"/>
      <c r="H11" s="70"/>
      <c r="I11" s="70"/>
      <c r="J11" s="70"/>
      <c r="K11" s="70"/>
      <c r="L11" s="69"/>
    </row>
  </sheetData>
  <sheetProtection password="C9D6" sheet="1" objects="1" scenarios="1"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D8">
      <formula1>CATALOGCOLUMNFILTERED41</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149"/>
  <sheetViews>
    <sheetView workbookViewId="0"/>
  </sheetViews>
  <sheetFormatPr defaultColWidth="11.5703125" defaultRowHeight="15" x14ac:dyDescent="0.25"/>
  <cols>
    <col min="1" max="1" width="14.28515625" style="107" customWidth="1"/>
    <col min="2" max="2" width="35.7109375" style="107" customWidth="1"/>
    <col min="3" max="4" width="18.7109375" style="107" customWidth="1"/>
    <col min="5" max="5" width="1.7109375" style="107" customWidth="1"/>
    <col min="6" max="16384" width="11.5703125" style="107"/>
  </cols>
  <sheetData>
    <row r="1" spans="1:5" x14ac:dyDescent="0.25">
      <c r="A1" s="42" t="s">
        <v>0</v>
      </c>
      <c r="B1" s="41" t="s">
        <v>5612</v>
      </c>
      <c r="C1" s="42"/>
      <c r="D1" s="42"/>
      <c r="E1" s="69" t="s">
        <v>0</v>
      </c>
    </row>
    <row r="2" spans="1:5" x14ac:dyDescent="0.25">
      <c r="A2" s="78" t="s">
        <v>5597</v>
      </c>
      <c r="B2" s="78" t="s">
        <v>5598</v>
      </c>
      <c r="C2" s="79">
        <v>2017</v>
      </c>
      <c r="D2" s="79">
        <v>2016</v>
      </c>
      <c r="E2" s="69" t="s">
        <v>0</v>
      </c>
    </row>
    <row r="3" spans="1:5" x14ac:dyDescent="0.25">
      <c r="A3" s="163"/>
      <c r="B3" s="46" t="s">
        <v>0</v>
      </c>
      <c r="C3" s="47"/>
      <c r="D3" s="47"/>
      <c r="E3" s="69"/>
    </row>
    <row r="4" spans="1:5" x14ac:dyDescent="0.25">
      <c r="A4" s="163"/>
      <c r="B4" s="51" t="s">
        <v>5626</v>
      </c>
      <c r="C4" s="49"/>
      <c r="D4" s="47"/>
      <c r="E4" s="69"/>
    </row>
    <row r="5" spans="1:5" x14ac:dyDescent="0.25">
      <c r="A5" s="163"/>
      <c r="B5" s="47" t="s">
        <v>0</v>
      </c>
      <c r="C5" s="47"/>
      <c r="D5" s="47"/>
      <c r="E5" s="69"/>
    </row>
    <row r="6" spans="1:5" x14ac:dyDescent="0.25">
      <c r="A6" s="163"/>
      <c r="B6" s="129" t="s">
        <v>5637</v>
      </c>
      <c r="C6" s="49"/>
      <c r="D6" s="47"/>
      <c r="E6" s="69"/>
    </row>
    <row r="7" spans="1:5" x14ac:dyDescent="0.25">
      <c r="A7" s="163"/>
      <c r="B7" s="132" t="s">
        <v>0</v>
      </c>
      <c r="C7" s="49"/>
      <c r="D7" s="47"/>
      <c r="E7" s="69"/>
    </row>
    <row r="8" spans="1:5" x14ac:dyDescent="0.25">
      <c r="A8" s="163"/>
      <c r="B8" s="129" t="s">
        <v>1061</v>
      </c>
      <c r="C8" s="49"/>
      <c r="D8" s="47"/>
      <c r="E8" s="69"/>
    </row>
    <row r="9" spans="1:5" x14ac:dyDescent="0.25">
      <c r="A9" s="163"/>
      <c r="B9" s="160"/>
      <c r="C9" s="47"/>
      <c r="D9" s="71"/>
      <c r="E9" s="69"/>
    </row>
    <row r="10" spans="1:5" x14ac:dyDescent="0.25">
      <c r="A10" s="162" t="s">
        <v>1062</v>
      </c>
      <c r="B10" s="153" t="s">
        <v>952</v>
      </c>
      <c r="C10" s="68">
        <f>IF(Generales!C44="SI",ROUND('ANEXO 2'!C61,0),0)</f>
        <v>0</v>
      </c>
      <c r="D10" s="192">
        <f>IF(Generales!C44="SI",ROUND('ANEXO 2'!F61,0),0)</f>
        <v>0</v>
      </c>
      <c r="E10" s="69"/>
    </row>
    <row r="11" spans="1:5" x14ac:dyDescent="0.25">
      <c r="A11" s="162" t="s">
        <v>1063</v>
      </c>
      <c r="B11" s="153" t="s">
        <v>950</v>
      </c>
      <c r="C11" s="68">
        <f>IF(Generales!C44="SI",ROUND('ANEXO 2'!C60,0),0)</f>
        <v>0</v>
      </c>
      <c r="D11" s="192">
        <f>IF(Generales!C44="SI",ROUND('ANEXO 2'!F60,0),0)</f>
        <v>0</v>
      </c>
      <c r="E11" s="69"/>
    </row>
    <row r="12" spans="1:5" x14ac:dyDescent="0.25">
      <c r="A12" s="162"/>
      <c r="B12" s="153"/>
      <c r="C12" s="18"/>
      <c r="D12" s="20"/>
      <c r="E12" s="69"/>
    </row>
    <row r="13" spans="1:5" ht="22.5" x14ac:dyDescent="0.25">
      <c r="A13" s="162"/>
      <c r="B13" s="179" t="s">
        <v>1064</v>
      </c>
      <c r="C13" s="51"/>
      <c r="D13" s="20"/>
      <c r="E13" s="69"/>
    </row>
    <row r="14" spans="1:5" x14ac:dyDescent="0.25">
      <c r="A14" s="162"/>
      <c r="B14" s="153"/>
      <c r="C14" s="18"/>
      <c r="D14" s="18"/>
      <c r="E14" s="69"/>
    </row>
    <row r="15" spans="1:5" x14ac:dyDescent="0.25">
      <c r="A15" s="162" t="s">
        <v>1065</v>
      </c>
      <c r="B15" s="153" t="s">
        <v>1066</v>
      </c>
      <c r="C15" s="193">
        <f>IF(Generales!C44="SI",ROUND('ANEXO 7'!AE63+'ANEXO 7'!AE67,0),0)</f>
        <v>0</v>
      </c>
      <c r="D15" s="193">
        <f>IF(Generales!C44="SI",ROUND('ANEXO 7'!AF63+'ANEXO 7'!AF67,0),0)</f>
        <v>0</v>
      </c>
      <c r="E15" s="69"/>
    </row>
    <row r="16" spans="1:5" x14ac:dyDescent="0.25">
      <c r="A16" s="162" t="s">
        <v>1067</v>
      </c>
      <c r="B16" s="153" t="s">
        <v>1068</v>
      </c>
      <c r="C16" s="193">
        <f>IF(Generales!C44="SI",ROUND('ANEXO 1'!D107-'ANEXO 1'!C107,0),0)</f>
        <v>0</v>
      </c>
      <c r="D16" s="116"/>
      <c r="E16" s="69"/>
    </row>
    <row r="17" spans="1:5" ht="22.5" x14ac:dyDescent="0.25">
      <c r="A17" s="164" t="s">
        <v>1069</v>
      </c>
      <c r="B17" s="153" t="s">
        <v>1070</v>
      </c>
      <c r="C17" s="193">
        <f>-IF(Generales!C44="SI",ROUND('ANEXO 5'!C30+'ANEXO 5'!C31,0),0)+IF(Generales!C44="SI",ROUND(SUM('ANEXO 7'!AE105:AE110),0))</f>
        <v>0</v>
      </c>
      <c r="D17" s="193">
        <f>-IF(Generales!C44="SI",ROUND('ANEXO 5'!D30+'ANEXO 5'!D31,0),0)+IF(Generales!C44="SI",ROUND(SUM('ANEXO 7'!AF105:AF110),0))</f>
        <v>0</v>
      </c>
      <c r="E17" s="69"/>
    </row>
    <row r="18" spans="1:5" x14ac:dyDescent="0.25">
      <c r="A18" s="162" t="s">
        <v>1071</v>
      </c>
      <c r="B18" s="153" t="s">
        <v>924</v>
      </c>
      <c r="C18" s="193">
        <f>-IF(Generales!C44="SI",ROUND('ANEXO 8'!C20,0),0)</f>
        <v>0</v>
      </c>
      <c r="D18" s="193">
        <f>-IF(Generales!C44="SI",ROUND('ANEXO 8'!D20,0),0)</f>
        <v>0</v>
      </c>
      <c r="E18" s="69"/>
    </row>
    <row r="19" spans="1:5" x14ac:dyDescent="0.25">
      <c r="A19" s="162" t="s">
        <v>1072</v>
      </c>
      <c r="B19" s="153" t="s">
        <v>1073</v>
      </c>
      <c r="C19" s="193">
        <f>-IF(Generales!C44="SI",ROUND('ANEXO 5'!C34+'ANEXO 5'!C35,0),0)</f>
        <v>0</v>
      </c>
      <c r="D19" s="193">
        <f>-IF(Generales!C44="SI",ROUND('ANEXO 5'!D34+'ANEXO 5'!D35,0),0)</f>
        <v>0</v>
      </c>
      <c r="E19" s="69"/>
    </row>
    <row r="20" spans="1:5" ht="22.5" x14ac:dyDescent="0.25">
      <c r="A20" s="162" t="s">
        <v>1074</v>
      </c>
      <c r="B20" s="154" t="s">
        <v>1075</v>
      </c>
      <c r="C20" s="52"/>
      <c r="D20" s="52"/>
      <c r="E20" s="69"/>
    </row>
    <row r="21" spans="1:5" x14ac:dyDescent="0.25">
      <c r="A21" s="162"/>
      <c r="B21" s="153"/>
      <c r="C21" s="18"/>
      <c r="D21" s="18"/>
      <c r="E21" s="69"/>
    </row>
    <row r="22" spans="1:5" ht="22.5" x14ac:dyDescent="0.25">
      <c r="A22" s="162" t="s">
        <v>1076</v>
      </c>
      <c r="B22" s="153" t="s">
        <v>1077</v>
      </c>
      <c r="C22" s="116">
        <f>ROUND(SUM(C15:C19)+C20,0)</f>
        <v>0</v>
      </c>
      <c r="D22" s="116">
        <f>ROUND(SUM(D15:D19)+D20,0)</f>
        <v>0</v>
      </c>
      <c r="E22" s="69"/>
    </row>
    <row r="23" spans="1:5" x14ac:dyDescent="0.25">
      <c r="A23" s="162"/>
      <c r="B23" s="153"/>
      <c r="C23" s="18"/>
      <c r="D23" s="18"/>
      <c r="E23" s="69"/>
    </row>
    <row r="24" spans="1:5" ht="22.5" x14ac:dyDescent="0.25">
      <c r="A24" s="162"/>
      <c r="B24" s="179" t="s">
        <v>1078</v>
      </c>
      <c r="C24" s="18"/>
      <c r="D24" s="18"/>
      <c r="E24" s="69"/>
    </row>
    <row r="25" spans="1:5" x14ac:dyDescent="0.25">
      <c r="A25" s="162"/>
      <c r="B25" s="153"/>
      <c r="C25" s="18"/>
      <c r="D25" s="18"/>
      <c r="E25" s="69"/>
    </row>
    <row r="26" spans="1:5" x14ac:dyDescent="0.25">
      <c r="A26" s="162" t="s">
        <v>1079</v>
      </c>
      <c r="B26" s="153" t="s">
        <v>926</v>
      </c>
      <c r="C26" s="193">
        <f>IF(Generales!C44="SI",ROUND('ANEXO 8'!C36,0),0)</f>
        <v>0</v>
      </c>
      <c r="D26" s="193">
        <f>IF(Generales!C44="SI",ROUND('ANEXO 8'!D36,0),0)</f>
        <v>0</v>
      </c>
      <c r="E26" s="69"/>
    </row>
    <row r="27" spans="1:5" ht="22.5" x14ac:dyDescent="0.25">
      <c r="A27" s="162" t="s">
        <v>1080</v>
      </c>
      <c r="B27" s="153" t="s">
        <v>1081</v>
      </c>
      <c r="C27" s="52"/>
      <c r="D27" s="52"/>
      <c r="E27" s="69"/>
    </row>
    <row r="28" spans="1:5" x14ac:dyDescent="0.25">
      <c r="A28" s="162"/>
      <c r="B28" s="153"/>
      <c r="C28" s="18"/>
      <c r="D28" s="18"/>
      <c r="E28" s="69"/>
    </row>
    <row r="29" spans="1:5" ht="22.5" x14ac:dyDescent="0.25">
      <c r="A29" s="162" t="s">
        <v>1082</v>
      </c>
      <c r="B29" s="153" t="s">
        <v>1083</v>
      </c>
      <c r="C29" s="116">
        <f>ROUND(SUM(C26:C27),0)</f>
        <v>0</v>
      </c>
      <c r="D29" s="116">
        <f>ROUND(SUM(D26:D27),0)</f>
        <v>0</v>
      </c>
      <c r="E29" s="69"/>
    </row>
    <row r="30" spans="1:5" x14ac:dyDescent="0.25">
      <c r="A30" s="162"/>
      <c r="B30" s="153"/>
      <c r="C30" s="18"/>
      <c r="D30" s="18"/>
      <c r="E30" s="69"/>
    </row>
    <row r="31" spans="1:5" x14ac:dyDescent="0.25">
      <c r="A31" s="162"/>
      <c r="B31" s="153" t="s">
        <v>910</v>
      </c>
      <c r="C31" s="18"/>
      <c r="D31" s="18"/>
      <c r="E31" s="69"/>
    </row>
    <row r="32" spans="1:5" x14ac:dyDescent="0.25">
      <c r="A32" s="162"/>
      <c r="B32" s="154"/>
      <c r="C32" s="18"/>
      <c r="D32" s="18"/>
      <c r="E32" s="69"/>
    </row>
    <row r="33" spans="1:5" ht="22.5" x14ac:dyDescent="0.25">
      <c r="A33" s="162" t="s">
        <v>1084</v>
      </c>
      <c r="B33" s="153" t="s">
        <v>1085</v>
      </c>
      <c r="C33" s="193">
        <f>IF(Generales!C44="SI",ROUND('ANEXO 1'!D31-'ANEXO 1'!C31+'ANEXO 1'!D49-'ANEXO 1'!C49+'ANEXO 1'!D51-'ANEXO 1'!C51+'ANEXO 1'!D53-'ANEXO 1'!C53+'ANEXO 1'!D63-'ANEXO 1'!C63+'ANEXO 1'!D69-'ANEXO 1'!C69,0),0)</f>
        <v>0</v>
      </c>
      <c r="D33" s="116"/>
      <c r="E33" s="69"/>
    </row>
    <row r="34" spans="1:5" x14ac:dyDescent="0.25">
      <c r="A34" s="162" t="s">
        <v>1086</v>
      </c>
      <c r="B34" s="153" t="s">
        <v>1087</v>
      </c>
      <c r="C34" s="193">
        <f>IF(Generales!C44="SI",ROUND('ANEXO 1'!D41-'ANEXO 1'!C41,0),0)</f>
        <v>0</v>
      </c>
      <c r="D34" s="116"/>
      <c r="E34" s="69"/>
    </row>
    <row r="35" spans="1:5" x14ac:dyDescent="0.25">
      <c r="A35" s="162" t="s">
        <v>1088</v>
      </c>
      <c r="B35" s="153" t="s">
        <v>1089</v>
      </c>
      <c r="C35" s="193">
        <f>IF(Generales!C44="SI",ROUND('ANEXO 1'!C161-'ANEXO 1'!D161,0),0)</f>
        <v>0</v>
      </c>
      <c r="D35" s="116"/>
      <c r="E35" s="69"/>
    </row>
    <row r="36" spans="1:5" x14ac:dyDescent="0.25">
      <c r="A36" s="162" t="s">
        <v>1090</v>
      </c>
      <c r="B36" s="153" t="s">
        <v>1091</v>
      </c>
      <c r="C36" s="193">
        <f>-IF(Generales!C44="SI",ROUND('ANEXO 2'!C67,0),0)</f>
        <v>0</v>
      </c>
      <c r="D36" s="116"/>
      <c r="E36" s="69"/>
    </row>
    <row r="37" spans="1:5" ht="22.5" x14ac:dyDescent="0.25">
      <c r="A37" s="162" t="s">
        <v>1092</v>
      </c>
      <c r="B37" s="153" t="s">
        <v>1093</v>
      </c>
      <c r="C37" s="116"/>
      <c r="D37" s="116"/>
      <c r="E37" s="69"/>
    </row>
    <row r="38" spans="1:5" x14ac:dyDescent="0.25">
      <c r="A38" s="162" t="s">
        <v>1094</v>
      </c>
      <c r="B38" s="153" t="s">
        <v>1095</v>
      </c>
      <c r="C38" s="52"/>
      <c r="D38" s="52"/>
      <c r="E38" s="69"/>
    </row>
    <row r="39" spans="1:5" x14ac:dyDescent="0.25">
      <c r="A39" s="162"/>
      <c r="B39" s="153"/>
      <c r="C39" s="18"/>
      <c r="D39" s="18"/>
      <c r="E39" s="69"/>
    </row>
    <row r="40" spans="1:5" ht="22.5" x14ac:dyDescent="0.25">
      <c r="A40" s="162" t="s">
        <v>1096</v>
      </c>
      <c r="B40" s="153" t="s">
        <v>1097</v>
      </c>
      <c r="C40" s="116">
        <f>ROUND(+C10-C11+C22+C29+SUM(C33:C37)+C38,0)</f>
        <v>0</v>
      </c>
      <c r="D40" s="116">
        <f>ROUND(+D10-D11+D22+D29+SUM(D33:D37)+D38,0)</f>
        <v>0</v>
      </c>
      <c r="E40" s="69"/>
    </row>
    <row r="41" spans="1:5" x14ac:dyDescent="0.25">
      <c r="A41" s="162"/>
      <c r="B41" s="153"/>
      <c r="C41" s="18"/>
      <c r="D41" s="18"/>
      <c r="E41" s="69"/>
    </row>
    <row r="42" spans="1:5" x14ac:dyDescent="0.25">
      <c r="A42" s="162"/>
      <c r="B42" s="179" t="s">
        <v>1098</v>
      </c>
      <c r="C42" s="51"/>
      <c r="D42" s="18"/>
      <c r="E42" s="69"/>
    </row>
    <row r="43" spans="1:5" x14ac:dyDescent="0.25">
      <c r="A43" s="162"/>
      <c r="B43" s="153"/>
      <c r="C43" s="18"/>
      <c r="D43" s="18"/>
      <c r="E43" s="69"/>
    </row>
    <row r="44" spans="1:5" ht="22.5" x14ac:dyDescent="0.25">
      <c r="A44" s="162" t="s">
        <v>1099</v>
      </c>
      <c r="B44" s="153" t="s">
        <v>1100</v>
      </c>
      <c r="C44" s="116"/>
      <c r="D44" s="116"/>
      <c r="E44" s="69"/>
    </row>
    <row r="45" spans="1:5" x14ac:dyDescent="0.25">
      <c r="A45" s="162" t="s">
        <v>1101</v>
      </c>
      <c r="B45" s="153" t="s">
        <v>1102</v>
      </c>
      <c r="C45" s="116">
        <f>-C18</f>
        <v>0</v>
      </c>
      <c r="D45" s="116">
        <f>-D18</f>
        <v>0</v>
      </c>
      <c r="E45" s="69"/>
    </row>
    <row r="46" spans="1:5" x14ac:dyDescent="0.25">
      <c r="A46" s="162" t="s">
        <v>1103</v>
      </c>
      <c r="B46" s="153" t="s">
        <v>1073</v>
      </c>
      <c r="C46" s="116">
        <f>-C19</f>
        <v>0</v>
      </c>
      <c r="D46" s="116">
        <f>-D19</f>
        <v>0</v>
      </c>
      <c r="E46" s="69"/>
    </row>
    <row r="47" spans="1:5" x14ac:dyDescent="0.25">
      <c r="A47" s="162" t="s">
        <v>1104</v>
      </c>
      <c r="B47" s="153" t="s">
        <v>1105</v>
      </c>
      <c r="C47" s="193">
        <f>IF(Generales!C44="SI",ROUND('ANEXO 1'!D87-'ANEXO 1'!C87,0),0)</f>
        <v>0</v>
      </c>
      <c r="D47" s="116"/>
      <c r="E47" s="69"/>
    </row>
    <row r="48" spans="1:5" ht="22.5" x14ac:dyDescent="0.25">
      <c r="A48" s="162" t="s">
        <v>1106</v>
      </c>
      <c r="B48" s="153" t="s">
        <v>1107</v>
      </c>
      <c r="C48" s="116"/>
      <c r="D48" s="116"/>
      <c r="E48" s="69"/>
    </row>
    <row r="49" spans="1:5" x14ac:dyDescent="0.25">
      <c r="A49" s="162" t="s">
        <v>1108</v>
      </c>
      <c r="B49" s="153" t="s">
        <v>1109</v>
      </c>
      <c r="C49" s="193">
        <f>IF(Generales!C44="SI",ROUND('ANEXO 1'!D74-'ANEXO 1'!C74,0),0)</f>
        <v>0</v>
      </c>
      <c r="D49" s="116"/>
      <c r="E49" s="69"/>
    </row>
    <row r="50" spans="1:5" x14ac:dyDescent="0.25">
      <c r="A50" s="162" t="s">
        <v>1110</v>
      </c>
      <c r="B50" s="153" t="s">
        <v>1111</v>
      </c>
      <c r="C50" s="193">
        <f>IF(Generales!C44="SI",ROUND('ANEXO 1'!D113+'ANEXO 1'!D114+'ANEXO 1'!D115+'ANEXO 1'!D118-'ANEXO 1'!C113-'ANEXO 1'!C114-'ANEXO 1'!C115-'ANEXO 1'!C118,0),0)</f>
        <v>0</v>
      </c>
      <c r="D50" s="116"/>
      <c r="E50" s="69"/>
    </row>
    <row r="51" spans="1:5" x14ac:dyDescent="0.25">
      <c r="A51" s="162" t="s">
        <v>1112</v>
      </c>
      <c r="B51" s="153" t="s">
        <v>1113</v>
      </c>
      <c r="C51" s="193">
        <f>IF(Generales!C44="SI",ROUND('ANEXO 1'!D129-'ANEXO 1'!C129,0),0)</f>
        <v>0</v>
      </c>
      <c r="D51" s="116"/>
      <c r="E51" s="69"/>
    </row>
    <row r="52" spans="1:5" ht="22.5" x14ac:dyDescent="0.25">
      <c r="A52" s="162" t="s">
        <v>1114</v>
      </c>
      <c r="B52" s="153" t="s">
        <v>1075</v>
      </c>
      <c r="C52" s="52"/>
      <c r="D52" s="52"/>
      <c r="E52" s="69"/>
    </row>
    <row r="53" spans="1:5" x14ac:dyDescent="0.25">
      <c r="A53" s="162"/>
      <c r="B53" s="153"/>
      <c r="C53" s="18"/>
      <c r="D53" s="18"/>
      <c r="E53" s="69"/>
    </row>
    <row r="54" spans="1:5" ht="22.5" x14ac:dyDescent="0.25">
      <c r="A54" s="162" t="s">
        <v>1115</v>
      </c>
      <c r="B54" s="153" t="s">
        <v>1116</v>
      </c>
      <c r="C54" s="116">
        <f>ROUND(SUM(C44:C51)+C52,0)</f>
        <v>0</v>
      </c>
      <c r="D54" s="116">
        <f>ROUND(SUM(D44:D51)+D52,0)</f>
        <v>0</v>
      </c>
      <c r="E54" s="69"/>
    </row>
    <row r="55" spans="1:5" x14ac:dyDescent="0.25">
      <c r="A55" s="162"/>
      <c r="B55" s="153"/>
      <c r="C55" s="18"/>
      <c r="D55" s="18"/>
      <c r="E55" s="69"/>
    </row>
    <row r="56" spans="1:5" ht="33.75" x14ac:dyDescent="0.25">
      <c r="A56" s="162" t="s">
        <v>1117</v>
      </c>
      <c r="B56" s="153" t="s">
        <v>1118</v>
      </c>
      <c r="C56" s="116">
        <f>ROUND(IF(C40+C54&gt;0,C40+C54,0),0)</f>
        <v>0</v>
      </c>
      <c r="D56" s="116">
        <f>ROUND(IF(D40+D54&gt;0,D40+D54,0),0)</f>
        <v>0</v>
      </c>
      <c r="E56" s="69"/>
    </row>
    <row r="57" spans="1:5" ht="22.5" x14ac:dyDescent="0.25">
      <c r="A57" s="162" t="s">
        <v>1119</v>
      </c>
      <c r="B57" s="153" t="s">
        <v>1120</v>
      </c>
      <c r="C57" s="116">
        <f>ROUND(IF(C40+C54&lt;0,C40+C54,0),0)</f>
        <v>0</v>
      </c>
      <c r="D57" s="116">
        <f>ROUND(IF(D40+D54&lt;0,D40+D54,0),0)</f>
        <v>0</v>
      </c>
      <c r="E57" s="69"/>
    </row>
    <row r="58" spans="1:5" x14ac:dyDescent="0.25">
      <c r="A58" s="162"/>
      <c r="B58" s="153"/>
      <c r="C58" s="18"/>
      <c r="D58" s="18"/>
      <c r="E58" s="69"/>
    </row>
    <row r="59" spans="1:5" x14ac:dyDescent="0.25">
      <c r="A59" s="162"/>
      <c r="B59" s="179" t="s">
        <v>1121</v>
      </c>
      <c r="C59" s="51"/>
      <c r="D59" s="18"/>
      <c r="E59" s="69"/>
    </row>
    <row r="60" spans="1:5" x14ac:dyDescent="0.25">
      <c r="A60" s="162"/>
      <c r="B60" s="153"/>
      <c r="C60" s="18"/>
      <c r="D60" s="18"/>
      <c r="E60" s="69"/>
    </row>
    <row r="61" spans="1:5" ht="22.5" x14ac:dyDescent="0.25">
      <c r="A61" s="162" t="s">
        <v>1122</v>
      </c>
      <c r="B61" s="153" t="s">
        <v>1123</v>
      </c>
      <c r="C61" s="193">
        <f>IF(Generales!C44="SI",ROUND('ANEXO 3'!C56-'ANEXO 3'!C31+'ANEXO 3'!D56-'ANEXO 3'!D31,0),0)</f>
        <v>0</v>
      </c>
      <c r="D61" s="116"/>
      <c r="E61" s="69"/>
    </row>
    <row r="62" spans="1:5" ht="22.5" x14ac:dyDescent="0.25">
      <c r="A62" s="162" t="s">
        <v>1124</v>
      </c>
      <c r="B62" s="153" t="s">
        <v>1125</v>
      </c>
      <c r="C62" s="193">
        <f>IF(Generales!C44="SI",ROUND('ANEXO 3'!E56-'ANEXO 3'!E31,0),0)</f>
        <v>0</v>
      </c>
      <c r="D62" s="116"/>
      <c r="E62" s="69"/>
    </row>
    <row r="63" spans="1:5" ht="22.5" x14ac:dyDescent="0.25">
      <c r="A63" s="162" t="s">
        <v>1126</v>
      </c>
      <c r="B63" s="153" t="s">
        <v>1127</v>
      </c>
      <c r="C63" s="193">
        <f>-IF(Generales!C44="SI",ROUND('ANEXO 14'!J10,0),0)</f>
        <v>0</v>
      </c>
      <c r="D63" s="116"/>
      <c r="E63" s="69"/>
    </row>
    <row r="64" spans="1:5" ht="22.5" x14ac:dyDescent="0.25">
      <c r="A64" s="162" t="s">
        <v>1128</v>
      </c>
      <c r="B64" s="153" t="s">
        <v>1129</v>
      </c>
      <c r="C64" s="193">
        <f>IF(Generales!C44="SI",'ANEXO 1'!C143-'ANEXO 1'!D143+'ANEXO 1'!C200-'ANEXO 1'!D200+'ANEXO 1'!C201-'ANEXO 1'!D201-C67,0)</f>
        <v>0</v>
      </c>
      <c r="D64" s="116"/>
      <c r="E64" s="69"/>
    </row>
    <row r="65" spans="1:5" x14ac:dyDescent="0.25">
      <c r="A65" s="162" t="s">
        <v>1130</v>
      </c>
      <c r="B65" s="153" t="s">
        <v>5695</v>
      </c>
      <c r="C65" s="193">
        <f>IF(Generales!C44="SI",'ANEXO 1'!C219-'ANEXO 1'!D219-C35-C66-C67-C63-C64-C68,0)</f>
        <v>0</v>
      </c>
      <c r="D65" s="116"/>
      <c r="E65" s="69"/>
    </row>
    <row r="66" spans="1:5" ht="22.5" x14ac:dyDescent="0.25">
      <c r="A66" s="162" t="s">
        <v>1131</v>
      </c>
      <c r="B66" s="153" t="s">
        <v>1132</v>
      </c>
      <c r="C66" s="193">
        <f>IF(Generales!C44="SI",'ANEXO 1'!C185+'ANEXO 1'!C186-'ANEXO 1'!D185-'ANEXO 1'!D186+'ANEXO 1'!D202-'ANEXO 1'!D202+C63,0)</f>
        <v>0</v>
      </c>
      <c r="D66" s="116"/>
      <c r="E66" s="69"/>
    </row>
    <row r="67" spans="1:5" ht="22.5" x14ac:dyDescent="0.25">
      <c r="A67" s="162" t="s">
        <v>1133</v>
      </c>
      <c r="B67" s="153" t="s">
        <v>1134</v>
      </c>
      <c r="C67" s="116"/>
      <c r="D67" s="116"/>
      <c r="E67" s="69"/>
    </row>
    <row r="68" spans="1:5" ht="22.5" x14ac:dyDescent="0.25">
      <c r="A68" s="162" t="s">
        <v>1135</v>
      </c>
      <c r="B68" s="153" t="s">
        <v>1136</v>
      </c>
      <c r="C68" s="117"/>
      <c r="D68" s="117"/>
      <c r="E68" s="69"/>
    </row>
    <row r="69" spans="1:5" x14ac:dyDescent="0.25">
      <c r="A69" s="162" t="s">
        <v>1137</v>
      </c>
      <c r="B69" s="153" t="s">
        <v>1138</v>
      </c>
      <c r="C69" s="116">
        <f>-C26</f>
        <v>0</v>
      </c>
      <c r="D69" s="116">
        <f>-D26</f>
        <v>0</v>
      </c>
      <c r="E69" s="69"/>
    </row>
    <row r="70" spans="1:5" x14ac:dyDescent="0.25">
      <c r="A70" s="162" t="s">
        <v>1139</v>
      </c>
      <c r="B70" s="153" t="s">
        <v>1140</v>
      </c>
      <c r="C70" s="193">
        <f>IF(Generales!C44="SI",ROUND('ANEXO 3'!U37,0),0)</f>
        <v>0</v>
      </c>
      <c r="D70" s="193">
        <f>IF(Generales!C44="SI",ROUND('ANEXO 3'!U12,0),0)</f>
        <v>0</v>
      </c>
      <c r="E70" s="69"/>
    </row>
    <row r="71" spans="1:5" x14ac:dyDescent="0.25">
      <c r="A71" s="162" t="s">
        <v>1141</v>
      </c>
      <c r="B71" s="153" t="s">
        <v>1142</v>
      </c>
      <c r="C71" s="117"/>
      <c r="D71" s="117"/>
      <c r="E71" s="69"/>
    </row>
    <row r="72" spans="1:5" ht="22.5" x14ac:dyDescent="0.25">
      <c r="A72" s="162" t="s">
        <v>1143</v>
      </c>
      <c r="B72" s="153" t="s">
        <v>1081</v>
      </c>
      <c r="C72" s="52"/>
      <c r="D72" s="52"/>
      <c r="E72" s="69"/>
    </row>
    <row r="73" spans="1:5" x14ac:dyDescent="0.25">
      <c r="A73" s="162"/>
      <c r="B73" s="153"/>
      <c r="C73" s="18"/>
      <c r="D73" s="18"/>
      <c r="E73" s="69"/>
    </row>
    <row r="74" spans="1:5" ht="22.5" x14ac:dyDescent="0.25">
      <c r="A74" s="162" t="s">
        <v>1144</v>
      </c>
      <c r="B74" s="153" t="s">
        <v>1145</v>
      </c>
      <c r="C74" s="116">
        <f>ROUND(SUM(C61:C70)+C72,0)</f>
        <v>0</v>
      </c>
      <c r="D74" s="116">
        <f>ROUND(SUM(D61:D70)+D72,0)</f>
        <v>0</v>
      </c>
      <c r="E74" s="69"/>
    </row>
    <row r="75" spans="1:5" x14ac:dyDescent="0.25">
      <c r="A75" s="162"/>
      <c r="B75" s="153"/>
      <c r="C75" s="18"/>
      <c r="D75" s="18"/>
      <c r="E75" s="69"/>
    </row>
    <row r="76" spans="1:5" ht="22.5" x14ac:dyDescent="0.25">
      <c r="A76" s="162" t="s">
        <v>1146</v>
      </c>
      <c r="B76" s="153" t="s">
        <v>1147</v>
      </c>
      <c r="C76" s="116">
        <f>ROUND(C57+C56+C74,0)</f>
        <v>0</v>
      </c>
      <c r="D76" s="116">
        <f>ROUND(D57+D56+D74,0)</f>
        <v>0</v>
      </c>
      <c r="E76" s="69"/>
    </row>
    <row r="77" spans="1:5" x14ac:dyDescent="0.25">
      <c r="A77" s="162"/>
      <c r="B77" s="153"/>
      <c r="C77" s="18"/>
      <c r="D77" s="18"/>
      <c r="E77" s="69"/>
    </row>
    <row r="78" spans="1:5" ht="22.5" x14ac:dyDescent="0.25">
      <c r="A78" s="162"/>
      <c r="B78" s="179" t="s">
        <v>1148</v>
      </c>
      <c r="C78" s="51"/>
      <c r="D78" s="18"/>
      <c r="E78" s="69"/>
    </row>
    <row r="79" spans="1:5" x14ac:dyDescent="0.25">
      <c r="A79" s="162"/>
      <c r="B79" s="153"/>
      <c r="C79" s="18"/>
      <c r="D79" s="18"/>
      <c r="E79" s="69"/>
    </row>
    <row r="80" spans="1:5" ht="45" x14ac:dyDescent="0.25">
      <c r="A80" s="162" t="s">
        <v>1149</v>
      </c>
      <c r="B80" s="153" t="s">
        <v>1202</v>
      </c>
      <c r="C80" s="116"/>
      <c r="D80" s="116"/>
      <c r="E80" s="69"/>
    </row>
    <row r="81" spans="1:5" ht="56.25" x14ac:dyDescent="0.25">
      <c r="A81" s="162" t="s">
        <v>1150</v>
      </c>
      <c r="B81" s="153" t="s">
        <v>5441</v>
      </c>
      <c r="C81" s="116"/>
      <c r="D81" s="116"/>
      <c r="E81" s="69"/>
    </row>
    <row r="82" spans="1:5" ht="22.5" x14ac:dyDescent="0.25">
      <c r="A82" s="162" t="s">
        <v>1151</v>
      </c>
      <c r="B82" s="153" t="s">
        <v>1152</v>
      </c>
      <c r="C82" s="52"/>
      <c r="D82" s="52"/>
      <c r="E82" s="69"/>
    </row>
    <row r="83" spans="1:5" ht="22.5" x14ac:dyDescent="0.25">
      <c r="A83" s="162" t="s">
        <v>1153</v>
      </c>
      <c r="B83" s="153" t="s">
        <v>1154</v>
      </c>
      <c r="C83" s="116">
        <f>ROUND(SUM(C80:C82),0)</f>
        <v>0</v>
      </c>
      <c r="D83" s="116">
        <f>ROUND(SUM(D80:D82),0)</f>
        <v>0</v>
      </c>
      <c r="E83" s="69"/>
    </row>
    <row r="84" spans="1:5" x14ac:dyDescent="0.25">
      <c r="A84" s="162" t="s">
        <v>1155</v>
      </c>
      <c r="B84" s="153" t="s">
        <v>1156</v>
      </c>
      <c r="C84" s="193">
        <f>IF(Generales!C44="SI",ROUND('ANEXO 1'!D16,0),0)</f>
        <v>0</v>
      </c>
      <c r="D84" s="116"/>
      <c r="E84" s="69"/>
    </row>
    <row r="85" spans="1:5" x14ac:dyDescent="0.25">
      <c r="A85" s="162"/>
      <c r="B85" s="153"/>
      <c r="C85" s="18"/>
      <c r="D85" s="18"/>
      <c r="E85" s="69"/>
    </row>
    <row r="86" spans="1:5" x14ac:dyDescent="0.25">
      <c r="A86" s="162" t="s">
        <v>1157</v>
      </c>
      <c r="B86" s="153" t="s">
        <v>1158</v>
      </c>
      <c r="C86" s="116">
        <f>ROUND(C76+C84+C83,0)</f>
        <v>0</v>
      </c>
      <c r="D86" s="116">
        <f>ROUND(D76+D84+D83,0)</f>
        <v>0</v>
      </c>
      <c r="E86" s="69"/>
    </row>
    <row r="87" spans="1:5" x14ac:dyDescent="0.25">
      <c r="A87" s="162"/>
      <c r="B87" s="153"/>
      <c r="C87" s="18"/>
      <c r="D87" s="18"/>
      <c r="E87" s="69"/>
    </row>
    <row r="88" spans="1:5" x14ac:dyDescent="0.25">
      <c r="A88" s="175"/>
      <c r="B88" s="176"/>
      <c r="C88" s="29"/>
      <c r="D88" s="29"/>
      <c r="E88" s="69"/>
    </row>
    <row r="89" spans="1:5" x14ac:dyDescent="0.25">
      <c r="A89" s="162"/>
      <c r="B89" s="179" t="s">
        <v>1159</v>
      </c>
      <c r="C89" s="51"/>
      <c r="D89" s="18"/>
      <c r="E89" s="69"/>
    </row>
    <row r="90" spans="1:5" x14ac:dyDescent="0.25">
      <c r="A90" s="162"/>
      <c r="B90" s="153"/>
      <c r="C90" s="18"/>
      <c r="D90" s="18"/>
      <c r="E90" s="69"/>
    </row>
    <row r="91" spans="1:5" x14ac:dyDescent="0.25">
      <c r="A91" s="162"/>
      <c r="B91" s="179" t="s">
        <v>1061</v>
      </c>
      <c r="C91" s="51"/>
      <c r="D91" s="18"/>
      <c r="E91" s="69"/>
    </row>
    <row r="92" spans="1:5" x14ac:dyDescent="0.25">
      <c r="A92" s="162"/>
      <c r="B92" s="153"/>
      <c r="C92" s="18"/>
      <c r="D92" s="18"/>
      <c r="E92" s="69"/>
    </row>
    <row r="93" spans="1:5" x14ac:dyDescent="0.25">
      <c r="A93" s="162" t="s">
        <v>1160</v>
      </c>
      <c r="B93" s="153" t="s">
        <v>1161</v>
      </c>
      <c r="C93" s="193">
        <f>IF(Generales!C45="SI",'ANEXO 1'!C16-'ANEXO 1'!D16-'ANEXO 4'!C94-'ANEXO 4'!C95-'ANEXO 4'!C96-'ANEXO 4'!C97-C98-'ANEXO 4'!C113+SUM(C120:C131)-SUM(C139:C141),0)</f>
        <v>0</v>
      </c>
      <c r="D93" s="116"/>
      <c r="E93" s="69"/>
    </row>
    <row r="94" spans="1:5" x14ac:dyDescent="0.25">
      <c r="A94" s="162" t="s">
        <v>1162</v>
      </c>
      <c r="B94" s="153" t="s">
        <v>1163</v>
      </c>
      <c r="C94" s="118"/>
      <c r="D94" s="116"/>
      <c r="E94" s="69"/>
    </row>
    <row r="95" spans="1:5" ht="22.5" x14ac:dyDescent="0.25">
      <c r="A95" s="162" t="s">
        <v>1164</v>
      </c>
      <c r="B95" s="153" t="s">
        <v>1165</v>
      </c>
      <c r="C95" s="116"/>
      <c r="D95" s="116"/>
      <c r="E95" s="69"/>
    </row>
    <row r="96" spans="1:5" x14ac:dyDescent="0.25">
      <c r="A96" s="162" t="s">
        <v>1166</v>
      </c>
      <c r="B96" s="153" t="s">
        <v>1091</v>
      </c>
      <c r="C96" s="118"/>
      <c r="D96" s="116"/>
      <c r="E96" s="69"/>
    </row>
    <row r="97" spans="1:5" ht="22.5" x14ac:dyDescent="0.25">
      <c r="A97" s="162" t="s">
        <v>1167</v>
      </c>
      <c r="B97" s="153" t="s">
        <v>1093</v>
      </c>
      <c r="C97" s="116"/>
      <c r="D97" s="116"/>
      <c r="E97" s="69"/>
    </row>
    <row r="98" spans="1:5" x14ac:dyDescent="0.25">
      <c r="A98" s="162" t="s">
        <v>1168</v>
      </c>
      <c r="B98" s="153" t="s">
        <v>1169</v>
      </c>
      <c r="C98" s="52"/>
      <c r="D98" s="52"/>
      <c r="E98" s="69"/>
    </row>
    <row r="99" spans="1:5" ht="22.5" x14ac:dyDescent="0.25">
      <c r="A99" s="162" t="s">
        <v>1170</v>
      </c>
      <c r="B99" s="153" t="s">
        <v>1171</v>
      </c>
      <c r="C99" s="116">
        <f>ROUND(SUM(C93:C97)+C98,0)</f>
        <v>0</v>
      </c>
      <c r="D99" s="116">
        <f>ROUND(SUM(D93:D97)+D98,0)</f>
        <v>0</v>
      </c>
      <c r="E99" s="69"/>
    </row>
    <row r="100" spans="1:5" x14ac:dyDescent="0.25">
      <c r="A100" s="162"/>
      <c r="B100" s="153"/>
      <c r="C100" s="18"/>
      <c r="D100" s="18"/>
      <c r="E100" s="69"/>
    </row>
    <row r="101" spans="1:5" x14ac:dyDescent="0.25">
      <c r="A101" s="162"/>
      <c r="B101" s="179" t="s">
        <v>1172</v>
      </c>
      <c r="C101" s="51"/>
      <c r="D101" s="18"/>
      <c r="E101" s="69"/>
    </row>
    <row r="102" spans="1:5" x14ac:dyDescent="0.25">
      <c r="A102" s="162"/>
      <c r="B102" s="153"/>
      <c r="C102" s="18"/>
      <c r="D102" s="18"/>
      <c r="E102" s="69"/>
    </row>
    <row r="103" spans="1:5" ht="22.5" x14ac:dyDescent="0.25">
      <c r="A103" s="162" t="s">
        <v>1173</v>
      </c>
      <c r="B103" s="153" t="s">
        <v>1100</v>
      </c>
      <c r="C103" s="116"/>
      <c r="D103" s="116"/>
      <c r="E103" s="69"/>
    </row>
    <row r="104" spans="1:5" x14ac:dyDescent="0.25">
      <c r="A104" s="162" t="s">
        <v>1174</v>
      </c>
      <c r="B104" s="153" t="s">
        <v>1102</v>
      </c>
      <c r="C104" s="116"/>
      <c r="D104" s="116"/>
      <c r="E104" s="69"/>
    </row>
    <row r="105" spans="1:5" x14ac:dyDescent="0.25">
      <c r="A105" s="162" t="s">
        <v>1175</v>
      </c>
      <c r="B105" s="153" t="s">
        <v>1073</v>
      </c>
      <c r="C105" s="193">
        <f>IF(Generales!C45="SI",ROUND('ANEXO 5'!C34+'ANEXO 5'!C35,0),0)</f>
        <v>0</v>
      </c>
      <c r="D105" s="193">
        <f>IF(Generales!C45="SI",ROUND('ANEXO 5'!D34+'ANEXO 5'!D35,0),0)</f>
        <v>0</v>
      </c>
      <c r="E105" s="69"/>
    </row>
    <row r="106" spans="1:5" x14ac:dyDescent="0.25">
      <c r="A106" s="162" t="s">
        <v>1176</v>
      </c>
      <c r="B106" s="153" t="s">
        <v>1105</v>
      </c>
      <c r="C106" s="193">
        <f>IF(Generales!C45="SI",ROUND('ANEXO 1'!D87-'ANEXO 1'!C87,0),0)</f>
        <v>0</v>
      </c>
      <c r="D106" s="116"/>
      <c r="E106" s="69"/>
    </row>
    <row r="107" spans="1:5" ht="22.5" x14ac:dyDescent="0.25">
      <c r="A107" s="162" t="s">
        <v>1177</v>
      </c>
      <c r="B107" s="153" t="s">
        <v>1107</v>
      </c>
      <c r="C107" s="116"/>
      <c r="D107" s="116"/>
      <c r="E107" s="69"/>
    </row>
    <row r="108" spans="1:5" x14ac:dyDescent="0.25">
      <c r="A108" s="162" t="s">
        <v>1178</v>
      </c>
      <c r="B108" s="153" t="s">
        <v>1109</v>
      </c>
      <c r="C108" s="118"/>
      <c r="D108" s="116"/>
      <c r="E108" s="69"/>
    </row>
    <row r="109" spans="1:5" x14ac:dyDescent="0.25">
      <c r="A109" s="162" t="s">
        <v>1179</v>
      </c>
      <c r="B109" s="153" t="s">
        <v>1180</v>
      </c>
      <c r="C109" s="193">
        <f>IF(Generales!C45="SI",ROUND('ANEXO 1'!D113-'ANEXO 1'!C113+'ANEXO 1'!D114-'ANEXO 1'!C114+'ANEXO 1'!D115-'ANEXO 1'!C115+'ANEXO 1'!D118-'ANEXO 1'!C118,0),0)</f>
        <v>0</v>
      </c>
      <c r="D109" s="116"/>
      <c r="E109" s="69"/>
    </row>
    <row r="110" spans="1:5" x14ac:dyDescent="0.25">
      <c r="A110" s="162" t="s">
        <v>1181</v>
      </c>
      <c r="B110" s="153" t="s">
        <v>1113</v>
      </c>
      <c r="C110" s="118"/>
      <c r="D110" s="116"/>
      <c r="E110" s="69"/>
    </row>
    <row r="111" spans="1:5" ht="22.5" x14ac:dyDescent="0.25">
      <c r="A111" s="162" t="s">
        <v>1182</v>
      </c>
      <c r="B111" s="153" t="s">
        <v>1075</v>
      </c>
      <c r="C111" s="52"/>
      <c r="D111" s="52"/>
      <c r="E111" s="69"/>
    </row>
    <row r="112" spans="1:5" x14ac:dyDescent="0.25">
      <c r="A112" s="162"/>
      <c r="B112" s="153"/>
      <c r="C112" s="18"/>
      <c r="D112" s="18"/>
      <c r="E112" s="69"/>
    </row>
    <row r="113" spans="1:5" ht="22.5" x14ac:dyDescent="0.25">
      <c r="A113" s="162" t="s">
        <v>1183</v>
      </c>
      <c r="B113" s="153" t="s">
        <v>1116</v>
      </c>
      <c r="C113" s="116">
        <f>ROUND(SUM(C103:C111),0)</f>
        <v>0</v>
      </c>
      <c r="D113" s="116">
        <f>ROUND(SUM(D103:D111),0)</f>
        <v>0</v>
      </c>
      <c r="E113" s="69"/>
    </row>
    <row r="114" spans="1:5" x14ac:dyDescent="0.25">
      <c r="A114" s="162"/>
      <c r="B114" s="153"/>
      <c r="C114" s="18"/>
      <c r="D114" s="18"/>
      <c r="E114" s="69"/>
    </row>
    <row r="115" spans="1:5" ht="33.75" x14ac:dyDescent="0.25">
      <c r="A115" s="162" t="s">
        <v>1184</v>
      </c>
      <c r="B115" s="153" t="s">
        <v>1185</v>
      </c>
      <c r="C115" s="116">
        <f>ROUND(IF(C99+C113&gt;0,C99+C113,0),0)</f>
        <v>0</v>
      </c>
      <c r="D115" s="116">
        <f>ROUND(IF(D99+D113&gt;0,D99+D113,0),0)</f>
        <v>0</v>
      </c>
      <c r="E115" s="69"/>
    </row>
    <row r="116" spans="1:5" ht="22.5" x14ac:dyDescent="0.25">
      <c r="A116" s="162" t="s">
        <v>1186</v>
      </c>
      <c r="B116" s="153" t="s">
        <v>1120</v>
      </c>
      <c r="C116" s="116">
        <f>ROUND(IF(C99+C113&lt;0,C99+C113,0),0)</f>
        <v>0</v>
      </c>
      <c r="D116" s="116">
        <f>ROUND(IF(D99+D113&lt;0,D99+D113,0),0)</f>
        <v>0</v>
      </c>
      <c r="E116" s="69"/>
    </row>
    <row r="117" spans="1:5" x14ac:dyDescent="0.25">
      <c r="A117" s="162"/>
      <c r="B117" s="153"/>
      <c r="C117" s="18"/>
      <c r="D117" s="18"/>
      <c r="E117" s="69"/>
    </row>
    <row r="118" spans="1:5" x14ac:dyDescent="0.25">
      <c r="A118" s="162"/>
      <c r="B118" s="179" t="s">
        <v>1121</v>
      </c>
      <c r="C118" s="51"/>
      <c r="D118" s="18"/>
      <c r="E118" s="69"/>
    </row>
    <row r="119" spans="1:5" x14ac:dyDescent="0.25">
      <c r="A119" s="162"/>
      <c r="B119" s="153"/>
      <c r="C119" s="18"/>
      <c r="D119" s="18"/>
      <c r="E119" s="69"/>
    </row>
    <row r="120" spans="1:5" ht="22.5" x14ac:dyDescent="0.25">
      <c r="A120" s="162" t="s">
        <v>1187</v>
      </c>
      <c r="B120" s="153" t="s">
        <v>1123</v>
      </c>
      <c r="C120" s="193">
        <f>IF(Generales!C45="SI",ROUND('ANEXO 14'!H10,0),0)</f>
        <v>0</v>
      </c>
      <c r="D120" s="116"/>
      <c r="E120" s="69"/>
    </row>
    <row r="121" spans="1:5" ht="22.5" x14ac:dyDescent="0.25">
      <c r="A121" s="162" t="s">
        <v>1188</v>
      </c>
      <c r="B121" s="153" t="s">
        <v>1125</v>
      </c>
      <c r="C121" s="118"/>
      <c r="D121" s="116"/>
      <c r="E121" s="69"/>
    </row>
    <row r="122" spans="1:5" ht="22.5" x14ac:dyDescent="0.25">
      <c r="A122" s="162" t="s">
        <v>1189</v>
      </c>
      <c r="B122" s="153" t="s">
        <v>1127</v>
      </c>
      <c r="C122" s="193">
        <f>IF(Generales!C45="SI",ROUND('ANEXO 14'!J10,0),0)</f>
        <v>0</v>
      </c>
      <c r="D122" s="116"/>
      <c r="E122" s="69"/>
    </row>
    <row r="123" spans="1:5" ht="22.5" x14ac:dyDescent="0.25">
      <c r="A123" s="162" t="s">
        <v>1190</v>
      </c>
      <c r="B123" s="153" t="s">
        <v>1129</v>
      </c>
      <c r="C123" s="118"/>
      <c r="D123" s="116"/>
      <c r="E123" s="69"/>
    </row>
    <row r="124" spans="1:5" x14ac:dyDescent="0.25">
      <c r="A124" s="162" t="s">
        <v>1191</v>
      </c>
      <c r="B124" s="153" t="s">
        <v>5695</v>
      </c>
      <c r="C124" s="118"/>
      <c r="D124" s="116"/>
      <c r="E124" s="69"/>
    </row>
    <row r="125" spans="1:5" ht="22.5" x14ac:dyDescent="0.25">
      <c r="A125" s="162" t="s">
        <v>1192</v>
      </c>
      <c r="B125" s="153" t="s">
        <v>1132</v>
      </c>
      <c r="C125" s="118"/>
      <c r="D125" s="116"/>
      <c r="E125" s="69"/>
    </row>
    <row r="126" spans="1:5" ht="22.5" x14ac:dyDescent="0.25">
      <c r="A126" s="162" t="s">
        <v>1193</v>
      </c>
      <c r="B126" s="153" t="s">
        <v>1134</v>
      </c>
      <c r="C126" s="116"/>
      <c r="D126" s="116"/>
      <c r="E126" s="69"/>
    </row>
    <row r="127" spans="1:5" ht="22.5" x14ac:dyDescent="0.25">
      <c r="A127" s="162" t="s">
        <v>1194</v>
      </c>
      <c r="B127" s="153" t="s">
        <v>1136</v>
      </c>
      <c r="C127" s="117"/>
      <c r="D127" s="117"/>
      <c r="E127" s="69"/>
    </row>
    <row r="128" spans="1:5" x14ac:dyDescent="0.25">
      <c r="A128" s="162" t="s">
        <v>1195</v>
      </c>
      <c r="B128" s="153" t="s">
        <v>1138</v>
      </c>
      <c r="C128" s="193">
        <f>IF(Generales!C45="SI",ROUND('ANEXO 8'!C36,0),0)</f>
        <v>0</v>
      </c>
      <c r="D128" s="116"/>
      <c r="E128" s="69"/>
    </row>
    <row r="129" spans="1:5" x14ac:dyDescent="0.25">
      <c r="A129" s="162" t="s">
        <v>1196</v>
      </c>
      <c r="B129" s="153" t="s">
        <v>1140</v>
      </c>
      <c r="C129" s="193">
        <f>IF(Generales!C45="SI",ROUND('ANEXO 3'!U37,0),0)</f>
        <v>0</v>
      </c>
      <c r="D129" s="116"/>
      <c r="E129" s="69"/>
    </row>
    <row r="130" spans="1:5" x14ac:dyDescent="0.25">
      <c r="A130" s="162" t="s">
        <v>1197</v>
      </c>
      <c r="B130" s="153" t="s">
        <v>1142</v>
      </c>
      <c r="C130" s="117"/>
      <c r="D130" s="117"/>
      <c r="E130" s="69"/>
    </row>
    <row r="131" spans="1:5" ht="22.5" x14ac:dyDescent="0.25">
      <c r="A131" s="162" t="s">
        <v>1198</v>
      </c>
      <c r="B131" s="153" t="s">
        <v>1081</v>
      </c>
      <c r="C131" s="52"/>
      <c r="D131" s="52"/>
      <c r="E131" s="69"/>
    </row>
    <row r="132" spans="1:5" x14ac:dyDescent="0.25">
      <c r="A132" s="162"/>
      <c r="B132" s="153"/>
      <c r="C132" s="18"/>
      <c r="D132" s="18"/>
      <c r="E132" s="69"/>
    </row>
    <row r="133" spans="1:5" ht="22.5" x14ac:dyDescent="0.25">
      <c r="A133" s="162" t="s">
        <v>1199</v>
      </c>
      <c r="B133" s="153" t="s">
        <v>1145</v>
      </c>
      <c r="C133" s="116">
        <f>ROUND(SUM(C120:C131),0)</f>
        <v>0</v>
      </c>
      <c r="D133" s="116">
        <f>ROUND(SUM(D120:D131),0)</f>
        <v>0</v>
      </c>
      <c r="E133" s="69"/>
    </row>
    <row r="134" spans="1:5" x14ac:dyDescent="0.25">
      <c r="A134" s="162"/>
      <c r="B134" s="153"/>
      <c r="C134" s="18"/>
      <c r="D134" s="18"/>
      <c r="E134" s="69"/>
    </row>
    <row r="135" spans="1:5" ht="22.5" x14ac:dyDescent="0.25">
      <c r="A135" s="162" t="s">
        <v>1200</v>
      </c>
      <c r="B135" s="153" t="s">
        <v>1147</v>
      </c>
      <c r="C135" s="116">
        <f>ROUND(C116+C115-C133,0)</f>
        <v>0</v>
      </c>
      <c r="D135" s="116">
        <f>ROUND(D116+D115-D133,0)</f>
        <v>0</v>
      </c>
      <c r="E135" s="69"/>
    </row>
    <row r="136" spans="1:5" x14ac:dyDescent="0.25">
      <c r="A136" s="162"/>
      <c r="B136" s="153"/>
      <c r="C136" s="18"/>
      <c r="D136" s="18"/>
      <c r="E136" s="69"/>
    </row>
    <row r="137" spans="1:5" ht="22.5" x14ac:dyDescent="0.25">
      <c r="A137" s="162"/>
      <c r="B137" s="179" t="s">
        <v>1148</v>
      </c>
      <c r="C137" s="18"/>
      <c r="D137" s="18"/>
      <c r="E137" s="69"/>
    </row>
    <row r="138" spans="1:5" x14ac:dyDescent="0.25">
      <c r="A138" s="162"/>
      <c r="B138" s="153"/>
      <c r="C138" s="18"/>
      <c r="D138" s="18"/>
      <c r="E138" s="69"/>
    </row>
    <row r="139" spans="1:5" ht="45" x14ac:dyDescent="0.25">
      <c r="A139" s="162" t="s">
        <v>1201</v>
      </c>
      <c r="B139" s="153" t="s">
        <v>1202</v>
      </c>
      <c r="C139" s="116"/>
      <c r="D139" s="116"/>
      <c r="E139" s="69"/>
    </row>
    <row r="140" spans="1:5" ht="56.25" x14ac:dyDescent="0.25">
      <c r="A140" s="162" t="s">
        <v>1203</v>
      </c>
      <c r="B140" s="153" t="s">
        <v>5442</v>
      </c>
      <c r="C140" s="116"/>
      <c r="D140" s="116"/>
      <c r="E140" s="69"/>
    </row>
    <row r="141" spans="1:5" ht="22.5" x14ac:dyDescent="0.25">
      <c r="A141" s="162" t="s">
        <v>1204</v>
      </c>
      <c r="B141" s="153" t="s">
        <v>1152</v>
      </c>
      <c r="C141" s="52"/>
      <c r="D141" s="52"/>
      <c r="E141" s="69"/>
    </row>
    <row r="142" spans="1:5" ht="22.5" x14ac:dyDescent="0.25">
      <c r="A142" s="162" t="s">
        <v>1205</v>
      </c>
      <c r="B142" s="153" t="s">
        <v>1154</v>
      </c>
      <c r="C142" s="116">
        <f>ROUND(SUM(C139:C141),0)</f>
        <v>0</v>
      </c>
      <c r="D142" s="116">
        <f>ROUND(SUM(D139:D141),0)</f>
        <v>0</v>
      </c>
      <c r="E142" s="69"/>
    </row>
    <row r="143" spans="1:5" x14ac:dyDescent="0.25">
      <c r="A143" s="162"/>
      <c r="B143" s="153"/>
      <c r="C143" s="18"/>
      <c r="D143" s="18"/>
      <c r="E143" s="69"/>
    </row>
    <row r="144" spans="1:5" x14ac:dyDescent="0.25">
      <c r="A144" s="162" t="s">
        <v>1206</v>
      </c>
      <c r="B144" s="153" t="s">
        <v>1156</v>
      </c>
      <c r="C144" s="193">
        <f>IF(Generales!C45="SI",ROUND('ANEXO 1'!D16,0),0)</f>
        <v>0</v>
      </c>
      <c r="D144" s="116"/>
      <c r="E144" s="69"/>
    </row>
    <row r="145" spans="1:5" x14ac:dyDescent="0.25">
      <c r="A145" s="162"/>
      <c r="B145" s="153"/>
      <c r="C145" s="18"/>
      <c r="D145" s="18"/>
      <c r="E145" s="69"/>
    </row>
    <row r="146" spans="1:5" x14ac:dyDescent="0.25">
      <c r="A146" s="162" t="s">
        <v>1207</v>
      </c>
      <c r="B146" s="153" t="s">
        <v>1158</v>
      </c>
      <c r="C146" s="116">
        <f>ROUND(C135+C144+C142,0)</f>
        <v>0</v>
      </c>
      <c r="D146" s="116">
        <f>ROUND(D135+D144+D142,0)</f>
        <v>0</v>
      </c>
      <c r="E146" s="69"/>
    </row>
    <row r="147" spans="1:5" x14ac:dyDescent="0.25">
      <c r="A147" s="162"/>
      <c r="B147" s="153"/>
      <c r="C147" s="18"/>
      <c r="D147" s="18"/>
      <c r="E147" s="69"/>
    </row>
    <row r="148" spans="1:5" ht="22.5" x14ac:dyDescent="0.25">
      <c r="A148" s="162"/>
      <c r="B148" s="153" t="s">
        <v>885</v>
      </c>
      <c r="C148" s="18"/>
      <c r="D148" s="18"/>
      <c r="E148" s="69"/>
    </row>
    <row r="149" spans="1:5" ht="8.1" customHeight="1" x14ac:dyDescent="0.25">
      <c r="A149" s="70" t="s">
        <v>0</v>
      </c>
      <c r="B149" s="152"/>
      <c r="C149" s="70"/>
      <c r="D149" s="70"/>
      <c r="E149"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49"/>
  <sheetViews>
    <sheetView workbookViewId="0"/>
  </sheetViews>
  <sheetFormatPr defaultColWidth="11.5703125" defaultRowHeight="15" x14ac:dyDescent="0.25"/>
  <cols>
    <col min="1" max="1" width="14.28515625" style="107" customWidth="1"/>
    <col min="2" max="2" width="35.7109375" style="107" customWidth="1"/>
    <col min="3" max="8" width="18.7109375" style="107" customWidth="1"/>
    <col min="9" max="9" width="1.7109375" style="107" customWidth="1"/>
    <col min="10" max="16384" width="11.5703125" style="107"/>
  </cols>
  <sheetData>
    <row r="1" spans="1:9" x14ac:dyDescent="0.25">
      <c r="A1" s="42" t="s">
        <v>0</v>
      </c>
      <c r="B1" s="123" t="s">
        <v>5611</v>
      </c>
      <c r="C1" s="42"/>
      <c r="D1" s="42"/>
      <c r="E1" s="42" t="s">
        <v>0</v>
      </c>
      <c r="F1" s="42" t="s">
        <v>0</v>
      </c>
      <c r="G1" s="42" t="s">
        <v>0</v>
      </c>
      <c r="H1" s="42" t="s">
        <v>0</v>
      </c>
      <c r="I1" s="69" t="s">
        <v>0</v>
      </c>
    </row>
    <row r="2" spans="1:9" ht="56.25" x14ac:dyDescent="0.25">
      <c r="A2" s="121" t="s">
        <v>5597</v>
      </c>
      <c r="B2" s="121" t="s">
        <v>5598</v>
      </c>
      <c r="C2" s="44" t="s">
        <v>2885</v>
      </c>
      <c r="D2" s="44" t="s">
        <v>2886</v>
      </c>
      <c r="E2" s="44" t="s">
        <v>2887</v>
      </c>
      <c r="F2" s="44" t="s">
        <v>2888</v>
      </c>
      <c r="G2" s="44" t="s">
        <v>2889</v>
      </c>
      <c r="H2" s="44" t="s">
        <v>2890</v>
      </c>
      <c r="I2" s="69" t="s">
        <v>0</v>
      </c>
    </row>
    <row r="3" spans="1:9" x14ac:dyDescent="0.25">
      <c r="A3" s="163"/>
      <c r="B3" s="46" t="s">
        <v>0</v>
      </c>
      <c r="C3" s="137"/>
      <c r="D3" s="137"/>
      <c r="E3" s="137"/>
      <c r="F3" s="137"/>
      <c r="G3" s="137"/>
      <c r="H3" s="137"/>
      <c r="I3" s="69"/>
    </row>
    <row r="4" spans="1:9" x14ac:dyDescent="0.25">
      <c r="A4" s="163"/>
      <c r="B4" s="49" t="s">
        <v>5626</v>
      </c>
      <c r="C4" s="137"/>
      <c r="D4" s="137"/>
      <c r="E4" s="137"/>
      <c r="F4" s="137"/>
      <c r="G4" s="137"/>
      <c r="H4" s="137"/>
      <c r="I4" s="69"/>
    </row>
    <row r="5" spans="1:9" x14ac:dyDescent="0.25">
      <c r="A5" s="163"/>
      <c r="B5" s="47" t="s">
        <v>0</v>
      </c>
      <c r="C5" s="137"/>
      <c r="D5" s="137"/>
      <c r="E5" s="137"/>
      <c r="F5" s="137"/>
      <c r="G5" s="137"/>
      <c r="H5" s="137"/>
      <c r="I5" s="69"/>
    </row>
    <row r="6" spans="1:9" x14ac:dyDescent="0.25">
      <c r="A6" s="163"/>
      <c r="B6" s="131" t="s">
        <v>5636</v>
      </c>
      <c r="C6" s="137"/>
      <c r="D6" s="137"/>
      <c r="E6" s="137"/>
      <c r="F6" s="137"/>
      <c r="G6" s="137"/>
      <c r="H6" s="137"/>
      <c r="I6" s="69"/>
    </row>
    <row r="7" spans="1:9" x14ac:dyDescent="0.25">
      <c r="A7" s="163"/>
      <c r="B7" s="160"/>
      <c r="C7" s="137"/>
      <c r="D7" s="137"/>
      <c r="E7" s="137"/>
      <c r="F7" s="137"/>
      <c r="G7" s="137"/>
      <c r="H7" s="137"/>
      <c r="I7" s="69"/>
    </row>
    <row r="8" spans="1:9" x14ac:dyDescent="0.25">
      <c r="A8" s="162" t="s">
        <v>2891</v>
      </c>
      <c r="B8" s="153" t="s">
        <v>2892</v>
      </c>
      <c r="C8" s="116"/>
      <c r="D8" s="116"/>
      <c r="E8" s="116"/>
      <c r="F8" s="116"/>
      <c r="G8" s="116"/>
      <c r="H8" s="116">
        <f t="shared" ref="H8:H15" si="0">ROUND(C8+D8-E8-F8-G8,0)</f>
        <v>0</v>
      </c>
      <c r="I8" s="69"/>
    </row>
    <row r="9" spans="1:9" x14ac:dyDescent="0.25">
      <c r="A9" s="162" t="s">
        <v>2893</v>
      </c>
      <c r="B9" s="153" t="s">
        <v>2894</v>
      </c>
      <c r="C9" s="116"/>
      <c r="D9" s="116"/>
      <c r="E9" s="116"/>
      <c r="F9" s="116"/>
      <c r="G9" s="116"/>
      <c r="H9" s="116">
        <f t="shared" si="0"/>
        <v>0</v>
      </c>
      <c r="I9" s="69"/>
    </row>
    <row r="10" spans="1:9" x14ac:dyDescent="0.25">
      <c r="A10" s="162" t="s">
        <v>2895</v>
      </c>
      <c r="B10" s="153" t="s">
        <v>2896</v>
      </c>
      <c r="C10" s="116"/>
      <c r="D10" s="116"/>
      <c r="E10" s="116"/>
      <c r="F10" s="116"/>
      <c r="G10" s="116"/>
      <c r="H10" s="116">
        <f t="shared" si="0"/>
        <v>0</v>
      </c>
      <c r="I10" s="69"/>
    </row>
    <row r="11" spans="1:9" x14ac:dyDescent="0.25">
      <c r="A11" s="162" t="s">
        <v>2897</v>
      </c>
      <c r="B11" s="153" t="s">
        <v>2898</v>
      </c>
      <c r="C11" s="116"/>
      <c r="D11" s="116"/>
      <c r="E11" s="116"/>
      <c r="F11" s="116"/>
      <c r="G11" s="116"/>
      <c r="H11" s="116">
        <f t="shared" si="0"/>
        <v>0</v>
      </c>
      <c r="I11" s="69"/>
    </row>
    <row r="12" spans="1:9" x14ac:dyDescent="0.25">
      <c r="A12" s="162" t="s">
        <v>2899</v>
      </c>
      <c r="B12" s="153" t="s">
        <v>2900</v>
      </c>
      <c r="C12" s="116"/>
      <c r="D12" s="116"/>
      <c r="E12" s="116"/>
      <c r="F12" s="116"/>
      <c r="G12" s="116"/>
      <c r="H12" s="116">
        <f t="shared" si="0"/>
        <v>0</v>
      </c>
      <c r="I12" s="69"/>
    </row>
    <row r="13" spans="1:9" x14ac:dyDescent="0.25">
      <c r="A13" s="162" t="s">
        <v>2901</v>
      </c>
      <c r="B13" s="153" t="s">
        <v>2902</v>
      </c>
      <c r="C13" s="116"/>
      <c r="D13" s="116"/>
      <c r="E13" s="116"/>
      <c r="F13" s="116"/>
      <c r="G13" s="116"/>
      <c r="H13" s="116">
        <f t="shared" si="0"/>
        <v>0</v>
      </c>
      <c r="I13" s="69"/>
    </row>
    <row r="14" spans="1:9" ht="56.25" x14ac:dyDescent="0.25">
      <c r="A14" s="162" t="s">
        <v>2903</v>
      </c>
      <c r="B14" s="153" t="s">
        <v>5435</v>
      </c>
      <c r="C14" s="185"/>
      <c r="D14" s="185"/>
      <c r="E14" s="185"/>
      <c r="F14" s="185"/>
      <c r="G14" s="185"/>
      <c r="H14" s="185">
        <f t="shared" si="0"/>
        <v>0</v>
      </c>
      <c r="I14" s="149"/>
    </row>
    <row r="15" spans="1:9" ht="45" x14ac:dyDescent="0.25">
      <c r="A15" s="162" t="s">
        <v>2905</v>
      </c>
      <c r="B15" s="153" t="s">
        <v>5436</v>
      </c>
      <c r="C15" s="185"/>
      <c r="D15" s="185"/>
      <c r="E15" s="185"/>
      <c r="F15" s="185"/>
      <c r="G15" s="185"/>
      <c r="H15" s="185">
        <f t="shared" si="0"/>
        <v>0</v>
      </c>
      <c r="I15" s="149"/>
    </row>
    <row r="16" spans="1:9" x14ac:dyDescent="0.25">
      <c r="A16" s="162" t="s">
        <v>2906</v>
      </c>
      <c r="B16" s="153" t="s">
        <v>2904</v>
      </c>
      <c r="C16" s="52"/>
      <c r="D16" s="52"/>
      <c r="E16" s="52"/>
      <c r="F16" s="52"/>
      <c r="G16" s="52"/>
      <c r="H16" s="52"/>
      <c r="I16" s="69"/>
    </row>
    <row r="17" spans="1:9" ht="22.5" x14ac:dyDescent="0.25">
      <c r="A17" s="162" t="s">
        <v>2908</v>
      </c>
      <c r="B17" s="153" t="s">
        <v>5437</v>
      </c>
      <c r="C17" s="185"/>
      <c r="D17" s="185"/>
      <c r="E17" s="185"/>
      <c r="F17" s="185"/>
      <c r="G17" s="185"/>
      <c r="H17" s="185">
        <f t="shared" ref="H17:H25" si="1">ROUND(C17+D17-E17-F17-G17,0)</f>
        <v>0</v>
      </c>
      <c r="I17" s="149"/>
    </row>
    <row r="18" spans="1:9" x14ac:dyDescent="0.25">
      <c r="A18" s="162" t="s">
        <v>2910</v>
      </c>
      <c r="B18" s="153" t="s">
        <v>688</v>
      </c>
      <c r="C18" s="116"/>
      <c r="D18" s="116"/>
      <c r="E18" s="116"/>
      <c r="F18" s="116"/>
      <c r="G18" s="116"/>
      <c r="H18" s="116">
        <f t="shared" si="1"/>
        <v>0</v>
      </c>
      <c r="I18" s="69"/>
    </row>
    <row r="19" spans="1:9" ht="22.5" x14ac:dyDescent="0.25">
      <c r="A19" s="162" t="s">
        <v>2912</v>
      </c>
      <c r="B19" s="153" t="s">
        <v>2907</v>
      </c>
      <c r="C19" s="116"/>
      <c r="D19" s="116"/>
      <c r="E19" s="116"/>
      <c r="F19" s="116"/>
      <c r="G19" s="116"/>
      <c r="H19" s="116">
        <f t="shared" si="1"/>
        <v>0</v>
      </c>
      <c r="I19" s="69"/>
    </row>
    <row r="20" spans="1:9" x14ac:dyDescent="0.25">
      <c r="A20" s="162" t="s">
        <v>2914</v>
      </c>
      <c r="B20" s="153" t="s">
        <v>2909</v>
      </c>
      <c r="C20" s="116"/>
      <c r="D20" s="116"/>
      <c r="E20" s="116"/>
      <c r="F20" s="116"/>
      <c r="G20" s="116"/>
      <c r="H20" s="116">
        <f t="shared" si="1"/>
        <v>0</v>
      </c>
      <c r="I20" s="69"/>
    </row>
    <row r="21" spans="1:9" x14ac:dyDescent="0.25">
      <c r="A21" s="162" t="s">
        <v>2916</v>
      </c>
      <c r="B21" s="153" t="s">
        <v>2911</v>
      </c>
      <c r="C21" s="116"/>
      <c r="D21" s="116"/>
      <c r="E21" s="116"/>
      <c r="F21" s="116"/>
      <c r="G21" s="116"/>
      <c r="H21" s="116">
        <f t="shared" si="1"/>
        <v>0</v>
      </c>
      <c r="I21" s="69"/>
    </row>
    <row r="22" spans="1:9" ht="22.5" x14ac:dyDescent="0.25">
      <c r="A22" s="162" t="s">
        <v>2918</v>
      </c>
      <c r="B22" s="153" t="s">
        <v>2913</v>
      </c>
      <c r="C22" s="116"/>
      <c r="D22" s="116"/>
      <c r="E22" s="116"/>
      <c r="F22" s="116"/>
      <c r="G22" s="116"/>
      <c r="H22" s="116">
        <f t="shared" si="1"/>
        <v>0</v>
      </c>
      <c r="I22" s="69"/>
    </row>
    <row r="23" spans="1:9" ht="45" x14ac:dyDescent="0.25">
      <c r="A23" s="162" t="s">
        <v>2920</v>
      </c>
      <c r="B23" s="153" t="s">
        <v>2915</v>
      </c>
      <c r="C23" s="116"/>
      <c r="D23" s="116"/>
      <c r="E23" s="116"/>
      <c r="F23" s="116"/>
      <c r="G23" s="116"/>
      <c r="H23" s="116">
        <f t="shared" si="1"/>
        <v>0</v>
      </c>
      <c r="I23" s="69"/>
    </row>
    <row r="24" spans="1:9" x14ac:dyDescent="0.25">
      <c r="A24" s="162" t="s">
        <v>2921</v>
      </c>
      <c r="B24" s="153" t="s">
        <v>2917</v>
      </c>
      <c r="C24" s="116"/>
      <c r="D24" s="116"/>
      <c r="E24" s="116"/>
      <c r="F24" s="116"/>
      <c r="G24" s="116"/>
      <c r="H24" s="116">
        <f t="shared" si="1"/>
        <v>0</v>
      </c>
      <c r="I24" s="69"/>
    </row>
    <row r="25" spans="1:9" ht="33.75" x14ac:dyDescent="0.25">
      <c r="A25" s="162" t="s">
        <v>2924</v>
      </c>
      <c r="B25" s="153" t="s">
        <v>2919</v>
      </c>
      <c r="C25" s="116"/>
      <c r="D25" s="116"/>
      <c r="E25" s="116"/>
      <c r="F25" s="116"/>
      <c r="G25" s="116"/>
      <c r="H25" s="116">
        <f t="shared" si="1"/>
        <v>0</v>
      </c>
      <c r="I25" s="69"/>
    </row>
    <row r="26" spans="1:9" x14ac:dyDescent="0.25">
      <c r="A26" s="162" t="s">
        <v>2926</v>
      </c>
      <c r="B26" s="153" t="s">
        <v>690</v>
      </c>
      <c r="C26" s="52"/>
      <c r="D26" s="52"/>
      <c r="E26" s="52"/>
      <c r="F26" s="52"/>
      <c r="G26" s="52"/>
      <c r="H26" s="52"/>
      <c r="I26" s="69"/>
    </row>
    <row r="27" spans="1:9" x14ac:dyDescent="0.25">
      <c r="A27" s="162"/>
      <c r="B27" s="153"/>
      <c r="C27" s="46"/>
      <c r="D27" s="46"/>
      <c r="E27" s="46"/>
      <c r="F27" s="46"/>
      <c r="G27" s="46"/>
      <c r="H27" s="46"/>
      <c r="I27" s="69"/>
    </row>
    <row r="28" spans="1:9" x14ac:dyDescent="0.25">
      <c r="A28" s="162" t="s">
        <v>2928</v>
      </c>
      <c r="B28" s="153" t="s">
        <v>2922</v>
      </c>
      <c r="C28" s="54">
        <f>ROUND(SUM(C8:C16)+SUM(C17:C26),0)</f>
        <v>0</v>
      </c>
      <c r="D28" s="54">
        <f t="shared" ref="D28:H28" si="2">ROUND(SUM(D8:D16)+SUM(D17:D26),0)</f>
        <v>0</v>
      </c>
      <c r="E28" s="54">
        <f t="shared" si="2"/>
        <v>0</v>
      </c>
      <c r="F28" s="54">
        <f t="shared" si="2"/>
        <v>0</v>
      </c>
      <c r="G28" s="54">
        <f t="shared" si="2"/>
        <v>0</v>
      </c>
      <c r="H28" s="54">
        <f t="shared" si="2"/>
        <v>0</v>
      </c>
      <c r="I28" s="69"/>
    </row>
    <row r="29" spans="1:9" x14ac:dyDescent="0.25">
      <c r="A29" s="162"/>
      <c r="B29" s="153"/>
      <c r="C29" s="46"/>
      <c r="D29" s="46"/>
      <c r="E29" s="46"/>
      <c r="F29" s="46"/>
      <c r="G29" s="46"/>
      <c r="H29" s="46"/>
      <c r="I29" s="69"/>
    </row>
    <row r="30" spans="1:9" x14ac:dyDescent="0.25">
      <c r="A30" s="162"/>
      <c r="B30" s="179" t="s">
        <v>2923</v>
      </c>
      <c r="C30" s="46"/>
      <c r="D30" s="46"/>
      <c r="E30" s="46"/>
      <c r="F30" s="46"/>
      <c r="G30" s="46"/>
      <c r="H30" s="46"/>
      <c r="I30" s="69"/>
    </row>
    <row r="31" spans="1:9" x14ac:dyDescent="0.25">
      <c r="A31" s="162"/>
      <c r="B31" s="153"/>
      <c r="C31" s="46"/>
      <c r="D31" s="46"/>
      <c r="E31" s="46"/>
      <c r="F31" s="46"/>
      <c r="G31" s="46"/>
      <c r="H31" s="46"/>
      <c r="I31" s="69"/>
    </row>
    <row r="32" spans="1:9" x14ac:dyDescent="0.25">
      <c r="A32" s="162" t="s">
        <v>2929</v>
      </c>
      <c r="B32" s="153" t="s">
        <v>2925</v>
      </c>
      <c r="C32" s="116"/>
      <c r="D32" s="116"/>
      <c r="E32" s="116"/>
      <c r="F32" s="116"/>
      <c r="G32" s="116"/>
      <c r="H32" s="116">
        <f t="shared" ref="H32:H37" si="3">ROUND(C32+D32-E32-F32-G32,0)</f>
        <v>0</v>
      </c>
      <c r="I32" s="69"/>
    </row>
    <row r="33" spans="1:9" x14ac:dyDescent="0.25">
      <c r="A33" s="162" t="s">
        <v>2931</v>
      </c>
      <c r="B33" s="153" t="s">
        <v>2927</v>
      </c>
      <c r="C33" s="116"/>
      <c r="D33" s="116"/>
      <c r="E33" s="116"/>
      <c r="F33" s="116"/>
      <c r="G33" s="116"/>
      <c r="H33" s="116">
        <f t="shared" si="3"/>
        <v>0</v>
      </c>
      <c r="I33" s="69"/>
    </row>
    <row r="34" spans="1:9" x14ac:dyDescent="0.25">
      <c r="A34" s="162" t="s">
        <v>2933</v>
      </c>
      <c r="B34" s="153" t="s">
        <v>1240</v>
      </c>
      <c r="C34" s="116"/>
      <c r="D34" s="116"/>
      <c r="E34" s="116"/>
      <c r="F34" s="116"/>
      <c r="G34" s="116"/>
      <c r="H34" s="116">
        <f t="shared" si="3"/>
        <v>0</v>
      </c>
      <c r="I34" s="69"/>
    </row>
    <row r="35" spans="1:9" x14ac:dyDescent="0.25">
      <c r="A35" s="162" t="s">
        <v>2935</v>
      </c>
      <c r="B35" s="153" t="s">
        <v>2930</v>
      </c>
      <c r="C35" s="116"/>
      <c r="D35" s="116"/>
      <c r="E35" s="116"/>
      <c r="F35" s="116"/>
      <c r="G35" s="116"/>
      <c r="H35" s="116">
        <f t="shared" si="3"/>
        <v>0</v>
      </c>
      <c r="I35" s="69"/>
    </row>
    <row r="36" spans="1:9" x14ac:dyDescent="0.25">
      <c r="A36" s="162" t="s">
        <v>2937</v>
      </c>
      <c r="B36" s="153" t="s">
        <v>2932</v>
      </c>
      <c r="C36" s="116"/>
      <c r="D36" s="116"/>
      <c r="E36" s="116"/>
      <c r="F36" s="116"/>
      <c r="G36" s="116"/>
      <c r="H36" s="116">
        <f t="shared" si="3"/>
        <v>0</v>
      </c>
      <c r="I36" s="69"/>
    </row>
    <row r="37" spans="1:9" x14ac:dyDescent="0.25">
      <c r="A37" s="162" t="s">
        <v>2940</v>
      </c>
      <c r="B37" s="153" t="s">
        <v>2934</v>
      </c>
      <c r="C37" s="116"/>
      <c r="D37" s="116"/>
      <c r="E37" s="116"/>
      <c r="F37" s="116"/>
      <c r="G37" s="116"/>
      <c r="H37" s="116">
        <f t="shared" si="3"/>
        <v>0</v>
      </c>
      <c r="I37" s="69"/>
    </row>
    <row r="38" spans="1:9" x14ac:dyDescent="0.25">
      <c r="A38" s="162" t="s">
        <v>2941</v>
      </c>
      <c r="B38" s="153" t="s">
        <v>2936</v>
      </c>
      <c r="C38" s="52"/>
      <c r="D38" s="52"/>
      <c r="E38" s="52"/>
      <c r="F38" s="52"/>
      <c r="G38" s="52"/>
      <c r="H38" s="52"/>
      <c r="I38" s="69"/>
    </row>
    <row r="39" spans="1:9" x14ac:dyDescent="0.25">
      <c r="A39" s="162"/>
      <c r="B39" s="153"/>
      <c r="C39" s="46"/>
      <c r="D39" s="46"/>
      <c r="E39" s="46"/>
      <c r="F39" s="46"/>
      <c r="G39" s="46"/>
      <c r="H39" s="46"/>
      <c r="I39" s="69"/>
    </row>
    <row r="40" spans="1:9" x14ac:dyDescent="0.25">
      <c r="A40" s="162" t="s">
        <v>2943</v>
      </c>
      <c r="B40" s="153" t="s">
        <v>2938</v>
      </c>
      <c r="C40" s="54">
        <f t="shared" ref="C40:H40" si="4">ROUND(SUM(C32:C38),0)</f>
        <v>0</v>
      </c>
      <c r="D40" s="54">
        <f t="shared" si="4"/>
        <v>0</v>
      </c>
      <c r="E40" s="54">
        <f t="shared" si="4"/>
        <v>0</v>
      </c>
      <c r="F40" s="54">
        <f t="shared" si="4"/>
        <v>0</v>
      </c>
      <c r="G40" s="54">
        <f t="shared" si="4"/>
        <v>0</v>
      </c>
      <c r="H40" s="54">
        <f t="shared" si="4"/>
        <v>0</v>
      </c>
      <c r="I40" s="69"/>
    </row>
    <row r="41" spans="1:9" x14ac:dyDescent="0.25">
      <c r="A41" s="162"/>
      <c r="B41" s="153"/>
      <c r="C41" s="46"/>
      <c r="D41" s="46"/>
      <c r="E41" s="46"/>
      <c r="F41" s="46"/>
      <c r="G41" s="46"/>
      <c r="H41" s="46"/>
      <c r="I41" s="69"/>
    </row>
    <row r="42" spans="1:9" ht="22.5" x14ac:dyDescent="0.25">
      <c r="A42" s="162"/>
      <c r="B42" s="179" t="s">
        <v>2939</v>
      </c>
      <c r="C42" s="46"/>
      <c r="D42" s="46"/>
      <c r="E42" s="46"/>
      <c r="F42" s="46"/>
      <c r="G42" s="46"/>
      <c r="H42" s="46"/>
      <c r="I42" s="69"/>
    </row>
    <row r="43" spans="1:9" x14ac:dyDescent="0.25">
      <c r="A43" s="162"/>
      <c r="B43" s="153"/>
      <c r="C43" s="46"/>
      <c r="D43" s="46"/>
      <c r="E43" s="46"/>
      <c r="F43" s="46"/>
      <c r="G43" s="46"/>
      <c r="H43" s="46"/>
      <c r="I43" s="69"/>
    </row>
    <row r="44" spans="1:9" x14ac:dyDescent="0.25">
      <c r="A44" s="184" t="s">
        <v>5438</v>
      </c>
      <c r="B44" s="190" t="s">
        <v>5322</v>
      </c>
      <c r="C44" s="61"/>
      <c r="D44" s="61"/>
      <c r="E44" s="61"/>
      <c r="F44" s="61"/>
      <c r="G44" s="61"/>
      <c r="H44" s="61">
        <f>ROUND(C44+D44-E44-F44-G44,0)</f>
        <v>0</v>
      </c>
      <c r="I44" s="69"/>
    </row>
    <row r="45" spans="1:9" x14ac:dyDescent="0.25">
      <c r="A45" s="162"/>
      <c r="B45" s="153"/>
      <c r="C45" s="46"/>
      <c r="D45" s="46"/>
      <c r="E45" s="46"/>
      <c r="F45" s="46"/>
      <c r="G45" s="46"/>
      <c r="H45" s="46"/>
      <c r="I45" s="69"/>
    </row>
    <row r="46" spans="1:9" x14ac:dyDescent="0.25">
      <c r="A46" s="162" t="s">
        <v>5439</v>
      </c>
      <c r="B46" s="153" t="s">
        <v>2942</v>
      </c>
      <c r="C46" s="54">
        <f t="shared" ref="C46:H46" si="5">ROUND(SUM(C44:C45),0)</f>
        <v>0</v>
      </c>
      <c r="D46" s="54">
        <f t="shared" si="5"/>
        <v>0</v>
      </c>
      <c r="E46" s="54">
        <f t="shared" si="5"/>
        <v>0</v>
      </c>
      <c r="F46" s="54">
        <f t="shared" si="5"/>
        <v>0</v>
      </c>
      <c r="G46" s="54">
        <f t="shared" si="5"/>
        <v>0</v>
      </c>
      <c r="H46" s="54">
        <f t="shared" si="5"/>
        <v>0</v>
      </c>
      <c r="I46" s="69"/>
    </row>
    <row r="47" spans="1:9" x14ac:dyDescent="0.25">
      <c r="A47" s="162"/>
      <c r="B47" s="153"/>
      <c r="C47" s="46"/>
      <c r="D47" s="46"/>
      <c r="E47" s="46"/>
      <c r="F47" s="46"/>
      <c r="G47" s="46"/>
      <c r="H47" s="46"/>
      <c r="I47" s="69"/>
    </row>
    <row r="48" spans="1:9" x14ac:dyDescent="0.25">
      <c r="A48" s="162" t="s">
        <v>5440</v>
      </c>
      <c r="B48" s="153" t="s">
        <v>2944</v>
      </c>
      <c r="C48" s="54">
        <f t="shared" ref="C48:H48" si="6">ROUND(C28+C40+C46,0)</f>
        <v>0</v>
      </c>
      <c r="D48" s="54">
        <f t="shared" si="6"/>
        <v>0</v>
      </c>
      <c r="E48" s="54">
        <f t="shared" si="6"/>
        <v>0</v>
      </c>
      <c r="F48" s="54">
        <f t="shared" si="6"/>
        <v>0</v>
      </c>
      <c r="G48" s="54">
        <f t="shared" si="6"/>
        <v>0</v>
      </c>
      <c r="H48" s="54">
        <f t="shared" si="6"/>
        <v>0</v>
      </c>
      <c r="I48" s="69"/>
    </row>
    <row r="49" spans="1:9" ht="8.1" customHeight="1" x14ac:dyDescent="0.25">
      <c r="A49" s="70" t="s">
        <v>0</v>
      </c>
      <c r="B49" s="152"/>
      <c r="C49" s="70"/>
      <c r="D49" s="70"/>
      <c r="E49" s="70"/>
      <c r="F49" s="70"/>
      <c r="G49" s="70"/>
      <c r="H49" s="70"/>
      <c r="I49" s="69"/>
    </row>
  </sheetData>
  <sheetProtection password="C9D6" sheet="1" objects="1" scenarios="1" formatCells="0" formatColumns="0" formatRows="0" autoFilter="0"/>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151"/>
  <sheetViews>
    <sheetView workbookViewId="0"/>
  </sheetViews>
  <sheetFormatPr defaultColWidth="11.5703125" defaultRowHeight="15" x14ac:dyDescent="0.25"/>
  <cols>
    <col min="1" max="1" width="14.28515625" style="107" customWidth="1"/>
    <col min="2" max="2" width="43.140625" style="107" customWidth="1"/>
    <col min="3" max="3" width="18.7109375" style="107" customWidth="1"/>
    <col min="4" max="4" width="1.7109375" style="107" customWidth="1"/>
    <col min="5" max="16384" width="11.5703125" style="107"/>
  </cols>
  <sheetData>
    <row r="1" spans="1:4" ht="23.25" x14ac:dyDescent="0.25">
      <c r="A1" s="42" t="s">
        <v>0</v>
      </c>
      <c r="B1" s="122" t="s">
        <v>5613</v>
      </c>
      <c r="C1" s="42"/>
      <c r="D1" s="69"/>
    </row>
    <row r="2" spans="1:4" x14ac:dyDescent="0.25">
      <c r="A2" s="78" t="s">
        <v>5597</v>
      </c>
      <c r="B2" s="78" t="s">
        <v>5598</v>
      </c>
      <c r="C2" s="78" t="s">
        <v>905</v>
      </c>
      <c r="D2" s="69" t="s">
        <v>0</v>
      </c>
    </row>
    <row r="3" spans="1:4" x14ac:dyDescent="0.25">
      <c r="A3" s="163"/>
      <c r="B3" s="46" t="s">
        <v>0</v>
      </c>
      <c r="C3" s="47"/>
      <c r="D3" s="69"/>
    </row>
    <row r="4" spans="1:4" x14ac:dyDescent="0.25">
      <c r="A4" s="163"/>
      <c r="B4" s="48" t="s">
        <v>5626</v>
      </c>
      <c r="C4" s="47"/>
      <c r="D4" s="69"/>
    </row>
    <row r="5" spans="1:4" x14ac:dyDescent="0.25">
      <c r="A5" s="163"/>
      <c r="B5" s="160"/>
      <c r="C5" s="47"/>
      <c r="D5" s="69"/>
    </row>
    <row r="6" spans="1:4" x14ac:dyDescent="0.25">
      <c r="A6" s="162" t="s">
        <v>2061</v>
      </c>
      <c r="B6" s="153" t="s">
        <v>961</v>
      </c>
      <c r="C6" s="68">
        <f>'ANEXO 2'!C75</f>
        <v>0</v>
      </c>
      <c r="D6" s="69"/>
    </row>
    <row r="7" spans="1:4" x14ac:dyDescent="0.25">
      <c r="A7" s="162" t="s">
        <v>2062</v>
      </c>
      <c r="B7" s="153" t="s">
        <v>859</v>
      </c>
      <c r="C7" s="68">
        <f>'ANEXO 2'!C74</f>
        <v>0</v>
      </c>
      <c r="D7" s="69"/>
    </row>
    <row r="8" spans="1:4" x14ac:dyDescent="0.25">
      <c r="A8" s="162"/>
      <c r="B8" s="153"/>
      <c r="C8" s="18"/>
      <c r="D8" s="69"/>
    </row>
    <row r="9" spans="1:4" x14ac:dyDescent="0.25">
      <c r="A9" s="162"/>
      <c r="B9" s="153" t="s">
        <v>2063</v>
      </c>
      <c r="C9" s="18"/>
      <c r="D9" s="69"/>
    </row>
    <row r="10" spans="1:4" x14ac:dyDescent="0.25">
      <c r="A10" s="162"/>
      <c r="B10" s="153"/>
      <c r="C10" s="18"/>
      <c r="D10" s="69"/>
    </row>
    <row r="11" spans="1:4" x14ac:dyDescent="0.25">
      <c r="A11" s="162" t="s">
        <v>2064</v>
      </c>
      <c r="B11" s="153" t="s">
        <v>2065</v>
      </c>
      <c r="C11" s="116"/>
      <c r="D11" s="69"/>
    </row>
    <row r="12" spans="1:4" x14ac:dyDescent="0.25">
      <c r="A12" s="162" t="s">
        <v>2066</v>
      </c>
      <c r="B12" s="153" t="s">
        <v>932</v>
      </c>
      <c r="C12" s="72"/>
      <c r="D12" s="69"/>
    </row>
    <row r="13" spans="1:4" x14ac:dyDescent="0.25">
      <c r="A13" s="162" t="s">
        <v>2067</v>
      </c>
      <c r="B13" s="153" t="s">
        <v>934</v>
      </c>
      <c r="C13" s="72"/>
      <c r="D13" s="69"/>
    </row>
    <row r="14" spans="1:4" x14ac:dyDescent="0.25">
      <c r="A14" s="162" t="s">
        <v>2068</v>
      </c>
      <c r="B14" s="153" t="s">
        <v>2069</v>
      </c>
      <c r="C14" s="72">
        <f>ROUND(IF(C6-C7+C11+C12-C13&gt;0,C6-C7+C11+C12-C13, 0),0)</f>
        <v>0</v>
      </c>
      <c r="D14" s="69"/>
    </row>
    <row r="15" spans="1:4" x14ac:dyDescent="0.25">
      <c r="A15" s="162" t="s">
        <v>2070</v>
      </c>
      <c r="B15" s="153" t="s">
        <v>2071</v>
      </c>
      <c r="C15" s="72">
        <f>ROUND(IF(C6-C7+C11+C12-C13&lt;0,-C6+C7-C11-C12+C13, 0),0)</f>
        <v>0</v>
      </c>
      <c r="D15" s="69"/>
    </row>
    <row r="16" spans="1:4" x14ac:dyDescent="0.25">
      <c r="A16" s="162"/>
      <c r="B16" s="153"/>
      <c r="C16" s="18"/>
      <c r="D16" s="69"/>
    </row>
    <row r="17" spans="1:4" x14ac:dyDescent="0.25">
      <c r="A17" s="162"/>
      <c r="B17" s="153" t="s">
        <v>1267</v>
      </c>
      <c r="C17" s="18"/>
      <c r="D17" s="69"/>
    </row>
    <row r="18" spans="1:4" x14ac:dyDescent="0.25">
      <c r="A18" s="162" t="s">
        <v>2072</v>
      </c>
      <c r="B18" s="153" t="s">
        <v>2073</v>
      </c>
      <c r="C18" s="68">
        <f>ROUND(C63,0)</f>
        <v>0</v>
      </c>
      <c r="D18" s="69"/>
    </row>
    <row r="19" spans="1:4" x14ac:dyDescent="0.25">
      <c r="A19" s="162"/>
      <c r="B19" s="153"/>
      <c r="C19" s="18"/>
      <c r="D19" s="69"/>
    </row>
    <row r="20" spans="1:4" x14ac:dyDescent="0.25">
      <c r="A20" s="162"/>
      <c r="B20" s="153" t="s">
        <v>1267</v>
      </c>
      <c r="C20" s="18"/>
      <c r="D20" s="69"/>
    </row>
    <row r="21" spans="1:4" x14ac:dyDescent="0.25">
      <c r="A21" s="162" t="s">
        <v>2074</v>
      </c>
      <c r="B21" s="153" t="s">
        <v>2075</v>
      </c>
      <c r="C21" s="68">
        <f>ROUND(C90,0)</f>
        <v>0</v>
      </c>
      <c r="D21" s="69"/>
    </row>
    <row r="22" spans="1:4" x14ac:dyDescent="0.25">
      <c r="A22" s="162"/>
      <c r="B22" s="153"/>
      <c r="C22" s="18"/>
      <c r="D22" s="69"/>
    </row>
    <row r="23" spans="1:4" x14ac:dyDescent="0.25">
      <c r="A23" s="162"/>
      <c r="B23" s="153" t="s">
        <v>890</v>
      </c>
      <c r="C23" s="18"/>
      <c r="D23" s="69"/>
    </row>
    <row r="24" spans="1:4" x14ac:dyDescent="0.25">
      <c r="A24" s="162" t="s">
        <v>2076</v>
      </c>
      <c r="B24" s="153" t="s">
        <v>2077</v>
      </c>
      <c r="C24" s="68">
        <f>ROUND(C131,0)</f>
        <v>0</v>
      </c>
      <c r="D24" s="69"/>
    </row>
    <row r="25" spans="1:4" x14ac:dyDescent="0.25">
      <c r="A25" s="162"/>
      <c r="B25" s="153"/>
      <c r="C25" s="18"/>
      <c r="D25" s="69"/>
    </row>
    <row r="26" spans="1:4" x14ac:dyDescent="0.25">
      <c r="A26" s="162"/>
      <c r="B26" s="153" t="s">
        <v>890</v>
      </c>
      <c r="C26" s="18"/>
      <c r="D26" s="69"/>
    </row>
    <row r="27" spans="1:4" x14ac:dyDescent="0.25">
      <c r="A27" s="162" t="s">
        <v>2078</v>
      </c>
      <c r="B27" s="153" t="s">
        <v>2079</v>
      </c>
      <c r="C27" s="68">
        <f>ROUND(C150,0)</f>
        <v>0</v>
      </c>
      <c r="D27" s="69"/>
    </row>
    <row r="28" spans="1:4" x14ac:dyDescent="0.25">
      <c r="A28" s="162"/>
      <c r="B28" s="153"/>
      <c r="C28" s="18"/>
      <c r="D28" s="69"/>
    </row>
    <row r="29" spans="1:4" ht="22.5" x14ac:dyDescent="0.25">
      <c r="A29" s="162" t="s">
        <v>2080</v>
      </c>
      <c r="B29" s="153" t="s">
        <v>2081</v>
      </c>
      <c r="C29" s="72">
        <f>ROUND(IF(C14-C15+C18+C21-C24-C27&lt;0,-C14+C15-C18-C21+C24+C27, 0),0)</f>
        <v>0</v>
      </c>
      <c r="D29" s="69"/>
    </row>
    <row r="30" spans="1:4" ht="22.5" x14ac:dyDescent="0.25">
      <c r="A30" s="162" t="s">
        <v>2082</v>
      </c>
      <c r="B30" s="153" t="s">
        <v>2083</v>
      </c>
      <c r="C30" s="72">
        <f>ROUND(IF(C14-C15+C18+C21-C24-C27&gt;0,C14-C15+C18+C21-C24-C27, 0),0)</f>
        <v>0</v>
      </c>
      <c r="D30" s="69"/>
    </row>
    <row r="31" spans="1:4" x14ac:dyDescent="0.25">
      <c r="A31" s="162"/>
      <c r="B31" s="153"/>
      <c r="C31" s="18"/>
      <c r="D31" s="69"/>
    </row>
    <row r="32" spans="1:4" x14ac:dyDescent="0.25">
      <c r="A32" s="162" t="s">
        <v>2084</v>
      </c>
      <c r="B32" s="153" t="s">
        <v>1506</v>
      </c>
      <c r="C32" s="116"/>
      <c r="D32" s="69"/>
    </row>
    <row r="33" spans="1:4" x14ac:dyDescent="0.25">
      <c r="A33" s="162"/>
      <c r="B33" s="153"/>
      <c r="C33" s="18"/>
      <c r="D33" s="69"/>
    </row>
    <row r="34" spans="1:4" ht="22.5" x14ac:dyDescent="0.25">
      <c r="A34" s="162" t="s">
        <v>2085</v>
      </c>
      <c r="B34" s="153" t="s">
        <v>2086</v>
      </c>
      <c r="C34" s="72">
        <f>ROUND(IF(C30-C29-C32&lt;0,-C30+C29+C32, 0),0)</f>
        <v>0</v>
      </c>
      <c r="D34" s="69"/>
    </row>
    <row r="35" spans="1:4" ht="22.5" x14ac:dyDescent="0.25">
      <c r="A35" s="162" t="s">
        <v>2087</v>
      </c>
      <c r="B35" s="153" t="s">
        <v>2088</v>
      </c>
      <c r="C35" s="72">
        <f>ROUND(IF(C30-C29-C32&gt;0,C30-C29-C32, 0),0)</f>
        <v>0</v>
      </c>
      <c r="D35" s="69"/>
    </row>
    <row r="36" spans="1:4" x14ac:dyDescent="0.25">
      <c r="A36" s="162"/>
      <c r="B36" s="153"/>
      <c r="C36" s="18"/>
      <c r="D36" s="69"/>
    </row>
    <row r="37" spans="1:4" x14ac:dyDescent="0.25">
      <c r="A37" s="162"/>
      <c r="B37" s="153" t="s">
        <v>2089</v>
      </c>
      <c r="C37" s="18"/>
      <c r="D37" s="69"/>
    </row>
    <row r="38" spans="1:4" x14ac:dyDescent="0.25">
      <c r="A38" s="162"/>
      <c r="B38" s="153"/>
      <c r="C38" s="18"/>
      <c r="D38" s="69"/>
    </row>
    <row r="39" spans="1:4" x14ac:dyDescent="0.25">
      <c r="A39" s="162" t="s">
        <v>2090</v>
      </c>
      <c r="B39" s="153" t="s">
        <v>2091</v>
      </c>
      <c r="C39" s="193">
        <f>'ANEXO 1'!D182+'ANEXO 7'!AE15-'ANEXO 1'!C182</f>
        <v>0</v>
      </c>
      <c r="D39" s="69"/>
    </row>
    <row r="40" spans="1:4" x14ac:dyDescent="0.25">
      <c r="A40" s="162"/>
      <c r="B40" s="153"/>
      <c r="C40" s="18"/>
      <c r="D40" s="69"/>
    </row>
    <row r="41" spans="1:4" x14ac:dyDescent="0.25">
      <c r="A41" s="162" t="s">
        <v>2092</v>
      </c>
      <c r="B41" s="153" t="s">
        <v>2093</v>
      </c>
      <c r="C41" s="72">
        <f>ROUND(IF(C35-C34-C39&lt;0,C34-C35+C39, 0),0)</f>
        <v>0</v>
      </c>
      <c r="D41" s="69"/>
    </row>
    <row r="42" spans="1:4" x14ac:dyDescent="0.25">
      <c r="A42" s="162" t="s">
        <v>2094</v>
      </c>
      <c r="B42" s="153" t="s">
        <v>2095</v>
      </c>
      <c r="C42" s="72">
        <f>ROUND(IF(C35-C34-C39&gt;0,-C34+C35-C39, 0),0)</f>
        <v>0</v>
      </c>
      <c r="D42" s="69"/>
    </row>
    <row r="43" spans="1:4" x14ac:dyDescent="0.25">
      <c r="C43" s="187"/>
      <c r="D43" s="69"/>
    </row>
    <row r="44" spans="1:4" ht="45" x14ac:dyDescent="0.25">
      <c r="A44" s="162" t="s">
        <v>2096</v>
      </c>
      <c r="B44" s="153" t="s">
        <v>2097</v>
      </c>
      <c r="C44" s="116"/>
      <c r="D44" s="69"/>
    </row>
    <row r="45" spans="1:4" ht="22.5" x14ac:dyDescent="0.25">
      <c r="A45" s="162" t="s">
        <v>2098</v>
      </c>
      <c r="B45" s="153" t="s">
        <v>2099</v>
      </c>
      <c r="C45" s="118"/>
      <c r="D45" s="69"/>
    </row>
    <row r="46" spans="1:4" x14ac:dyDescent="0.25">
      <c r="A46" s="162" t="s">
        <v>2100</v>
      </c>
      <c r="B46" s="153" t="s">
        <v>2101</v>
      </c>
      <c r="C46" s="65">
        <f>ROUND(IF(C42&gt;0,C42-C44-C45, 0),0)</f>
        <v>0</v>
      </c>
      <c r="D46" s="69"/>
    </row>
    <row r="47" spans="1:4" x14ac:dyDescent="0.25">
      <c r="A47" s="162"/>
      <c r="B47" s="153"/>
      <c r="C47" s="18"/>
      <c r="D47" s="69"/>
    </row>
    <row r="48" spans="1:4" x14ac:dyDescent="0.25">
      <c r="A48" s="162"/>
      <c r="B48" s="179" t="s">
        <v>2073</v>
      </c>
      <c r="C48" s="18"/>
      <c r="D48" s="69"/>
    </row>
    <row r="49" spans="1:4" x14ac:dyDescent="0.25">
      <c r="A49" s="162"/>
      <c r="B49" s="153"/>
      <c r="C49" s="18"/>
      <c r="D49" s="69"/>
    </row>
    <row r="50" spans="1:4" x14ac:dyDescent="0.25">
      <c r="A50" s="162" t="s">
        <v>2102</v>
      </c>
      <c r="B50" s="153" t="s">
        <v>2103</v>
      </c>
      <c r="C50" s="73"/>
      <c r="D50" s="69"/>
    </row>
    <row r="51" spans="1:4" x14ac:dyDescent="0.25">
      <c r="A51" s="162" t="s">
        <v>2104</v>
      </c>
      <c r="B51" s="153" t="s">
        <v>2105</v>
      </c>
      <c r="C51" s="116">
        <f>C135</f>
        <v>0</v>
      </c>
      <c r="D51" s="69"/>
    </row>
    <row r="52" spans="1:4" x14ac:dyDescent="0.25">
      <c r="A52" s="162" t="s">
        <v>2106</v>
      </c>
      <c r="B52" s="153" t="s">
        <v>5443</v>
      </c>
      <c r="C52" s="116"/>
      <c r="D52" s="69"/>
    </row>
    <row r="53" spans="1:4" x14ac:dyDescent="0.25">
      <c r="A53" s="162" t="s">
        <v>2107</v>
      </c>
      <c r="B53" s="153" t="s">
        <v>2108</v>
      </c>
      <c r="C53" s="116"/>
      <c r="D53" s="69"/>
    </row>
    <row r="54" spans="1:4" x14ac:dyDescent="0.25">
      <c r="A54" s="162" t="s">
        <v>2109</v>
      </c>
      <c r="B54" s="153" t="s">
        <v>2110</v>
      </c>
      <c r="C54" s="116"/>
      <c r="D54" s="69"/>
    </row>
    <row r="55" spans="1:4" x14ac:dyDescent="0.25">
      <c r="A55" s="162" t="s">
        <v>2111</v>
      </c>
      <c r="B55" s="153" t="s">
        <v>2112</v>
      </c>
      <c r="C55" s="116"/>
      <c r="D55" s="69"/>
    </row>
    <row r="56" spans="1:4" x14ac:dyDescent="0.25">
      <c r="A56" s="162" t="s">
        <v>2113</v>
      </c>
      <c r="B56" s="153" t="s">
        <v>2114</v>
      </c>
      <c r="C56" s="193">
        <f>'ANEXO 1'!C183+'ANEXO 1'!C184</f>
        <v>0</v>
      </c>
      <c r="D56" s="69"/>
    </row>
    <row r="57" spans="1:4" ht="22.5" x14ac:dyDescent="0.25">
      <c r="A57" s="162" t="s">
        <v>2115</v>
      </c>
      <c r="B57" s="153" t="s">
        <v>2116</v>
      </c>
      <c r="C57" s="116"/>
      <c r="D57" s="69"/>
    </row>
    <row r="58" spans="1:4" x14ac:dyDescent="0.25">
      <c r="A58" s="162" t="s">
        <v>2117</v>
      </c>
      <c r="B58" s="153" t="s">
        <v>2118</v>
      </c>
      <c r="C58" s="116"/>
      <c r="D58" s="69"/>
    </row>
    <row r="59" spans="1:4" x14ac:dyDescent="0.25">
      <c r="A59" s="162" t="s">
        <v>2119</v>
      </c>
      <c r="B59" s="153" t="s">
        <v>5734</v>
      </c>
      <c r="C59" s="116"/>
      <c r="D59" s="69"/>
    </row>
    <row r="60" spans="1:4" x14ac:dyDescent="0.25">
      <c r="A60" s="162" t="s">
        <v>2120</v>
      </c>
      <c r="B60" s="153" t="s">
        <v>2121</v>
      </c>
      <c r="C60" s="117"/>
      <c r="D60" s="69"/>
    </row>
    <row r="61" spans="1:4" x14ac:dyDescent="0.25">
      <c r="A61" s="162" t="s">
        <v>2122</v>
      </c>
      <c r="B61" s="153" t="s">
        <v>638</v>
      </c>
      <c r="C61" s="52"/>
      <c r="D61" s="69"/>
    </row>
    <row r="62" spans="1:4" x14ac:dyDescent="0.25">
      <c r="A62" s="162"/>
      <c r="B62" s="153"/>
      <c r="C62" s="18"/>
      <c r="D62" s="69"/>
    </row>
    <row r="63" spans="1:4" x14ac:dyDescent="0.25">
      <c r="A63" s="162" t="s">
        <v>2123</v>
      </c>
      <c r="B63" s="153" t="s">
        <v>905</v>
      </c>
      <c r="C63" s="77">
        <f>ROUND(SUM(C50:C61),0)</f>
        <v>0</v>
      </c>
      <c r="D63" s="69"/>
    </row>
    <row r="64" spans="1:4" x14ac:dyDescent="0.25">
      <c r="A64" s="162"/>
      <c r="B64" s="153"/>
      <c r="C64" s="18"/>
      <c r="D64" s="69"/>
    </row>
    <row r="65" spans="1:4" x14ac:dyDescent="0.25">
      <c r="A65" s="162"/>
      <c r="B65" s="179" t="s">
        <v>2075</v>
      </c>
      <c r="C65" s="18"/>
      <c r="D65" s="69"/>
    </row>
    <row r="66" spans="1:4" x14ac:dyDescent="0.25">
      <c r="A66" s="162"/>
      <c r="B66" s="153"/>
      <c r="C66" s="18"/>
      <c r="D66" s="69"/>
    </row>
    <row r="67" spans="1:4" x14ac:dyDescent="0.25">
      <c r="A67" s="162" t="s">
        <v>2124</v>
      </c>
      <c r="B67" s="153" t="s">
        <v>775</v>
      </c>
      <c r="C67" s="193">
        <f>'ANEXO 2'!C67</f>
        <v>0</v>
      </c>
      <c r="D67" s="69"/>
    </row>
    <row r="68" spans="1:4" x14ac:dyDescent="0.25">
      <c r="A68" s="162" t="s">
        <v>2125</v>
      </c>
      <c r="B68" s="153" t="s">
        <v>2126</v>
      </c>
      <c r="C68" s="193">
        <f>ROUND('ANEXO 7'!AE15,0)</f>
        <v>0</v>
      </c>
      <c r="D68" s="69"/>
    </row>
    <row r="69" spans="1:4" x14ac:dyDescent="0.25">
      <c r="A69" s="162" t="s">
        <v>2127</v>
      </c>
      <c r="B69" s="153" t="s">
        <v>1950</v>
      </c>
      <c r="C69" s="116"/>
      <c r="D69" s="69"/>
    </row>
    <row r="70" spans="1:4" x14ac:dyDescent="0.25">
      <c r="A70" s="162" t="s">
        <v>2128</v>
      </c>
      <c r="B70" s="153" t="s">
        <v>1457</v>
      </c>
      <c r="C70" s="116">
        <f>C95+C96+C97-C87</f>
        <v>0</v>
      </c>
      <c r="D70" s="69"/>
    </row>
    <row r="71" spans="1:4" ht="33.75" x14ac:dyDescent="0.25">
      <c r="A71" s="162" t="s">
        <v>2129</v>
      </c>
      <c r="B71" s="153" t="s">
        <v>2130</v>
      </c>
      <c r="C71" s="193">
        <f>ROUND('ANEXO 6'!C64,0)</f>
        <v>0</v>
      </c>
      <c r="D71" s="69"/>
    </row>
    <row r="72" spans="1:4" ht="22.5" x14ac:dyDescent="0.25">
      <c r="A72" s="162" t="s">
        <v>2131</v>
      </c>
      <c r="B72" s="153" t="s">
        <v>2132</v>
      </c>
      <c r="C72" s="193">
        <f>ROUND('ANEXO 6'!C65+'ANEXO 6'!C66+'ANEXO 6'!C90,0)</f>
        <v>0</v>
      </c>
      <c r="D72" s="69"/>
    </row>
    <row r="73" spans="1:4" x14ac:dyDescent="0.25">
      <c r="A73" s="162" t="s">
        <v>2133</v>
      </c>
      <c r="B73" s="153" t="s">
        <v>1332</v>
      </c>
      <c r="C73" s="116">
        <f>C102+C103+C104+C101</f>
        <v>0</v>
      </c>
      <c r="D73" s="69"/>
    </row>
    <row r="74" spans="1:4" x14ac:dyDescent="0.25">
      <c r="A74" s="162" t="s">
        <v>2134</v>
      </c>
      <c r="B74" s="153" t="s">
        <v>2135</v>
      </c>
      <c r="C74" s="116"/>
      <c r="D74" s="69"/>
    </row>
    <row r="75" spans="1:4" x14ac:dyDescent="0.25">
      <c r="A75" s="162" t="s">
        <v>2136</v>
      </c>
      <c r="B75" s="153" t="s">
        <v>2137</v>
      </c>
      <c r="C75" s="116"/>
      <c r="D75" s="69"/>
    </row>
    <row r="76" spans="1:4" x14ac:dyDescent="0.25">
      <c r="A76" s="162" t="s">
        <v>2138</v>
      </c>
      <c r="B76" s="153" t="s">
        <v>2139</v>
      </c>
      <c r="C76" s="193">
        <f>ROUND('ANEXO 7'!AE111,0)</f>
        <v>0</v>
      </c>
      <c r="D76" s="69"/>
    </row>
    <row r="77" spans="1:4" x14ac:dyDescent="0.25">
      <c r="A77" s="162" t="s">
        <v>2140</v>
      </c>
      <c r="B77" s="153" t="s">
        <v>2141</v>
      </c>
      <c r="C77" s="116"/>
      <c r="D77" s="69"/>
    </row>
    <row r="78" spans="1:4" x14ac:dyDescent="0.25">
      <c r="A78" s="162" t="s">
        <v>2142</v>
      </c>
      <c r="B78" s="153" t="s">
        <v>930</v>
      </c>
      <c r="C78" s="193">
        <f>-'ANEXO 8'!C40</f>
        <v>0</v>
      </c>
      <c r="D78" s="69"/>
    </row>
    <row r="79" spans="1:4" x14ac:dyDescent="0.25">
      <c r="A79" s="162" t="s">
        <v>2143</v>
      </c>
      <c r="B79" s="153" t="s">
        <v>726</v>
      </c>
      <c r="C79" s="193">
        <f>ROUND('ANEXO 7'!AE67,0)</f>
        <v>0</v>
      </c>
      <c r="D79" s="69"/>
    </row>
    <row r="80" spans="1:4" x14ac:dyDescent="0.25">
      <c r="A80" s="162" t="s">
        <v>2144</v>
      </c>
      <c r="B80" s="153" t="s">
        <v>2145</v>
      </c>
      <c r="C80" s="193">
        <f>ROUND('ANEXO 7'!AE105+'ANEXO 7'!AE106+'ANEXO 7'!AE107+'ANEXO 7'!AE108+'ANEXO 7'!AE109+'ANEXO 7'!AE110,0)</f>
        <v>0</v>
      </c>
      <c r="D80" s="69"/>
    </row>
    <row r="81" spans="1:4" x14ac:dyDescent="0.25">
      <c r="A81" s="162" t="s">
        <v>2146</v>
      </c>
      <c r="B81" s="153" t="s">
        <v>2147</v>
      </c>
      <c r="C81" s="116"/>
      <c r="D81" s="69"/>
    </row>
    <row r="82" spans="1:4" x14ac:dyDescent="0.25">
      <c r="A82" s="162" t="s">
        <v>2148</v>
      </c>
      <c r="B82" s="153" t="s">
        <v>2149</v>
      </c>
      <c r="C82" s="116"/>
      <c r="D82" s="69"/>
    </row>
    <row r="83" spans="1:4" ht="22.5" x14ac:dyDescent="0.25">
      <c r="A83" s="162" t="s">
        <v>2150</v>
      </c>
      <c r="B83" s="153" t="s">
        <v>2151</v>
      </c>
      <c r="C83" s="116"/>
      <c r="D83" s="69"/>
    </row>
    <row r="84" spans="1:4" x14ac:dyDescent="0.25">
      <c r="A84" s="162" t="s">
        <v>2152</v>
      </c>
      <c r="B84" s="153" t="s">
        <v>2153</v>
      </c>
      <c r="C84" s="116"/>
      <c r="D84" s="69"/>
    </row>
    <row r="85" spans="1:4" ht="22.5" x14ac:dyDescent="0.25">
      <c r="A85" s="162" t="s">
        <v>2154</v>
      </c>
      <c r="B85" s="153" t="s">
        <v>2155</v>
      </c>
      <c r="C85" s="116"/>
      <c r="D85" s="69"/>
    </row>
    <row r="86" spans="1:4" ht="22.5" x14ac:dyDescent="0.25">
      <c r="A86" s="162" t="s">
        <v>2156</v>
      </c>
      <c r="B86" s="153" t="s">
        <v>5735</v>
      </c>
      <c r="C86" s="193">
        <f>ROUND(SUM('ANEXO 7'!AI8:AI14)+'ANEXO 7'!AI17+'ANEXO 7'!AI29,0)</f>
        <v>0</v>
      </c>
      <c r="D86" s="69"/>
    </row>
    <row r="87" spans="1:4" ht="22.5" x14ac:dyDescent="0.25">
      <c r="A87" s="162" t="s">
        <v>2157</v>
      </c>
      <c r="B87" s="153" t="s">
        <v>5444</v>
      </c>
      <c r="C87" s="116"/>
      <c r="D87" s="69"/>
    </row>
    <row r="88" spans="1:4" x14ac:dyDescent="0.25">
      <c r="A88" s="162" t="s">
        <v>2158</v>
      </c>
      <c r="B88" s="153" t="s">
        <v>638</v>
      </c>
      <c r="C88" s="52"/>
      <c r="D88" s="69"/>
    </row>
    <row r="89" spans="1:4" x14ac:dyDescent="0.25">
      <c r="A89" s="162"/>
      <c r="B89" s="153"/>
      <c r="C89" s="18"/>
      <c r="D89" s="69"/>
    </row>
    <row r="90" spans="1:4" x14ac:dyDescent="0.25">
      <c r="A90" s="162" t="s">
        <v>2159</v>
      </c>
      <c r="B90" s="153" t="s">
        <v>905</v>
      </c>
      <c r="C90" s="77">
        <f>ROUND(SUM(C67:C88),0)</f>
        <v>0</v>
      </c>
      <c r="D90" s="69"/>
    </row>
    <row r="91" spans="1:4" x14ac:dyDescent="0.25">
      <c r="A91" s="162"/>
      <c r="B91" s="153"/>
      <c r="C91" s="18"/>
      <c r="D91" s="69"/>
    </row>
    <row r="92" spans="1:4" x14ac:dyDescent="0.25">
      <c r="A92" s="162"/>
      <c r="B92" s="179" t="s">
        <v>2160</v>
      </c>
      <c r="C92" s="18"/>
      <c r="D92" s="69"/>
    </row>
    <row r="93" spans="1:4" x14ac:dyDescent="0.25">
      <c r="A93" s="162"/>
      <c r="B93" s="153"/>
      <c r="C93" s="18"/>
      <c r="D93" s="69"/>
    </row>
    <row r="94" spans="1:4" x14ac:dyDescent="0.25">
      <c r="A94" s="162" t="s">
        <v>2161</v>
      </c>
      <c r="B94" s="153" t="s">
        <v>1283</v>
      </c>
      <c r="C94" s="193">
        <f>ROUND('ANEXO 7'!C84,0)</f>
        <v>0</v>
      </c>
      <c r="D94" s="69"/>
    </row>
    <row r="95" spans="1:4" x14ac:dyDescent="0.25">
      <c r="A95" s="162" t="s">
        <v>2162</v>
      </c>
      <c r="B95" s="153" t="s">
        <v>903</v>
      </c>
      <c r="C95" s="193">
        <f>ROUND('ANEXO 7'!J84,0)</f>
        <v>0</v>
      </c>
      <c r="D95" s="69"/>
    </row>
    <row r="96" spans="1:4" x14ac:dyDescent="0.25">
      <c r="A96" s="162" t="s">
        <v>2163</v>
      </c>
      <c r="B96" s="153" t="s">
        <v>899</v>
      </c>
      <c r="C96" s="193">
        <f>ROUND('ANEXO 7'!X84,0)</f>
        <v>0</v>
      </c>
      <c r="D96" s="69"/>
    </row>
    <row r="97" spans="1:4" x14ac:dyDescent="0.25">
      <c r="A97" s="162" t="s">
        <v>2164</v>
      </c>
      <c r="B97" s="153" t="s">
        <v>901</v>
      </c>
      <c r="C97" s="193">
        <f>ROUND('ANEXO 7'!Q84,0)</f>
        <v>0</v>
      </c>
      <c r="D97" s="69"/>
    </row>
    <row r="98" spans="1:4" x14ac:dyDescent="0.25">
      <c r="A98" s="162"/>
      <c r="B98" s="153"/>
      <c r="C98" s="18"/>
      <c r="D98" s="69"/>
    </row>
    <row r="99" spans="1:4" x14ac:dyDescent="0.25">
      <c r="A99" s="162"/>
      <c r="B99" s="179" t="s">
        <v>2165</v>
      </c>
      <c r="C99" s="18"/>
      <c r="D99" s="69"/>
    </row>
    <row r="100" spans="1:4" x14ac:dyDescent="0.25">
      <c r="A100" s="162"/>
      <c r="B100" s="153"/>
      <c r="C100" s="18"/>
      <c r="D100" s="69"/>
    </row>
    <row r="101" spans="1:4" x14ac:dyDescent="0.25">
      <c r="A101" s="162" t="s">
        <v>2166</v>
      </c>
      <c r="B101" s="153" t="s">
        <v>1283</v>
      </c>
      <c r="C101" s="193">
        <f>ROUND('ANEXO 7'!C63,0)</f>
        <v>0</v>
      </c>
      <c r="D101" s="69"/>
    </row>
    <row r="102" spans="1:4" x14ac:dyDescent="0.25">
      <c r="A102" s="162" t="s">
        <v>2167</v>
      </c>
      <c r="B102" s="153" t="s">
        <v>903</v>
      </c>
      <c r="C102" s="193">
        <f>ROUND('ANEXO 7'!J63,0)</f>
        <v>0</v>
      </c>
      <c r="D102" s="69"/>
    </row>
    <row r="103" spans="1:4" x14ac:dyDescent="0.25">
      <c r="A103" s="162" t="s">
        <v>2168</v>
      </c>
      <c r="B103" s="153" t="s">
        <v>899</v>
      </c>
      <c r="C103" s="193">
        <f>ROUND('ANEXO 7'!X63,0)</f>
        <v>0</v>
      </c>
      <c r="D103" s="69"/>
    </row>
    <row r="104" spans="1:4" x14ac:dyDescent="0.25">
      <c r="A104" s="162" t="s">
        <v>2169</v>
      </c>
      <c r="B104" s="153" t="s">
        <v>901</v>
      </c>
      <c r="C104" s="193">
        <f>ROUND('ANEXO 7'!Q63,0)</f>
        <v>0</v>
      </c>
      <c r="D104" s="69"/>
    </row>
    <row r="105" spans="1:4" x14ac:dyDescent="0.25">
      <c r="A105" s="162"/>
      <c r="B105" s="153"/>
      <c r="C105" s="18"/>
      <c r="D105" s="69"/>
    </row>
    <row r="106" spans="1:4" x14ac:dyDescent="0.25">
      <c r="A106" s="162"/>
      <c r="B106" s="179" t="s">
        <v>2077</v>
      </c>
      <c r="C106" s="18"/>
      <c r="D106" s="69"/>
    </row>
    <row r="107" spans="1:4" x14ac:dyDescent="0.25">
      <c r="A107" s="162"/>
      <c r="B107" s="153"/>
      <c r="C107" s="18"/>
      <c r="D107" s="69"/>
    </row>
    <row r="108" spans="1:4" x14ac:dyDescent="0.25">
      <c r="A108" s="162" t="s">
        <v>2170</v>
      </c>
      <c r="B108" s="153" t="s">
        <v>2171</v>
      </c>
      <c r="C108" s="116"/>
      <c r="D108" s="69"/>
    </row>
    <row r="109" spans="1:4" x14ac:dyDescent="0.25">
      <c r="A109" s="162" t="s">
        <v>2172</v>
      </c>
      <c r="B109" s="153" t="s">
        <v>2173</v>
      </c>
      <c r="C109" s="116"/>
      <c r="D109" s="69"/>
    </row>
    <row r="110" spans="1:4" x14ac:dyDescent="0.25">
      <c r="A110" s="162" t="s">
        <v>2174</v>
      </c>
      <c r="B110" s="153" t="s">
        <v>2175</v>
      </c>
      <c r="C110" s="116"/>
      <c r="D110" s="69"/>
    </row>
    <row r="111" spans="1:4" x14ac:dyDescent="0.25">
      <c r="A111" s="162" t="s">
        <v>2176</v>
      </c>
      <c r="B111" s="153" t="s">
        <v>2177</v>
      </c>
      <c r="C111" s="116"/>
      <c r="D111" s="69"/>
    </row>
    <row r="112" spans="1:4" x14ac:dyDescent="0.25">
      <c r="A112" s="162" t="s">
        <v>2178</v>
      </c>
      <c r="B112" s="153" t="s">
        <v>1334</v>
      </c>
      <c r="C112" s="193">
        <f>ROUND('ANEXO 20'!F28,0)</f>
        <v>0</v>
      </c>
      <c r="D112" s="69"/>
    </row>
    <row r="113" spans="1:4" x14ac:dyDescent="0.25">
      <c r="A113" s="162" t="s">
        <v>2179</v>
      </c>
      <c r="B113" s="153" t="s">
        <v>2180</v>
      </c>
      <c r="C113" s="193">
        <f>ROUND('ANEXO 20'!G28,0)</f>
        <v>0</v>
      </c>
      <c r="D113" s="69"/>
    </row>
    <row r="114" spans="1:4" x14ac:dyDescent="0.25">
      <c r="A114" s="162" t="s">
        <v>2181</v>
      </c>
      <c r="B114" s="153" t="s">
        <v>2182</v>
      </c>
      <c r="C114" s="193">
        <f>ROUND('ANEXO 20'!F40+'ANEXO 20'!F46,0)</f>
        <v>0</v>
      </c>
      <c r="D114" s="69"/>
    </row>
    <row r="115" spans="1:4" x14ac:dyDescent="0.25">
      <c r="A115" s="162" t="s">
        <v>2183</v>
      </c>
      <c r="B115" s="153" t="s">
        <v>2184</v>
      </c>
      <c r="C115" s="116"/>
      <c r="D115" s="69"/>
    </row>
    <row r="116" spans="1:4" x14ac:dyDescent="0.25">
      <c r="A116" s="162" t="s">
        <v>2185</v>
      </c>
      <c r="B116" s="153" t="s">
        <v>2186</v>
      </c>
      <c r="C116" s="116"/>
      <c r="D116" s="69"/>
    </row>
    <row r="117" spans="1:4" x14ac:dyDescent="0.25">
      <c r="A117" s="162" t="s">
        <v>2187</v>
      </c>
      <c r="B117" s="153" t="s">
        <v>2188</v>
      </c>
      <c r="C117" s="116"/>
      <c r="D117" s="69"/>
    </row>
    <row r="118" spans="1:4" x14ac:dyDescent="0.25">
      <c r="A118" s="162" t="s">
        <v>2189</v>
      </c>
      <c r="B118" s="153" t="s">
        <v>2190</v>
      </c>
      <c r="C118" s="116">
        <f>C78</f>
        <v>0</v>
      </c>
      <c r="D118" s="69"/>
    </row>
    <row r="119" spans="1:4" x14ac:dyDescent="0.25">
      <c r="A119" s="162" t="s">
        <v>2191</v>
      </c>
      <c r="B119" s="153" t="s">
        <v>2192</v>
      </c>
      <c r="C119" s="116"/>
      <c r="D119" s="69"/>
    </row>
    <row r="120" spans="1:4" x14ac:dyDescent="0.25">
      <c r="A120" s="162" t="s">
        <v>2193</v>
      </c>
      <c r="B120" s="153" t="s">
        <v>5736</v>
      </c>
      <c r="C120" s="116"/>
      <c r="D120" s="69"/>
    </row>
    <row r="121" spans="1:4" ht="33.75" x14ac:dyDescent="0.25">
      <c r="A121" s="162" t="s">
        <v>2194</v>
      </c>
      <c r="B121" s="153" t="s">
        <v>2195</v>
      </c>
      <c r="C121" s="116"/>
      <c r="D121" s="69"/>
    </row>
    <row r="122" spans="1:4" x14ac:dyDescent="0.25">
      <c r="A122" s="162" t="s">
        <v>2196</v>
      </c>
      <c r="B122" s="153" t="s">
        <v>2197</v>
      </c>
      <c r="C122" s="193">
        <f>'ANEXO 1'!D183+'ANEXO 1'!D184</f>
        <v>0</v>
      </c>
      <c r="D122" s="69"/>
    </row>
    <row r="123" spans="1:4" x14ac:dyDescent="0.25">
      <c r="A123" s="162" t="s">
        <v>2198</v>
      </c>
      <c r="B123" s="153" t="s">
        <v>2199</v>
      </c>
      <c r="C123" s="116"/>
      <c r="D123" s="69"/>
    </row>
    <row r="124" spans="1:4" x14ac:dyDescent="0.25">
      <c r="A124" s="162" t="s">
        <v>2200</v>
      </c>
      <c r="B124" s="153" t="s">
        <v>2201</v>
      </c>
      <c r="C124" s="116"/>
      <c r="D124" s="69"/>
    </row>
    <row r="125" spans="1:4" ht="45" x14ac:dyDescent="0.25">
      <c r="A125" s="162" t="s">
        <v>2202</v>
      </c>
      <c r="B125" s="153" t="s">
        <v>2203</v>
      </c>
      <c r="C125" s="116"/>
      <c r="D125" s="69"/>
    </row>
    <row r="126" spans="1:4" ht="45" x14ac:dyDescent="0.25">
      <c r="A126" s="162" t="s">
        <v>2204</v>
      </c>
      <c r="B126" s="153" t="s">
        <v>2205</v>
      </c>
      <c r="C126" s="116"/>
      <c r="D126" s="69"/>
    </row>
    <row r="127" spans="1:4" x14ac:dyDescent="0.25">
      <c r="A127" s="162" t="s">
        <v>2206</v>
      </c>
      <c r="B127" s="153" t="s">
        <v>2207</v>
      </c>
      <c r="C127" s="116"/>
      <c r="D127" s="69"/>
    </row>
    <row r="128" spans="1:4" ht="22.5" x14ac:dyDescent="0.25">
      <c r="A128" s="162" t="s">
        <v>2208</v>
      </c>
      <c r="B128" s="153" t="s">
        <v>5445</v>
      </c>
      <c r="C128" s="185"/>
      <c r="D128" s="69"/>
    </row>
    <row r="129" spans="1:4" x14ac:dyDescent="0.25">
      <c r="A129" s="162" t="s">
        <v>2209</v>
      </c>
      <c r="B129" s="153" t="s">
        <v>638</v>
      </c>
      <c r="C129" s="52"/>
      <c r="D129" s="69"/>
    </row>
    <row r="130" spans="1:4" x14ac:dyDescent="0.25">
      <c r="A130" s="162"/>
      <c r="B130" s="153"/>
      <c r="C130" s="18"/>
      <c r="D130" s="69"/>
    </row>
    <row r="131" spans="1:4" x14ac:dyDescent="0.25">
      <c r="A131" s="162" t="s">
        <v>2210</v>
      </c>
      <c r="B131" s="153" t="s">
        <v>905</v>
      </c>
      <c r="C131" s="77">
        <f>ROUND(SUM(C108:C129),0)</f>
        <v>0</v>
      </c>
      <c r="D131" s="69"/>
    </row>
    <row r="132" spans="1:4" x14ac:dyDescent="0.25">
      <c r="A132" s="162"/>
      <c r="B132" s="153"/>
      <c r="C132" s="18"/>
      <c r="D132" s="69"/>
    </row>
    <row r="133" spans="1:4" x14ac:dyDescent="0.25">
      <c r="A133" s="162"/>
      <c r="B133" s="179" t="s">
        <v>2079</v>
      </c>
      <c r="C133" s="18"/>
      <c r="D133" s="69"/>
    </row>
    <row r="134" spans="1:4" x14ac:dyDescent="0.25">
      <c r="A134" s="162"/>
      <c r="B134" s="153"/>
      <c r="C134" s="18"/>
      <c r="D134" s="69"/>
    </row>
    <row r="135" spans="1:4" x14ac:dyDescent="0.25">
      <c r="A135" s="162" t="s">
        <v>2211</v>
      </c>
      <c r="B135" s="153" t="s">
        <v>928</v>
      </c>
      <c r="C135" s="193">
        <f>'ANEXO 8'!C42</f>
        <v>0</v>
      </c>
      <c r="D135" s="69"/>
    </row>
    <row r="136" spans="1:4" x14ac:dyDescent="0.25">
      <c r="A136" s="162" t="s">
        <v>2213</v>
      </c>
      <c r="B136" s="153" t="s">
        <v>2212</v>
      </c>
      <c r="C136" s="193">
        <f>'ANEXO 5'!C29</f>
        <v>0</v>
      </c>
      <c r="D136" s="69"/>
    </row>
    <row r="137" spans="1:4" x14ac:dyDescent="0.25">
      <c r="A137" s="162" t="s">
        <v>2215</v>
      </c>
      <c r="B137" s="153" t="s">
        <v>2214</v>
      </c>
      <c r="C137" s="193">
        <f>'ANEXO 5'!C30+'ANEXO 5'!C31</f>
        <v>0</v>
      </c>
      <c r="D137" s="69"/>
    </row>
    <row r="138" spans="1:4" x14ac:dyDescent="0.25">
      <c r="A138" s="162" t="s">
        <v>2217</v>
      </c>
      <c r="B138" s="153" t="s">
        <v>2216</v>
      </c>
      <c r="C138" s="116"/>
      <c r="D138" s="69"/>
    </row>
    <row r="139" spans="1:4" x14ac:dyDescent="0.25">
      <c r="A139" s="162" t="s">
        <v>2219</v>
      </c>
      <c r="B139" s="153" t="s">
        <v>2218</v>
      </c>
      <c r="C139" s="116"/>
      <c r="D139" s="69"/>
    </row>
    <row r="140" spans="1:4" ht="22.5" x14ac:dyDescent="0.25">
      <c r="A140" s="162" t="s">
        <v>2221</v>
      </c>
      <c r="B140" s="153" t="s">
        <v>2220</v>
      </c>
      <c r="C140" s="116"/>
      <c r="D140" s="69"/>
    </row>
    <row r="141" spans="1:4" x14ac:dyDescent="0.25">
      <c r="A141" s="162" t="s">
        <v>2223</v>
      </c>
      <c r="B141" s="153" t="s">
        <v>2222</v>
      </c>
      <c r="C141" s="116"/>
      <c r="D141" s="69"/>
    </row>
    <row r="142" spans="1:4" x14ac:dyDescent="0.25">
      <c r="A142" s="162" t="s">
        <v>2225</v>
      </c>
      <c r="B142" s="153" t="s">
        <v>2224</v>
      </c>
      <c r="C142" s="116"/>
      <c r="D142" s="69"/>
    </row>
    <row r="143" spans="1:4" x14ac:dyDescent="0.25">
      <c r="A143" s="162" t="s">
        <v>2227</v>
      </c>
      <c r="B143" s="153" t="s">
        <v>2226</v>
      </c>
      <c r="C143" s="193">
        <f>'ANEXO 5'!C34</f>
        <v>0</v>
      </c>
      <c r="D143" s="69"/>
    </row>
    <row r="144" spans="1:4" ht="22.5" x14ac:dyDescent="0.25">
      <c r="A144" s="162" t="s">
        <v>2229</v>
      </c>
      <c r="B144" s="153" t="s">
        <v>2228</v>
      </c>
      <c r="C144" s="116"/>
      <c r="D144" s="69"/>
    </row>
    <row r="145" spans="1:4" x14ac:dyDescent="0.25">
      <c r="A145" s="162" t="s">
        <v>2231</v>
      </c>
      <c r="B145" s="153" t="s">
        <v>2230</v>
      </c>
      <c r="C145" s="116"/>
      <c r="D145" s="69"/>
    </row>
    <row r="146" spans="1:4" ht="22.5" x14ac:dyDescent="0.25">
      <c r="A146" s="162" t="s">
        <v>2233</v>
      </c>
      <c r="B146" s="153" t="s">
        <v>2232</v>
      </c>
      <c r="C146" s="116"/>
      <c r="D146" s="69"/>
    </row>
    <row r="147" spans="1:4" ht="22.5" x14ac:dyDescent="0.25">
      <c r="A147" s="162" t="s">
        <v>2235</v>
      </c>
      <c r="B147" s="153" t="s">
        <v>2234</v>
      </c>
      <c r="C147" s="116"/>
      <c r="D147" s="69"/>
    </row>
    <row r="148" spans="1:4" x14ac:dyDescent="0.25">
      <c r="A148" s="162" t="s">
        <v>2236</v>
      </c>
      <c r="B148" s="153" t="s">
        <v>638</v>
      </c>
      <c r="C148" s="52"/>
      <c r="D148" s="69"/>
    </row>
    <row r="149" spans="1:4" x14ac:dyDescent="0.25">
      <c r="A149" s="162"/>
      <c r="B149" s="153"/>
      <c r="C149" s="18"/>
      <c r="D149" s="69"/>
    </row>
    <row r="150" spans="1:4" x14ac:dyDescent="0.25">
      <c r="A150" s="162" t="s">
        <v>5446</v>
      </c>
      <c r="B150" s="153" t="s">
        <v>905</v>
      </c>
      <c r="C150" s="77">
        <f>ROUND(SUM(C135:C148),0)</f>
        <v>0</v>
      </c>
      <c r="D150" s="69"/>
    </row>
    <row r="151" spans="1:4" ht="8.1" customHeight="1" x14ac:dyDescent="0.25">
      <c r="A151" s="70" t="s">
        <v>0</v>
      </c>
      <c r="B151" s="152"/>
      <c r="C151" s="70"/>
      <c r="D151" s="14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104"/>
  <sheetViews>
    <sheetView workbookViewId="0"/>
  </sheetViews>
  <sheetFormatPr defaultColWidth="11.5703125" defaultRowHeight="15" x14ac:dyDescent="0.25"/>
  <cols>
    <col min="1" max="1" width="14.28515625" style="107" customWidth="1"/>
    <col min="2" max="2" width="40.28515625" style="107" customWidth="1"/>
    <col min="3" max="3" width="18.7109375" style="107" customWidth="1"/>
    <col min="4" max="4" width="1.7109375" style="107" customWidth="1"/>
    <col min="5" max="16384" width="11.5703125" style="107"/>
  </cols>
  <sheetData>
    <row r="1" spans="1:4" ht="67.5" x14ac:dyDescent="0.25">
      <c r="A1" s="42" t="s">
        <v>0</v>
      </c>
      <c r="B1" s="76" t="s">
        <v>5614</v>
      </c>
      <c r="C1" s="42"/>
      <c r="D1" s="69"/>
    </row>
    <row r="2" spans="1:4" x14ac:dyDescent="0.25">
      <c r="A2" s="78" t="s">
        <v>5597</v>
      </c>
      <c r="B2" s="78" t="s">
        <v>5598</v>
      </c>
      <c r="C2" s="78" t="s">
        <v>905</v>
      </c>
      <c r="D2" s="69" t="s">
        <v>0</v>
      </c>
    </row>
    <row r="3" spans="1:4" x14ac:dyDescent="0.25">
      <c r="A3" s="163"/>
      <c r="B3" s="46" t="s">
        <v>0</v>
      </c>
      <c r="C3" s="47"/>
      <c r="D3" s="69"/>
    </row>
    <row r="4" spans="1:4" x14ac:dyDescent="0.25">
      <c r="A4" s="163"/>
      <c r="B4" s="48" t="s">
        <v>5626</v>
      </c>
      <c r="C4" s="47"/>
      <c r="D4" s="69"/>
    </row>
    <row r="5" spans="1:4" x14ac:dyDescent="0.25">
      <c r="A5" s="163"/>
      <c r="B5" s="160"/>
      <c r="C5" s="18"/>
      <c r="D5" s="69"/>
    </row>
    <row r="6" spans="1:4" x14ac:dyDescent="0.25">
      <c r="A6" s="162" t="s">
        <v>2269</v>
      </c>
      <c r="B6" s="153" t="s">
        <v>889</v>
      </c>
      <c r="C6" s="68">
        <f>'ANEXO 2'!C7</f>
        <v>0</v>
      </c>
      <c r="D6" s="69"/>
    </row>
    <row r="7" spans="1:4" x14ac:dyDescent="0.25">
      <c r="A7" s="162"/>
      <c r="B7" s="153"/>
      <c r="C7" s="18"/>
      <c r="D7" s="69"/>
    </row>
    <row r="8" spans="1:4" x14ac:dyDescent="0.25">
      <c r="A8" s="162"/>
      <c r="B8" s="153" t="s">
        <v>1267</v>
      </c>
      <c r="C8" s="18"/>
      <c r="D8" s="69"/>
    </row>
    <row r="9" spans="1:4" x14ac:dyDescent="0.25">
      <c r="A9" s="162"/>
      <c r="B9" s="153"/>
      <c r="C9" s="18"/>
      <c r="D9" s="69"/>
    </row>
    <row r="10" spans="1:4" x14ac:dyDescent="0.25">
      <c r="A10" s="162" t="s">
        <v>2270</v>
      </c>
      <c r="B10" s="153" t="s">
        <v>1529</v>
      </c>
      <c r="C10" s="193">
        <f>ROUND('ANEXO 8'!C20,0)</f>
        <v>0</v>
      </c>
      <c r="D10" s="69"/>
    </row>
    <row r="11" spans="1:4" x14ac:dyDescent="0.25">
      <c r="A11" s="162" t="s">
        <v>2271</v>
      </c>
      <c r="B11" s="153" t="s">
        <v>928</v>
      </c>
      <c r="C11" s="193">
        <f>ROUND('ANEXO 8'!C42,0)</f>
        <v>0</v>
      </c>
      <c r="D11" s="69"/>
    </row>
    <row r="12" spans="1:4" x14ac:dyDescent="0.25">
      <c r="A12" s="162" t="s">
        <v>2272</v>
      </c>
      <c r="B12" s="153" t="s">
        <v>2273</v>
      </c>
      <c r="C12" s="193">
        <f>ROUND('ANEXO 8'!C43,0)</f>
        <v>0</v>
      </c>
      <c r="D12" s="69"/>
    </row>
    <row r="13" spans="1:4" x14ac:dyDescent="0.25">
      <c r="A13" s="162" t="s">
        <v>2274</v>
      </c>
      <c r="B13" s="153" t="s">
        <v>932</v>
      </c>
      <c r="C13" s="193">
        <f>ROUND('ANEXO 8'!C48,0)</f>
        <v>0</v>
      </c>
      <c r="D13" s="69"/>
    </row>
    <row r="14" spans="1:4" ht="22.5" x14ac:dyDescent="0.25">
      <c r="A14" s="162" t="s">
        <v>2275</v>
      </c>
      <c r="B14" s="153" t="s">
        <v>2276</v>
      </c>
      <c r="C14" s="193">
        <f>ROUND('ANEXO 8'!C49,0)</f>
        <v>0</v>
      </c>
      <c r="D14" s="69"/>
    </row>
    <row r="15" spans="1:4" x14ac:dyDescent="0.25">
      <c r="A15" s="162" t="s">
        <v>2277</v>
      </c>
      <c r="B15" s="153" t="s">
        <v>940</v>
      </c>
      <c r="C15" s="52"/>
      <c r="D15" s="69"/>
    </row>
    <row r="16" spans="1:4" ht="22.5" x14ac:dyDescent="0.25">
      <c r="A16" s="162" t="s">
        <v>2278</v>
      </c>
      <c r="B16" s="153" t="s">
        <v>2279</v>
      </c>
      <c r="C16" s="193">
        <f>ROUND('ANEXO 8'!C65,0)</f>
        <v>0</v>
      </c>
      <c r="D16" s="69"/>
    </row>
    <row r="17" spans="1:4" ht="22.5" x14ac:dyDescent="0.25">
      <c r="A17" s="162" t="s">
        <v>2280</v>
      </c>
      <c r="B17" s="153" t="s">
        <v>5447</v>
      </c>
      <c r="C17" s="193">
        <f>ROUND('ANEXO 8'!C58,0)</f>
        <v>0</v>
      </c>
      <c r="D17" s="69"/>
    </row>
    <row r="18" spans="1:4" ht="33.75" x14ac:dyDescent="0.25">
      <c r="A18" s="162" t="s">
        <v>2281</v>
      </c>
      <c r="B18" s="153" t="s">
        <v>2311</v>
      </c>
      <c r="C18" s="193">
        <f>ROUND('ANEXO 8'!C59,0)</f>
        <v>0</v>
      </c>
      <c r="D18" s="69"/>
    </row>
    <row r="19" spans="1:4" x14ac:dyDescent="0.25">
      <c r="A19" s="162" t="s">
        <v>2282</v>
      </c>
      <c r="B19" s="153" t="s">
        <v>2283</v>
      </c>
      <c r="C19" s="54">
        <f>ROUND(SUM(C10:C14)+C15+SUM(C16:C18),0)</f>
        <v>0</v>
      </c>
      <c r="D19" s="69"/>
    </row>
    <row r="20" spans="1:4" x14ac:dyDescent="0.25">
      <c r="A20" s="162"/>
      <c r="B20" s="153"/>
      <c r="C20" s="18"/>
      <c r="D20" s="69"/>
    </row>
    <row r="21" spans="1:4" ht="22.5" x14ac:dyDescent="0.25">
      <c r="A21" s="162" t="s">
        <v>2284</v>
      </c>
      <c r="B21" s="153" t="s">
        <v>5737</v>
      </c>
      <c r="C21" s="117"/>
      <c r="D21" s="69"/>
    </row>
    <row r="22" spans="1:4" ht="33.75" x14ac:dyDescent="0.25">
      <c r="A22" s="162" t="s">
        <v>2285</v>
      </c>
      <c r="B22" s="153" t="s">
        <v>2286</v>
      </c>
      <c r="C22" s="193">
        <f>ROUND('ANEXO 11'!C145,0)</f>
        <v>0</v>
      </c>
      <c r="D22" s="69"/>
    </row>
    <row r="23" spans="1:4" x14ac:dyDescent="0.25">
      <c r="A23" s="162" t="s">
        <v>2287</v>
      </c>
      <c r="B23" s="153" t="s">
        <v>2288</v>
      </c>
      <c r="C23" s="192">
        <f>ROUND('ANEXO 2'!C34,0)</f>
        <v>0</v>
      </c>
      <c r="D23" s="69"/>
    </row>
    <row r="24" spans="1:4" ht="22.5" x14ac:dyDescent="0.25">
      <c r="A24" s="162" t="s">
        <v>2289</v>
      </c>
      <c r="B24" s="153" t="s">
        <v>5738</v>
      </c>
      <c r="C24" s="192">
        <f>ROUND('ANEXO 2'!C81,0)</f>
        <v>0</v>
      </c>
      <c r="D24" s="69"/>
    </row>
    <row r="25" spans="1:4" ht="22.5" x14ac:dyDescent="0.25">
      <c r="A25" s="162" t="s">
        <v>2290</v>
      </c>
      <c r="B25" s="153" t="s">
        <v>5739</v>
      </c>
      <c r="C25" s="192">
        <f>ROUND('ANEXO 2'!C83,0)</f>
        <v>0</v>
      </c>
      <c r="D25" s="69"/>
    </row>
    <row r="26" spans="1:4" ht="22.5" x14ac:dyDescent="0.25">
      <c r="A26" s="162" t="s">
        <v>2291</v>
      </c>
      <c r="B26" s="153" t="s">
        <v>2292</v>
      </c>
      <c r="C26" s="192">
        <f>ROUND('ANEXO 2'!C85,0)</f>
        <v>0</v>
      </c>
      <c r="D26" s="69"/>
    </row>
    <row r="27" spans="1:4" ht="22.5" x14ac:dyDescent="0.25">
      <c r="A27" s="162" t="s">
        <v>2293</v>
      </c>
      <c r="B27" s="153" t="s">
        <v>5740</v>
      </c>
      <c r="C27" s="192">
        <f>ROUND('ANEXO 2'!C87,0)</f>
        <v>0</v>
      </c>
      <c r="D27" s="69"/>
    </row>
    <row r="28" spans="1:4" x14ac:dyDescent="0.25">
      <c r="A28" s="162" t="s">
        <v>2294</v>
      </c>
      <c r="B28" s="153" t="s">
        <v>638</v>
      </c>
      <c r="C28" s="52"/>
      <c r="D28" s="69"/>
    </row>
    <row r="29" spans="1:4" x14ac:dyDescent="0.25">
      <c r="A29" s="162" t="s">
        <v>2295</v>
      </c>
      <c r="B29" s="153" t="s">
        <v>2296</v>
      </c>
      <c r="C29" s="117"/>
      <c r="D29" s="69"/>
    </row>
    <row r="30" spans="1:4" x14ac:dyDescent="0.25">
      <c r="A30" s="162" t="s">
        <v>2297</v>
      </c>
      <c r="B30" s="153" t="s">
        <v>2298</v>
      </c>
      <c r="C30" s="54">
        <f>ROUND(SUM(C21:C28)+C29,0)</f>
        <v>0</v>
      </c>
      <c r="D30" s="69"/>
    </row>
    <row r="31" spans="1:4" x14ac:dyDescent="0.25">
      <c r="A31" s="162"/>
      <c r="B31" s="153"/>
      <c r="C31" s="18"/>
      <c r="D31" s="69"/>
    </row>
    <row r="32" spans="1:4" ht="33.75" x14ac:dyDescent="0.25">
      <c r="A32" s="162" t="s">
        <v>2299</v>
      </c>
      <c r="B32" s="153" t="s">
        <v>2300</v>
      </c>
      <c r="C32" s="54">
        <f>ROUND(C30+C19+C6,0)</f>
        <v>0</v>
      </c>
      <c r="D32" s="69"/>
    </row>
    <row r="33" spans="1:4" x14ac:dyDescent="0.25">
      <c r="A33" s="162"/>
      <c r="B33" s="153"/>
      <c r="C33" s="18"/>
      <c r="D33" s="69"/>
    </row>
    <row r="34" spans="1:4" x14ac:dyDescent="0.25">
      <c r="A34" s="162"/>
      <c r="B34" s="153" t="s">
        <v>2301</v>
      </c>
      <c r="C34" s="18"/>
      <c r="D34" s="69"/>
    </row>
    <row r="35" spans="1:4" x14ac:dyDescent="0.25">
      <c r="A35" s="162"/>
      <c r="B35" s="153"/>
      <c r="C35" s="18"/>
      <c r="D35" s="69"/>
    </row>
    <row r="36" spans="1:4" ht="22.5" x14ac:dyDescent="0.25">
      <c r="A36" s="162" t="s">
        <v>2302</v>
      </c>
      <c r="B36" s="153" t="s">
        <v>2303</v>
      </c>
      <c r="C36" s="117"/>
      <c r="D36" s="69"/>
    </row>
    <row r="37" spans="1:4" x14ac:dyDescent="0.25">
      <c r="A37" s="162" t="s">
        <v>2304</v>
      </c>
      <c r="B37" s="153" t="s">
        <v>2273</v>
      </c>
      <c r="C37" s="192">
        <f>ROUND('ANEXO 8'!C43,0)</f>
        <v>0</v>
      </c>
      <c r="D37" s="69"/>
    </row>
    <row r="38" spans="1:4" x14ac:dyDescent="0.25">
      <c r="A38" s="162" t="s">
        <v>2305</v>
      </c>
      <c r="B38" s="153" t="s">
        <v>932</v>
      </c>
      <c r="C38" s="192">
        <f>ROUND('ANEXO 8'!C48,0)</f>
        <v>0</v>
      </c>
      <c r="D38" s="69"/>
    </row>
    <row r="39" spans="1:4" ht="22.5" x14ac:dyDescent="0.25">
      <c r="A39" s="162" t="s">
        <v>2306</v>
      </c>
      <c r="B39" s="153" t="s">
        <v>2276</v>
      </c>
      <c r="C39" s="192">
        <f>ROUND('ANEXO 8'!C49,0)</f>
        <v>0</v>
      </c>
      <c r="D39" s="69"/>
    </row>
    <row r="40" spans="1:4" ht="22.5" x14ac:dyDescent="0.25">
      <c r="A40" s="162" t="s">
        <v>2307</v>
      </c>
      <c r="B40" s="153" t="s">
        <v>2279</v>
      </c>
      <c r="C40" s="192">
        <f>ROUND('ANEXO 8'!C65,0)</f>
        <v>0</v>
      </c>
      <c r="D40" s="69"/>
    </row>
    <row r="41" spans="1:4" ht="22.5" x14ac:dyDescent="0.25">
      <c r="A41" s="162" t="s">
        <v>2308</v>
      </c>
      <c r="B41" s="153" t="s">
        <v>2309</v>
      </c>
      <c r="C41" s="192">
        <f>ROUND('ANEXO 5'!C41,0)</f>
        <v>0</v>
      </c>
      <c r="D41" s="69"/>
    </row>
    <row r="42" spans="1:4" ht="33.75" x14ac:dyDescent="0.25">
      <c r="A42" s="162" t="s">
        <v>2310</v>
      </c>
      <c r="B42" s="153" t="s">
        <v>2311</v>
      </c>
      <c r="C42" s="192">
        <f>ROUND('ANEXO 8'!C57,0)</f>
        <v>0</v>
      </c>
      <c r="D42" s="69"/>
    </row>
    <row r="43" spans="1:4" x14ac:dyDescent="0.25">
      <c r="A43" s="162" t="s">
        <v>2312</v>
      </c>
      <c r="B43" s="153" t="s">
        <v>638</v>
      </c>
      <c r="C43" s="52"/>
      <c r="D43" s="69"/>
    </row>
    <row r="44" spans="1:4" x14ac:dyDescent="0.25">
      <c r="A44" s="162" t="s">
        <v>2313</v>
      </c>
      <c r="B44" s="153" t="s">
        <v>905</v>
      </c>
      <c r="C44" s="54">
        <f>SUM(C36:C43)</f>
        <v>0</v>
      </c>
      <c r="D44" s="69"/>
    </row>
    <row r="45" spans="1:4" x14ac:dyDescent="0.25">
      <c r="A45" s="162"/>
      <c r="B45" s="153"/>
      <c r="C45" s="18"/>
      <c r="D45" s="69"/>
    </row>
    <row r="46" spans="1:4" x14ac:dyDescent="0.25">
      <c r="A46" s="162"/>
      <c r="B46" s="153" t="s">
        <v>1267</v>
      </c>
      <c r="C46" s="18"/>
      <c r="D46" s="69"/>
    </row>
    <row r="47" spans="1:4" x14ac:dyDescent="0.25">
      <c r="A47" s="162"/>
      <c r="B47" s="153"/>
      <c r="C47" s="20"/>
      <c r="D47" s="69"/>
    </row>
    <row r="48" spans="1:4" x14ac:dyDescent="0.25">
      <c r="A48" s="162" t="s">
        <v>2314</v>
      </c>
      <c r="B48" s="153" t="s">
        <v>2103</v>
      </c>
      <c r="C48" s="68">
        <f>ROUND('ANEXO 11'!C50,0)</f>
        <v>0</v>
      </c>
      <c r="D48" s="69"/>
    </row>
    <row r="49" spans="1:4" x14ac:dyDescent="0.25">
      <c r="A49" s="162" t="s">
        <v>2315</v>
      </c>
      <c r="B49" s="153" t="s">
        <v>2114</v>
      </c>
      <c r="C49" s="193">
        <f>ROUND('ANEXO 11'!C56,0)</f>
        <v>0</v>
      </c>
      <c r="D49" s="69"/>
    </row>
    <row r="50" spans="1:4" ht="22.5" x14ac:dyDescent="0.25">
      <c r="A50" s="162" t="s">
        <v>2316</v>
      </c>
      <c r="B50" s="153" t="s">
        <v>2317</v>
      </c>
      <c r="C50" s="117"/>
      <c r="D50" s="69"/>
    </row>
    <row r="51" spans="1:4" ht="22.5" x14ac:dyDescent="0.25">
      <c r="A51" s="162" t="s">
        <v>2318</v>
      </c>
      <c r="B51" s="153" t="s">
        <v>2319</v>
      </c>
      <c r="C51" s="192">
        <f>ROUND('ANEXO 11'!C53,0)</f>
        <v>0</v>
      </c>
      <c r="D51" s="69"/>
    </row>
    <row r="52" spans="1:4" ht="22.5" x14ac:dyDescent="0.25">
      <c r="A52" s="162" t="s">
        <v>2320</v>
      </c>
      <c r="B52" s="153" t="s">
        <v>2321</v>
      </c>
      <c r="C52" s="192">
        <f>ROUND('ANEXO 11'!C52,0)</f>
        <v>0</v>
      </c>
      <c r="D52" s="69"/>
    </row>
    <row r="53" spans="1:4" ht="22.5" x14ac:dyDescent="0.25">
      <c r="A53" s="162" t="s">
        <v>2322</v>
      </c>
      <c r="B53" s="153" t="s">
        <v>5741</v>
      </c>
      <c r="C53" s="192">
        <f>ROUND('ANEXO 11'!C52,0)</f>
        <v>0</v>
      </c>
      <c r="D53" s="69"/>
    </row>
    <row r="54" spans="1:4" ht="22.5" x14ac:dyDescent="0.25">
      <c r="A54" s="162" t="s">
        <v>2323</v>
      </c>
      <c r="B54" s="153" t="s">
        <v>5742</v>
      </c>
      <c r="C54" s="117"/>
      <c r="D54" s="69"/>
    </row>
    <row r="55" spans="1:4" ht="22.5" x14ac:dyDescent="0.25">
      <c r="A55" s="162" t="s">
        <v>2324</v>
      </c>
      <c r="B55" s="153" t="s">
        <v>2325</v>
      </c>
      <c r="C55" s="117"/>
      <c r="D55" s="69"/>
    </row>
    <row r="56" spans="1:4" ht="33.75" x14ac:dyDescent="0.25">
      <c r="A56" s="162" t="s">
        <v>2326</v>
      </c>
      <c r="B56" s="153" t="s">
        <v>2327</v>
      </c>
      <c r="C56" s="117"/>
      <c r="D56" s="69"/>
    </row>
    <row r="57" spans="1:4" ht="22.5" x14ac:dyDescent="0.25">
      <c r="A57" s="162" t="s">
        <v>2328</v>
      </c>
      <c r="B57" s="153" t="s">
        <v>2329</v>
      </c>
      <c r="C57" s="192">
        <f>ROUND('ANEXO 5'!C14,0)</f>
        <v>0</v>
      </c>
      <c r="D57" s="69"/>
    </row>
    <row r="58" spans="1:4" ht="22.5" x14ac:dyDescent="0.25">
      <c r="A58" s="162" t="s">
        <v>2330</v>
      </c>
      <c r="B58" s="153" t="s">
        <v>2331</v>
      </c>
      <c r="C58" s="192">
        <f>ROUND('ANEXO 5'!C15,0)</f>
        <v>0</v>
      </c>
      <c r="D58" s="69"/>
    </row>
    <row r="59" spans="1:4" ht="56.25" x14ac:dyDescent="0.25">
      <c r="A59" s="162" t="s">
        <v>2332</v>
      </c>
      <c r="B59" s="153" t="s">
        <v>2333</v>
      </c>
      <c r="C59" s="117"/>
      <c r="D59" s="69"/>
    </row>
    <row r="60" spans="1:4" x14ac:dyDescent="0.25">
      <c r="A60" s="162" t="s">
        <v>2334</v>
      </c>
      <c r="B60" s="153" t="s">
        <v>638</v>
      </c>
      <c r="C60" s="52"/>
      <c r="D60" s="69"/>
    </row>
    <row r="61" spans="1:4" x14ac:dyDescent="0.25">
      <c r="A61" s="162" t="s">
        <v>2335</v>
      </c>
      <c r="B61" s="153" t="s">
        <v>905</v>
      </c>
      <c r="C61" s="54">
        <f>SUM(C48:C60)</f>
        <v>0</v>
      </c>
      <c r="D61" s="69"/>
    </row>
    <row r="62" spans="1:4" x14ac:dyDescent="0.25">
      <c r="A62" s="162"/>
      <c r="B62" s="153"/>
      <c r="C62" s="18"/>
      <c r="D62" s="69"/>
    </row>
    <row r="63" spans="1:4" x14ac:dyDescent="0.25">
      <c r="A63" s="162"/>
      <c r="B63" s="153" t="s">
        <v>890</v>
      </c>
      <c r="C63" s="18"/>
      <c r="D63" s="69"/>
    </row>
    <row r="64" spans="1:4" x14ac:dyDescent="0.25">
      <c r="A64" s="162"/>
      <c r="B64" s="153"/>
      <c r="C64" s="18"/>
      <c r="D64" s="69"/>
    </row>
    <row r="65" spans="1:4" x14ac:dyDescent="0.25">
      <c r="A65" s="162" t="s">
        <v>2336</v>
      </c>
      <c r="B65" s="153" t="s">
        <v>2337</v>
      </c>
      <c r="C65" s="193">
        <f>ROUND('ANEXO 11'!C122,0)</f>
        <v>0</v>
      </c>
      <c r="D65" s="69"/>
    </row>
    <row r="66" spans="1:4" x14ac:dyDescent="0.25">
      <c r="A66" s="162" t="s">
        <v>2338</v>
      </c>
      <c r="B66" s="153" t="s">
        <v>2339</v>
      </c>
      <c r="C66" s="193">
        <f>ROUND('ANEXO 5'!C30,0)</f>
        <v>0</v>
      </c>
      <c r="D66" s="69"/>
    </row>
    <row r="67" spans="1:4" x14ac:dyDescent="0.25">
      <c r="A67" s="162" t="s">
        <v>2340</v>
      </c>
      <c r="B67" s="153" t="s">
        <v>2341</v>
      </c>
      <c r="C67" s="193">
        <f>ROUND('ANEXO 5'!C31,0)</f>
        <v>0</v>
      </c>
      <c r="D67" s="69"/>
    </row>
    <row r="68" spans="1:4" ht="22.5" x14ac:dyDescent="0.25">
      <c r="A68" s="162" t="s">
        <v>2342</v>
      </c>
      <c r="B68" s="153" t="s">
        <v>2343</v>
      </c>
      <c r="C68" s="193">
        <f>ROUND('ANEXO 5'!C29,0)</f>
        <v>0</v>
      </c>
      <c r="D68" s="69"/>
    </row>
    <row r="69" spans="1:4" x14ac:dyDescent="0.25">
      <c r="A69" s="162" t="s">
        <v>2344</v>
      </c>
      <c r="B69" s="153" t="s">
        <v>2345</v>
      </c>
      <c r="C69" s="117"/>
      <c r="D69" s="69"/>
    </row>
    <row r="70" spans="1:4" ht="22.5" x14ac:dyDescent="0.25">
      <c r="A70" s="162" t="s">
        <v>2346</v>
      </c>
      <c r="B70" s="153" t="s">
        <v>2347</v>
      </c>
      <c r="C70" s="117"/>
      <c r="D70" s="69"/>
    </row>
    <row r="71" spans="1:4" ht="33.75" x14ac:dyDescent="0.25">
      <c r="A71" s="162" t="s">
        <v>2348</v>
      </c>
      <c r="B71" s="153" t="s">
        <v>2349</v>
      </c>
      <c r="C71" s="192">
        <f>'ANEXO 5'!C34</f>
        <v>0</v>
      </c>
      <c r="D71" s="69"/>
    </row>
    <row r="72" spans="1:4" x14ac:dyDescent="0.25">
      <c r="A72" s="162" t="s">
        <v>2350</v>
      </c>
      <c r="B72" s="153" t="s">
        <v>2296</v>
      </c>
      <c r="C72" s="117"/>
      <c r="D72" s="69"/>
    </row>
    <row r="73" spans="1:4" x14ac:dyDescent="0.25">
      <c r="A73" s="162" t="s">
        <v>2351</v>
      </c>
      <c r="B73" s="153" t="s">
        <v>638</v>
      </c>
      <c r="C73" s="52"/>
      <c r="D73" s="69"/>
    </row>
    <row r="74" spans="1:4" x14ac:dyDescent="0.25">
      <c r="A74" s="162" t="s">
        <v>2352</v>
      </c>
      <c r="B74" s="153" t="s">
        <v>905</v>
      </c>
      <c r="C74" s="54">
        <f>SUM(C65:C73)</f>
        <v>0</v>
      </c>
      <c r="D74" s="69"/>
    </row>
    <row r="75" spans="1:4" x14ac:dyDescent="0.25">
      <c r="A75" s="162"/>
      <c r="B75" s="153"/>
      <c r="C75" s="18"/>
      <c r="D75" s="69"/>
    </row>
    <row r="76" spans="1:4" ht="22.5" x14ac:dyDescent="0.25">
      <c r="A76" s="162" t="s">
        <v>2353</v>
      </c>
      <c r="B76" s="153" t="s">
        <v>2354</v>
      </c>
      <c r="C76" s="65">
        <f>C32-C44+C61-C74</f>
        <v>0</v>
      </c>
      <c r="D76" s="69"/>
    </row>
    <row r="77" spans="1:4" x14ac:dyDescent="0.25">
      <c r="A77" s="162"/>
      <c r="B77" s="153"/>
      <c r="C77" s="18"/>
      <c r="D77" s="69"/>
    </row>
    <row r="78" spans="1:4" x14ac:dyDescent="0.25">
      <c r="A78" s="162"/>
      <c r="B78" s="153" t="s">
        <v>1267</v>
      </c>
      <c r="C78" s="18"/>
      <c r="D78" s="69"/>
    </row>
    <row r="79" spans="1:4" x14ac:dyDescent="0.25">
      <c r="A79" s="162"/>
      <c r="B79" s="153"/>
      <c r="C79" s="18"/>
      <c r="D79" s="69"/>
    </row>
    <row r="80" spans="1:4" ht="22.5" x14ac:dyDescent="0.25">
      <c r="A80" s="162" t="s">
        <v>2355</v>
      </c>
      <c r="B80" s="153" t="s">
        <v>5448</v>
      </c>
      <c r="C80" s="116"/>
      <c r="D80" s="69"/>
    </row>
    <row r="81" spans="1:4" ht="22.5" x14ac:dyDescent="0.25">
      <c r="A81" s="162" t="s">
        <v>2356</v>
      </c>
      <c r="B81" s="153" t="s">
        <v>2357</v>
      </c>
      <c r="C81" s="116"/>
      <c r="D81" s="69"/>
    </row>
    <row r="82" spans="1:4" x14ac:dyDescent="0.25">
      <c r="A82" s="162" t="s">
        <v>2358</v>
      </c>
      <c r="B82" s="153" t="s">
        <v>2359</v>
      </c>
      <c r="C82" s="116"/>
      <c r="D82" s="69"/>
    </row>
    <row r="83" spans="1:4" x14ac:dyDescent="0.25">
      <c r="A83" s="162" t="s">
        <v>2360</v>
      </c>
      <c r="B83" s="153" t="s">
        <v>638</v>
      </c>
      <c r="C83" s="52"/>
      <c r="D83" s="69"/>
    </row>
    <row r="84" spans="1:4" x14ac:dyDescent="0.25">
      <c r="A84" s="162" t="s">
        <v>2361</v>
      </c>
      <c r="B84" s="153" t="s">
        <v>905</v>
      </c>
      <c r="C84" s="54">
        <f>SUM(C80:C83)</f>
        <v>0</v>
      </c>
      <c r="D84" s="69"/>
    </row>
    <row r="85" spans="1:4" x14ac:dyDescent="0.25">
      <c r="A85" s="162"/>
      <c r="B85" s="153"/>
      <c r="C85" s="18"/>
      <c r="D85" s="69"/>
    </row>
    <row r="86" spans="1:4" x14ac:dyDescent="0.25">
      <c r="A86" s="162"/>
      <c r="B86" s="153" t="s">
        <v>890</v>
      </c>
      <c r="C86" s="18"/>
      <c r="D86" s="69"/>
    </row>
    <row r="87" spans="1:4" x14ac:dyDescent="0.25">
      <c r="A87" s="162"/>
      <c r="B87" s="153"/>
      <c r="C87" s="18"/>
      <c r="D87" s="69"/>
    </row>
    <row r="88" spans="1:4" x14ac:dyDescent="0.25">
      <c r="A88" s="162" t="s">
        <v>2362</v>
      </c>
      <c r="B88" s="153" t="s">
        <v>2103</v>
      </c>
      <c r="C88" s="117">
        <f>C48</f>
        <v>0</v>
      </c>
      <c r="D88" s="69"/>
    </row>
    <row r="89" spans="1:4" ht="22.5" x14ac:dyDescent="0.25">
      <c r="A89" s="162" t="s">
        <v>2363</v>
      </c>
      <c r="B89" s="153" t="s">
        <v>5741</v>
      </c>
      <c r="C89" s="117">
        <f>C53</f>
        <v>0</v>
      </c>
      <c r="D89" s="69"/>
    </row>
    <row r="90" spans="1:4" ht="22.5" x14ac:dyDescent="0.25">
      <c r="A90" s="162" t="s">
        <v>2364</v>
      </c>
      <c r="B90" s="153" t="s">
        <v>5742</v>
      </c>
      <c r="C90" s="117">
        <f>C54</f>
        <v>0</v>
      </c>
      <c r="D90" s="69"/>
    </row>
    <row r="91" spans="1:4" ht="22.5" x14ac:dyDescent="0.25">
      <c r="A91" s="162" t="s">
        <v>2365</v>
      </c>
      <c r="B91" s="153" t="s">
        <v>2325</v>
      </c>
      <c r="C91" s="117">
        <f>C55</f>
        <v>0</v>
      </c>
      <c r="D91" s="69"/>
    </row>
    <row r="92" spans="1:4" ht="33.75" x14ac:dyDescent="0.25">
      <c r="A92" s="162" t="s">
        <v>2366</v>
      </c>
      <c r="B92" s="153" t="s">
        <v>2327</v>
      </c>
      <c r="C92" s="117">
        <f>C56</f>
        <v>0</v>
      </c>
      <c r="D92" s="69"/>
    </row>
    <row r="93" spans="1:4" ht="22.5" x14ac:dyDescent="0.25">
      <c r="A93" s="162" t="s">
        <v>2367</v>
      </c>
      <c r="B93" s="153" t="s">
        <v>2368</v>
      </c>
      <c r="C93" s="117"/>
      <c r="D93" s="69"/>
    </row>
    <row r="94" spans="1:4" x14ac:dyDescent="0.25">
      <c r="A94" s="162" t="s">
        <v>2369</v>
      </c>
      <c r="B94" s="153" t="s">
        <v>2370</v>
      </c>
      <c r="C94" s="117"/>
      <c r="D94" s="69"/>
    </row>
    <row r="95" spans="1:4" x14ac:dyDescent="0.25">
      <c r="A95" s="162" t="s">
        <v>2371</v>
      </c>
      <c r="B95" s="153" t="s">
        <v>928</v>
      </c>
      <c r="C95" s="117">
        <f>C11</f>
        <v>0</v>
      </c>
      <c r="D95" s="69"/>
    </row>
    <row r="96" spans="1:4" ht="22.5" x14ac:dyDescent="0.25">
      <c r="A96" s="162" t="s">
        <v>2372</v>
      </c>
      <c r="B96" s="153" t="s">
        <v>2373</v>
      </c>
      <c r="C96" s="117"/>
      <c r="D96" s="69"/>
    </row>
    <row r="97" spans="1:4" ht="22.5" x14ac:dyDescent="0.25">
      <c r="A97" s="162" t="s">
        <v>2374</v>
      </c>
      <c r="B97" s="153" t="s">
        <v>2317</v>
      </c>
      <c r="C97" s="192">
        <f>'ANEXO 5'!C35</f>
        <v>0</v>
      </c>
      <c r="D97" s="69"/>
    </row>
    <row r="98" spans="1:4" ht="22.5" x14ac:dyDescent="0.25">
      <c r="A98" s="162" t="s">
        <v>2375</v>
      </c>
      <c r="B98" s="153" t="s">
        <v>2376</v>
      </c>
      <c r="C98" s="117"/>
      <c r="D98" s="69"/>
    </row>
    <row r="99" spans="1:4" x14ac:dyDescent="0.25">
      <c r="A99" s="162" t="s">
        <v>2377</v>
      </c>
      <c r="B99" s="153" t="s">
        <v>638</v>
      </c>
      <c r="C99" s="52"/>
      <c r="D99" s="69"/>
    </row>
    <row r="100" spans="1:4" x14ac:dyDescent="0.25">
      <c r="A100" s="162" t="s">
        <v>2378</v>
      </c>
      <c r="B100" s="153" t="s">
        <v>905</v>
      </c>
      <c r="C100" s="54">
        <f>SUM(C88:C99)</f>
        <v>0</v>
      </c>
      <c r="D100" s="69"/>
    </row>
    <row r="101" spans="1:4" x14ac:dyDescent="0.25">
      <c r="A101" s="162"/>
      <c r="B101" s="153"/>
      <c r="C101" s="18"/>
      <c r="D101" s="69"/>
    </row>
    <row r="102" spans="1:4" ht="33.75" x14ac:dyDescent="0.25">
      <c r="A102" s="162" t="s">
        <v>2379</v>
      </c>
      <c r="B102" s="153" t="s">
        <v>2380</v>
      </c>
      <c r="C102" s="65">
        <f>C76+C84-C100</f>
        <v>0</v>
      </c>
      <c r="D102" s="69"/>
    </row>
    <row r="103" spans="1:4" x14ac:dyDescent="0.25">
      <c r="A103" s="163"/>
      <c r="B103" s="160"/>
      <c r="C103" s="18"/>
      <c r="D103" s="69"/>
    </row>
    <row r="104" spans="1:4" ht="8.1" customHeight="1" x14ac:dyDescent="0.25">
      <c r="A104" s="70" t="s">
        <v>0</v>
      </c>
      <c r="B104" s="152"/>
      <c r="C104" s="70"/>
      <c r="D104"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346"/>
  <sheetViews>
    <sheetView workbookViewId="0"/>
  </sheetViews>
  <sheetFormatPr defaultColWidth="11.5703125" defaultRowHeight="15" x14ac:dyDescent="0.25"/>
  <cols>
    <col min="1" max="1" width="14.28515625" style="107" customWidth="1"/>
    <col min="2" max="2" width="35.7109375" style="107" customWidth="1"/>
    <col min="3" max="8" width="18.7109375" style="107" customWidth="1"/>
    <col min="9" max="9" width="1.7109375" style="107" customWidth="1"/>
    <col min="10" max="16384" width="11.5703125" style="107"/>
  </cols>
  <sheetData>
    <row r="1" spans="1:9" ht="34.5" x14ac:dyDescent="0.25">
      <c r="A1" s="42" t="s">
        <v>0</v>
      </c>
      <c r="B1" s="41" t="s">
        <v>5615</v>
      </c>
      <c r="C1" s="42"/>
      <c r="D1" s="42"/>
      <c r="E1" s="42" t="s">
        <v>0</v>
      </c>
      <c r="F1" s="42" t="s">
        <v>0</v>
      </c>
      <c r="G1" s="42" t="s">
        <v>0</v>
      </c>
      <c r="H1" s="42" t="s">
        <v>0</v>
      </c>
      <c r="I1" s="69"/>
    </row>
    <row r="2" spans="1:9" ht="56.25" x14ac:dyDescent="0.25">
      <c r="A2" s="121" t="s">
        <v>5597</v>
      </c>
      <c r="B2" s="121" t="s">
        <v>5598</v>
      </c>
      <c r="C2" s="45" t="s">
        <v>1571</v>
      </c>
      <c r="D2" s="45" t="s">
        <v>1572</v>
      </c>
      <c r="E2" s="45" t="s">
        <v>1573</v>
      </c>
      <c r="F2" s="45" t="s">
        <v>1574</v>
      </c>
      <c r="G2" s="43" t="s">
        <v>1575</v>
      </c>
      <c r="H2" s="45" t="s">
        <v>1576</v>
      </c>
      <c r="I2" s="69"/>
    </row>
    <row r="3" spans="1:9" x14ac:dyDescent="0.25">
      <c r="A3" s="163"/>
      <c r="B3" s="46" t="s">
        <v>0</v>
      </c>
      <c r="C3" s="47"/>
      <c r="D3" s="47"/>
      <c r="E3" s="47"/>
      <c r="F3" s="47"/>
      <c r="G3" s="47"/>
      <c r="H3" s="47"/>
      <c r="I3" s="69"/>
    </row>
    <row r="4" spans="1:9" x14ac:dyDescent="0.25">
      <c r="A4" s="163"/>
      <c r="B4" s="133" t="s">
        <v>5626</v>
      </c>
      <c r="C4" s="47"/>
      <c r="D4" s="47"/>
      <c r="E4" s="47"/>
      <c r="F4" s="47"/>
      <c r="G4" s="47"/>
      <c r="H4" s="47"/>
      <c r="I4" s="69"/>
    </row>
    <row r="5" spans="1:9" x14ac:dyDescent="0.25">
      <c r="A5" s="163"/>
      <c r="B5" s="48" t="s">
        <v>0</v>
      </c>
      <c r="C5" s="47"/>
      <c r="D5" s="47"/>
      <c r="E5" s="47"/>
      <c r="F5" s="47"/>
      <c r="G5" s="47"/>
      <c r="H5" s="47"/>
      <c r="I5" s="69"/>
    </row>
    <row r="6" spans="1:9" ht="22.5" x14ac:dyDescent="0.25">
      <c r="A6" s="163"/>
      <c r="B6" s="134" t="s">
        <v>5638</v>
      </c>
      <c r="C6" s="47"/>
      <c r="D6" s="47"/>
      <c r="E6" s="47"/>
      <c r="F6" s="47"/>
      <c r="G6" s="47"/>
      <c r="H6" s="47"/>
      <c r="I6" s="69"/>
    </row>
    <row r="7" spans="1:9" x14ac:dyDescent="0.25">
      <c r="A7" s="163"/>
      <c r="B7" s="130" t="s">
        <v>0</v>
      </c>
      <c r="C7" s="47"/>
      <c r="D7" s="47"/>
      <c r="E7" s="47"/>
      <c r="F7" s="47"/>
      <c r="G7" s="47"/>
      <c r="H7" s="47"/>
      <c r="I7" s="69"/>
    </row>
    <row r="8" spans="1:9" x14ac:dyDescent="0.25">
      <c r="A8" s="163"/>
      <c r="B8" s="135" t="s">
        <v>320</v>
      </c>
      <c r="C8" s="47"/>
      <c r="D8" s="47"/>
      <c r="E8" s="47"/>
      <c r="F8" s="47"/>
      <c r="G8" s="47"/>
      <c r="H8" s="47"/>
      <c r="I8" s="69"/>
    </row>
    <row r="9" spans="1:9" x14ac:dyDescent="0.25">
      <c r="A9" s="163"/>
      <c r="B9" s="160"/>
      <c r="C9" s="47"/>
      <c r="D9" s="47"/>
      <c r="E9" s="47"/>
      <c r="F9" s="47"/>
      <c r="G9" s="47"/>
      <c r="H9" s="47"/>
      <c r="I9" s="69"/>
    </row>
    <row r="10" spans="1:9" x14ac:dyDescent="0.25">
      <c r="A10" s="162" t="s">
        <v>1577</v>
      </c>
      <c r="B10" s="153" t="s">
        <v>775</v>
      </c>
      <c r="C10" s="65">
        <f>'ANEXO 11'!C46</f>
        <v>0</v>
      </c>
      <c r="D10" s="194">
        <f>IF(C10=0,0,IF(Contribuyente!B_A_PERSONA_PER_CURP&lt;&gt;"",0,30))</f>
        <v>0</v>
      </c>
      <c r="E10" s="116">
        <f>ROUND(C10 * D10/100,0)</f>
        <v>0</v>
      </c>
      <c r="F10" s="116">
        <f>E10</f>
        <v>0</v>
      </c>
      <c r="G10" s="116">
        <f>ROUND(E10-F10,0)</f>
        <v>0</v>
      </c>
      <c r="H10" s="116"/>
      <c r="I10" s="69"/>
    </row>
    <row r="11" spans="1:9" x14ac:dyDescent="0.25">
      <c r="A11" s="162" t="s">
        <v>1578</v>
      </c>
      <c r="B11" s="153" t="s">
        <v>1579</v>
      </c>
      <c r="C11" s="52"/>
      <c r="D11" s="64"/>
      <c r="E11" s="52"/>
      <c r="F11" s="52"/>
      <c r="G11" s="52"/>
      <c r="H11" s="52"/>
      <c r="I11" s="69"/>
    </row>
    <row r="12" spans="1:9" x14ac:dyDescent="0.25">
      <c r="A12" s="162" t="s">
        <v>1580</v>
      </c>
      <c r="B12" s="153" t="s">
        <v>1581</v>
      </c>
      <c r="C12" s="116"/>
      <c r="D12" s="109"/>
      <c r="E12" s="116">
        <f>ROUND(E10-E11,0)</f>
        <v>0</v>
      </c>
      <c r="F12" s="116">
        <f>ROUND(F10-F11,0)</f>
        <v>0</v>
      </c>
      <c r="G12" s="116">
        <f>ROUND(G10-G11,0)</f>
        <v>0</v>
      </c>
      <c r="H12" s="116"/>
      <c r="I12" s="69"/>
    </row>
    <row r="13" spans="1:9" x14ac:dyDescent="0.25">
      <c r="A13" s="162"/>
      <c r="B13" s="153"/>
      <c r="C13" s="18"/>
      <c r="D13" s="18"/>
      <c r="E13" s="18"/>
      <c r="F13" s="18"/>
      <c r="G13" s="18"/>
      <c r="H13" s="18"/>
      <c r="I13" s="69"/>
    </row>
    <row r="14" spans="1:9" ht="56.25" x14ac:dyDescent="0.25">
      <c r="A14" s="162" t="s">
        <v>1582</v>
      </c>
      <c r="B14" s="153" t="s">
        <v>5449</v>
      </c>
      <c r="C14" s="116"/>
      <c r="D14" s="109"/>
      <c r="E14" s="116"/>
      <c r="F14" s="116"/>
      <c r="G14" s="116">
        <f t="shared" ref="G14:G19" si="0">ROUND(E14-F14,0)</f>
        <v>0</v>
      </c>
      <c r="H14" s="116"/>
      <c r="I14" s="69"/>
    </row>
    <row r="15" spans="1:9" ht="56.25" x14ac:dyDescent="0.25">
      <c r="A15" s="162" t="s">
        <v>1583</v>
      </c>
      <c r="B15" s="153" t="s">
        <v>5450</v>
      </c>
      <c r="C15" s="116"/>
      <c r="D15" s="109"/>
      <c r="E15" s="116"/>
      <c r="F15" s="116"/>
      <c r="G15" s="116">
        <f t="shared" si="0"/>
        <v>0</v>
      </c>
      <c r="H15" s="116"/>
      <c r="I15" s="69"/>
    </row>
    <row r="16" spans="1:9" ht="33.75" x14ac:dyDescent="0.25">
      <c r="A16" s="162" t="s">
        <v>1584</v>
      </c>
      <c r="B16" s="153" t="s">
        <v>1585</v>
      </c>
      <c r="C16" s="116"/>
      <c r="D16" s="109"/>
      <c r="E16" s="116"/>
      <c r="F16" s="116"/>
      <c r="G16" s="116">
        <f t="shared" si="0"/>
        <v>0</v>
      </c>
      <c r="H16" s="116"/>
      <c r="I16" s="69"/>
    </row>
    <row r="17" spans="1:9" ht="45" x14ac:dyDescent="0.25">
      <c r="A17" s="162" t="s">
        <v>1586</v>
      </c>
      <c r="B17" s="153" t="s">
        <v>5451</v>
      </c>
      <c r="C17" s="116"/>
      <c r="D17" s="109"/>
      <c r="E17" s="116"/>
      <c r="F17" s="116"/>
      <c r="G17" s="116">
        <f t="shared" si="0"/>
        <v>0</v>
      </c>
      <c r="H17" s="116"/>
      <c r="I17" s="69"/>
    </row>
    <row r="18" spans="1:9" ht="22.5" x14ac:dyDescent="0.25">
      <c r="A18" s="162" t="s">
        <v>1587</v>
      </c>
      <c r="B18" s="153" t="s">
        <v>5452</v>
      </c>
      <c r="C18" s="116"/>
      <c r="D18" s="109"/>
      <c r="E18" s="116"/>
      <c r="F18" s="116"/>
      <c r="G18" s="116">
        <f t="shared" si="0"/>
        <v>0</v>
      </c>
      <c r="H18" s="116"/>
      <c r="I18" s="69"/>
    </row>
    <row r="19" spans="1:9" ht="45" x14ac:dyDescent="0.25">
      <c r="A19" s="162" t="s">
        <v>1588</v>
      </c>
      <c r="B19" s="153" t="s">
        <v>5453</v>
      </c>
      <c r="C19" s="185"/>
      <c r="D19" s="160">
        <f>IF(C19&gt;0,30,0)</f>
        <v>0</v>
      </c>
      <c r="E19" s="185">
        <f>IF(ROUND((C19-(C20+C21+C22)/3)*D19/100,0)&lt;0,0,ROUND((C19-(C20+C21+C22)/3)*D19/100,0))</f>
        <v>0</v>
      </c>
      <c r="F19" s="185"/>
      <c r="G19" s="185">
        <f t="shared" si="0"/>
        <v>0</v>
      </c>
      <c r="H19" s="185"/>
      <c r="I19" s="149"/>
    </row>
    <row r="20" spans="1:9" ht="45" x14ac:dyDescent="0.25">
      <c r="A20" s="162" t="s">
        <v>1590</v>
      </c>
      <c r="B20" s="153" t="s">
        <v>5454</v>
      </c>
      <c r="C20" s="185"/>
      <c r="D20" s="160"/>
      <c r="E20" s="185"/>
      <c r="F20" s="185"/>
      <c r="G20" s="185"/>
      <c r="H20" s="185"/>
      <c r="I20" s="149"/>
    </row>
    <row r="21" spans="1:9" ht="45" x14ac:dyDescent="0.25">
      <c r="A21" s="162" t="s">
        <v>1592</v>
      </c>
      <c r="B21" s="153" t="s">
        <v>5455</v>
      </c>
      <c r="C21" s="185"/>
      <c r="D21" s="160"/>
      <c r="E21" s="185"/>
      <c r="F21" s="185"/>
      <c r="G21" s="185"/>
      <c r="H21" s="185"/>
      <c r="I21" s="149"/>
    </row>
    <row r="22" spans="1:9" ht="45" x14ac:dyDescent="0.25">
      <c r="A22" s="162" t="s">
        <v>1594</v>
      </c>
      <c r="B22" s="153" t="s">
        <v>5456</v>
      </c>
      <c r="C22" s="185"/>
      <c r="D22" s="160"/>
      <c r="E22" s="185"/>
      <c r="F22" s="185"/>
      <c r="G22" s="185"/>
      <c r="H22" s="185"/>
      <c r="I22" s="149"/>
    </row>
    <row r="23" spans="1:9" ht="33.75" x14ac:dyDescent="0.25">
      <c r="A23" s="162" t="s">
        <v>1596</v>
      </c>
      <c r="B23" s="153" t="s">
        <v>5457</v>
      </c>
      <c r="C23" s="185"/>
      <c r="D23" s="160"/>
      <c r="E23" s="185"/>
      <c r="F23" s="185"/>
      <c r="G23" s="185"/>
      <c r="H23" s="185"/>
      <c r="I23" s="149"/>
    </row>
    <row r="24" spans="1:9" ht="33.75" x14ac:dyDescent="0.25">
      <c r="A24" s="162" t="s">
        <v>1598</v>
      </c>
      <c r="B24" s="153" t="s">
        <v>5458</v>
      </c>
      <c r="C24" s="185"/>
      <c r="D24" s="160"/>
      <c r="E24" s="185"/>
      <c r="F24" s="185"/>
      <c r="G24" s="185">
        <f>ROUND(E24-F24,0)</f>
        <v>0</v>
      </c>
      <c r="H24" s="185"/>
      <c r="I24" s="149"/>
    </row>
    <row r="25" spans="1:9" ht="33.75" x14ac:dyDescent="0.25">
      <c r="A25" s="162" t="s">
        <v>1600</v>
      </c>
      <c r="B25" s="153" t="s">
        <v>5459</v>
      </c>
      <c r="C25" s="185"/>
      <c r="D25" s="160"/>
      <c r="E25" s="185"/>
      <c r="F25" s="185"/>
      <c r="G25" s="185"/>
      <c r="H25" s="185"/>
      <c r="I25" s="149"/>
    </row>
    <row r="26" spans="1:9" ht="22.5" x14ac:dyDescent="0.25">
      <c r="A26" s="162" t="s">
        <v>1602</v>
      </c>
      <c r="B26" s="153" t="s">
        <v>5460</v>
      </c>
      <c r="C26" s="185"/>
      <c r="D26" s="160"/>
      <c r="E26" s="185"/>
      <c r="F26" s="185"/>
      <c r="G26" s="185"/>
      <c r="H26" s="185"/>
      <c r="I26" s="149"/>
    </row>
    <row r="27" spans="1:9" ht="33.75" x14ac:dyDescent="0.25">
      <c r="A27" s="162" t="s">
        <v>1604</v>
      </c>
      <c r="B27" s="153" t="s">
        <v>5461</v>
      </c>
      <c r="C27" s="185"/>
      <c r="D27" s="160"/>
      <c r="E27" s="185"/>
      <c r="F27" s="185"/>
      <c r="G27" s="185"/>
      <c r="H27" s="185"/>
      <c r="I27" s="149"/>
    </row>
    <row r="28" spans="1:9" ht="22.5" x14ac:dyDescent="0.25">
      <c r="A28" s="162" t="s">
        <v>1606</v>
      </c>
      <c r="B28" s="153" t="s">
        <v>5462</v>
      </c>
      <c r="C28" s="185"/>
      <c r="D28" s="160"/>
      <c r="E28" s="185"/>
      <c r="F28" s="185"/>
      <c r="G28" s="185">
        <f>ROUND(E28-F28,0)</f>
        <v>0</v>
      </c>
      <c r="H28" s="185"/>
      <c r="I28" s="149"/>
    </row>
    <row r="29" spans="1:9" x14ac:dyDescent="0.25">
      <c r="A29" s="162" t="s">
        <v>1608</v>
      </c>
      <c r="B29" s="153" t="s">
        <v>1589</v>
      </c>
      <c r="C29" s="52"/>
      <c r="D29" s="64"/>
      <c r="E29" s="52"/>
      <c r="F29" s="52"/>
      <c r="G29" s="52"/>
      <c r="H29" s="52"/>
      <c r="I29" s="69"/>
    </row>
    <row r="30" spans="1:9" x14ac:dyDescent="0.25">
      <c r="A30" s="162" t="s">
        <v>1610</v>
      </c>
      <c r="B30" s="153" t="s">
        <v>1591</v>
      </c>
      <c r="C30" s="116"/>
      <c r="D30" s="109"/>
      <c r="E30" s="116">
        <f>ROUND((E14+E15+E16+E17+E18+E19+E24+E28+E29),0)</f>
        <v>0</v>
      </c>
      <c r="F30" s="116">
        <f>ROUND((F14+F15+F16+F17+F18+F19+F24+F28+F29),0)</f>
        <v>0</v>
      </c>
      <c r="G30" s="116">
        <f>ROUND(E30-F30,0)</f>
        <v>0</v>
      </c>
      <c r="H30" s="116"/>
      <c r="I30" s="69"/>
    </row>
    <row r="31" spans="1:9" x14ac:dyDescent="0.25">
      <c r="A31" s="162"/>
      <c r="B31" s="153"/>
      <c r="C31" s="20"/>
      <c r="D31" s="20"/>
      <c r="E31" s="20"/>
      <c r="F31" s="20"/>
      <c r="G31" s="20"/>
      <c r="H31" s="20"/>
      <c r="I31" s="69"/>
    </row>
    <row r="32" spans="1:9" ht="22.5" x14ac:dyDescent="0.25">
      <c r="A32" s="162" t="s">
        <v>1612</v>
      </c>
      <c r="B32" s="153" t="s">
        <v>1593</v>
      </c>
      <c r="C32" s="117"/>
      <c r="D32" s="81"/>
      <c r="E32" s="117"/>
      <c r="F32" s="117"/>
      <c r="G32" s="117">
        <f>ROUND(E32-F32,0)</f>
        <v>0</v>
      </c>
      <c r="H32" s="117"/>
      <c r="I32" s="69"/>
    </row>
    <row r="33" spans="1:9" x14ac:dyDescent="0.25">
      <c r="A33" s="162"/>
      <c r="B33" s="153"/>
      <c r="C33" s="20"/>
      <c r="D33" s="20"/>
      <c r="E33" s="20"/>
      <c r="F33" s="20"/>
      <c r="G33" s="20"/>
      <c r="H33" s="20"/>
      <c r="I33" s="69"/>
    </row>
    <row r="34" spans="1:9" x14ac:dyDescent="0.25">
      <c r="A34" s="162" t="s">
        <v>1614</v>
      </c>
      <c r="B34" s="153" t="s">
        <v>1595</v>
      </c>
      <c r="C34" s="117"/>
      <c r="D34" s="81"/>
      <c r="E34" s="117"/>
      <c r="F34" s="117"/>
      <c r="G34" s="117">
        <f>ROUND(E34-F34,0)</f>
        <v>0</v>
      </c>
      <c r="H34" s="117"/>
      <c r="I34" s="69"/>
    </row>
    <row r="35" spans="1:9" ht="22.5" x14ac:dyDescent="0.25">
      <c r="A35" s="162" t="s">
        <v>1616</v>
      </c>
      <c r="B35" s="153" t="s">
        <v>1597</v>
      </c>
      <c r="C35" s="117"/>
      <c r="D35" s="81"/>
      <c r="E35" s="117"/>
      <c r="F35" s="117"/>
      <c r="G35" s="117">
        <f>ROUND(E35-F35,0)</f>
        <v>0</v>
      </c>
      <c r="H35" s="117"/>
      <c r="I35" s="69"/>
    </row>
    <row r="36" spans="1:9" ht="22.5" x14ac:dyDescent="0.25">
      <c r="A36" s="162" t="s">
        <v>1619</v>
      </c>
      <c r="B36" s="153" t="s">
        <v>1599</v>
      </c>
      <c r="C36" s="117"/>
      <c r="D36" s="81"/>
      <c r="E36" s="117"/>
      <c r="F36" s="117"/>
      <c r="G36" s="117">
        <f>ROUND(E36-F36,0)</f>
        <v>0</v>
      </c>
      <c r="H36" s="117"/>
      <c r="I36" s="69"/>
    </row>
    <row r="37" spans="1:9" x14ac:dyDescent="0.25">
      <c r="A37" s="162"/>
      <c r="B37" s="153"/>
      <c r="C37" s="20"/>
      <c r="D37" s="20"/>
      <c r="E37" s="20"/>
      <c r="F37" s="20"/>
      <c r="G37" s="20"/>
      <c r="H37" s="20"/>
      <c r="I37" s="69"/>
    </row>
    <row r="38" spans="1:9" x14ac:dyDescent="0.25">
      <c r="A38" s="162" t="s">
        <v>1620</v>
      </c>
      <c r="B38" s="153" t="s">
        <v>1601</v>
      </c>
      <c r="C38" s="52"/>
      <c r="D38" s="64"/>
      <c r="E38" s="52"/>
      <c r="F38" s="52"/>
      <c r="G38" s="52"/>
      <c r="H38" s="52"/>
      <c r="I38" s="69"/>
    </row>
    <row r="39" spans="1:9" x14ac:dyDescent="0.25">
      <c r="A39" s="162" t="s">
        <v>1622</v>
      </c>
      <c r="B39" s="153" t="s">
        <v>1603</v>
      </c>
      <c r="C39" s="52"/>
      <c r="D39" s="64"/>
      <c r="E39" s="52"/>
      <c r="F39" s="52"/>
      <c r="G39" s="52"/>
      <c r="H39" s="52"/>
      <c r="I39" s="69"/>
    </row>
    <row r="40" spans="1:9" x14ac:dyDescent="0.25">
      <c r="A40" s="162" t="s">
        <v>1625</v>
      </c>
      <c r="B40" s="153" t="s">
        <v>1605</v>
      </c>
      <c r="C40" s="72"/>
      <c r="D40" s="82"/>
      <c r="E40" s="72">
        <f>ROUND(IF(E12-E30-SUM(E32:E36)+E38-E39&gt;0,E12-E30-SUM(E32:E36)+E38-E39,0),0)</f>
        <v>0</v>
      </c>
      <c r="F40" s="72">
        <f>ROUND(IF(F12-F30-SUM(F32:F36)+F38-F39&gt;0,F12-F30-SUM(F32:F36)+F38-F39,0),0)</f>
        <v>0</v>
      </c>
      <c r="G40" s="72">
        <f>ROUND(E40-F40,0)</f>
        <v>0</v>
      </c>
      <c r="H40" s="72"/>
      <c r="I40" s="69"/>
    </row>
    <row r="41" spans="1:9" x14ac:dyDescent="0.25">
      <c r="A41" s="162" t="s">
        <v>1628</v>
      </c>
      <c r="B41" s="153" t="s">
        <v>1607</v>
      </c>
      <c r="C41" s="72"/>
      <c r="D41" s="82"/>
      <c r="E41" s="72">
        <f>ROUND(IF(E12-E30-SUM(E32:E36)+E38-E39&lt;0,(E12-E30-SUM(E32:E36)+E38-E39)*-1,0),0)</f>
        <v>0</v>
      </c>
      <c r="F41" s="72">
        <f>ROUND(IF(F12-F30-SUM(F32:F36)+F38-F39&lt;0,(F12-F30-SUM(F32:F36)+F38-F39)*-1,0),0)</f>
        <v>0</v>
      </c>
      <c r="G41" s="72">
        <f>ROUND(E41-F41,0)</f>
        <v>0</v>
      </c>
      <c r="H41" s="72"/>
      <c r="I41" s="69"/>
    </row>
    <row r="42" spans="1:9" x14ac:dyDescent="0.25">
      <c r="A42" s="162"/>
      <c r="B42" s="153"/>
      <c r="C42" s="18"/>
      <c r="D42" s="18"/>
      <c r="E42" s="18"/>
      <c r="F42" s="18"/>
      <c r="G42" s="18"/>
      <c r="H42" s="18"/>
      <c r="I42" s="69"/>
    </row>
    <row r="43" spans="1:9" ht="22.5" x14ac:dyDescent="0.25">
      <c r="A43" s="162" t="s">
        <v>1630</v>
      </c>
      <c r="B43" s="153" t="s">
        <v>1609</v>
      </c>
      <c r="C43" s="116"/>
      <c r="D43" s="109"/>
      <c r="E43" s="116">
        <f>ROUND(IF(E40-E41&gt;0,E40-E41,0),0)</f>
        <v>0</v>
      </c>
      <c r="F43" s="116">
        <f>ROUND(IF(F40-F41&gt;0,F40-F41,0),0)</f>
        <v>0</v>
      </c>
      <c r="G43" s="116">
        <f>ROUND(IF(G40-G41&gt;0,G40-G41,0),0)</f>
        <v>0</v>
      </c>
      <c r="H43" s="116"/>
      <c r="I43" s="69"/>
    </row>
    <row r="44" spans="1:9" ht="33.75" x14ac:dyDescent="0.25">
      <c r="A44" s="162" t="s">
        <v>1632</v>
      </c>
      <c r="B44" s="153" t="s">
        <v>1611</v>
      </c>
      <c r="C44" s="116"/>
      <c r="D44" s="109"/>
      <c r="E44" s="193">
        <f>'ANEXO 10'!C9+'ANEXO 10'!C10</f>
        <v>0</v>
      </c>
      <c r="F44" s="116">
        <f>E44</f>
        <v>0</v>
      </c>
      <c r="G44" s="116">
        <f>ROUND(E44-F44,0)</f>
        <v>0</v>
      </c>
      <c r="H44" s="116"/>
      <c r="I44" s="69"/>
    </row>
    <row r="45" spans="1:9" x14ac:dyDescent="0.25">
      <c r="A45" s="162"/>
      <c r="B45" s="153"/>
      <c r="C45" s="18"/>
      <c r="D45" s="18"/>
      <c r="E45" s="18"/>
      <c r="F45" s="18"/>
      <c r="G45" s="18"/>
      <c r="H45" s="18"/>
      <c r="I45" s="69"/>
    </row>
    <row r="46" spans="1:9" x14ac:dyDescent="0.25">
      <c r="A46" s="162" t="s">
        <v>1634</v>
      </c>
      <c r="B46" s="153" t="s">
        <v>1613</v>
      </c>
      <c r="C46" s="116"/>
      <c r="D46" s="109"/>
      <c r="E46" s="116">
        <f>IF(E43&gt;E44,E43-E44,0)</f>
        <v>0</v>
      </c>
      <c r="F46" s="116">
        <f>IF(F43&gt;F44,F43-F44,0)</f>
        <v>0</v>
      </c>
      <c r="G46" s="116">
        <f>ROUND(E46-F46,0)</f>
        <v>0</v>
      </c>
      <c r="H46" s="116"/>
      <c r="I46" s="69"/>
    </row>
    <row r="47" spans="1:9" ht="22.5" x14ac:dyDescent="0.25">
      <c r="A47" s="162" t="s">
        <v>1636</v>
      </c>
      <c r="B47" s="153" t="s">
        <v>1615</v>
      </c>
      <c r="C47" s="116"/>
      <c r="D47" s="109"/>
      <c r="E47" s="116"/>
      <c r="F47" s="116"/>
      <c r="G47" s="116">
        <f>ROUND(E47-F47,0)</f>
        <v>0</v>
      </c>
      <c r="H47" s="116"/>
      <c r="I47" s="69"/>
    </row>
    <row r="48" spans="1:9" x14ac:dyDescent="0.25">
      <c r="A48" s="162" t="s">
        <v>1638</v>
      </c>
      <c r="B48" s="153" t="s">
        <v>1617</v>
      </c>
      <c r="C48" s="116"/>
      <c r="D48" s="109"/>
      <c r="E48" s="116">
        <f>IF(E40-E41-E44+E47&lt;0,(E40-E41-E44+E47)*-1,0)</f>
        <v>0</v>
      </c>
      <c r="F48" s="116">
        <f>IF(F40-F41-F44+F47&lt;0,(F40-F41-F44+F47)*-1,0)</f>
        <v>0</v>
      </c>
      <c r="G48" s="116">
        <f>IF(G40-G41-G44+G47&lt;0,(G40-G41-G44+G47)*-1,0)</f>
        <v>0</v>
      </c>
      <c r="H48" s="116"/>
      <c r="I48" s="69"/>
    </row>
    <row r="49" spans="1:9" x14ac:dyDescent="0.25">
      <c r="A49" s="162"/>
      <c r="B49" s="153"/>
      <c r="C49" s="18"/>
      <c r="D49" s="18"/>
      <c r="E49" s="18"/>
      <c r="F49" s="18"/>
      <c r="G49" s="18"/>
      <c r="H49" s="18"/>
      <c r="I49" s="69"/>
    </row>
    <row r="50" spans="1:9" x14ac:dyDescent="0.25">
      <c r="A50" s="162"/>
      <c r="B50" s="153" t="s">
        <v>1618</v>
      </c>
      <c r="C50" s="18"/>
      <c r="D50" s="18"/>
      <c r="E50" s="18"/>
      <c r="F50" s="18"/>
      <c r="G50" s="18"/>
      <c r="H50" s="18"/>
      <c r="I50" s="69"/>
    </row>
    <row r="51" spans="1:9" x14ac:dyDescent="0.25">
      <c r="A51" s="162"/>
      <c r="B51" s="153"/>
      <c r="C51" s="18"/>
      <c r="D51" s="18"/>
      <c r="E51" s="18"/>
      <c r="F51" s="18"/>
      <c r="G51" s="18"/>
      <c r="H51" s="18"/>
      <c r="I51" s="69"/>
    </row>
    <row r="52" spans="1:9" ht="33.75" x14ac:dyDescent="0.25">
      <c r="A52" s="162" t="s">
        <v>1640</v>
      </c>
      <c r="B52" s="153" t="s">
        <v>5463</v>
      </c>
      <c r="C52" s="117"/>
      <c r="D52" s="81"/>
      <c r="E52" s="117">
        <f>ROUND(C52*D52/100,0)</f>
        <v>0</v>
      </c>
      <c r="F52" s="117"/>
      <c r="G52" s="117">
        <f>ROUND(E52-F52,0)</f>
        <v>0</v>
      </c>
      <c r="H52" s="117"/>
      <c r="I52" s="69"/>
    </row>
    <row r="53" spans="1:9" ht="33.75" x14ac:dyDescent="0.25">
      <c r="A53" s="162" t="s">
        <v>1642</v>
      </c>
      <c r="B53" s="153" t="s">
        <v>1621</v>
      </c>
      <c r="C53" s="192">
        <f>ROUND('ANEXO 18'!C19,0)</f>
        <v>0</v>
      </c>
      <c r="D53" s="81"/>
      <c r="E53" s="117">
        <f>ROUND(C53*D53/100,0)</f>
        <v>0</v>
      </c>
      <c r="F53" s="117"/>
      <c r="G53" s="117">
        <f>ROUND(E53-F53,0)</f>
        <v>0</v>
      </c>
      <c r="H53" s="117"/>
      <c r="I53" s="69"/>
    </row>
    <row r="54" spans="1:9" ht="33.75" x14ac:dyDescent="0.25">
      <c r="A54" s="162" t="s">
        <v>1644</v>
      </c>
      <c r="B54" s="153" t="s">
        <v>1623</v>
      </c>
      <c r="C54" s="117"/>
      <c r="D54" s="81"/>
      <c r="E54" s="117">
        <f>ROUND(C54*D54/100,0)</f>
        <v>0</v>
      </c>
      <c r="F54" s="117"/>
      <c r="G54" s="117">
        <f>ROUND(E54-F54,0)</f>
        <v>0</v>
      </c>
      <c r="H54" s="117"/>
      <c r="I54" s="69"/>
    </row>
    <row r="55" spans="1:9" x14ac:dyDescent="0.25">
      <c r="A55" s="162"/>
      <c r="B55" s="153"/>
      <c r="C55" s="18"/>
      <c r="D55" s="18"/>
      <c r="E55" s="18"/>
      <c r="F55" s="18"/>
      <c r="G55" s="18"/>
      <c r="H55" s="18"/>
      <c r="I55" s="69"/>
    </row>
    <row r="56" spans="1:9" x14ac:dyDescent="0.25">
      <c r="A56" s="162"/>
      <c r="B56" s="153" t="s">
        <v>1624</v>
      </c>
      <c r="C56" s="18"/>
      <c r="D56" s="18"/>
      <c r="E56" s="18"/>
      <c r="F56" s="18"/>
      <c r="G56" s="18"/>
      <c r="H56" s="18"/>
      <c r="I56" s="69"/>
    </row>
    <row r="57" spans="1:9" ht="22.5" x14ac:dyDescent="0.25">
      <c r="A57" s="162" t="s">
        <v>1646</v>
      </c>
      <c r="B57" s="153" t="s">
        <v>1626</v>
      </c>
      <c r="C57" s="116"/>
      <c r="D57" s="109"/>
      <c r="E57" s="116"/>
      <c r="F57" s="116"/>
      <c r="G57" s="116">
        <f>ROUND(E57-F57,0)</f>
        <v>0</v>
      </c>
      <c r="H57" s="116"/>
      <c r="I57" s="69"/>
    </row>
    <row r="58" spans="1:9" x14ac:dyDescent="0.25">
      <c r="A58" s="162"/>
      <c r="B58" s="153"/>
      <c r="C58" s="18"/>
      <c r="D58" s="18"/>
      <c r="E58" s="18"/>
      <c r="F58" s="18"/>
      <c r="G58" s="18"/>
      <c r="H58" s="18"/>
      <c r="I58" s="69"/>
    </row>
    <row r="59" spans="1:9" x14ac:dyDescent="0.25">
      <c r="A59" s="162"/>
      <c r="B59" s="179" t="s">
        <v>1627</v>
      </c>
      <c r="C59" s="18"/>
      <c r="D59" s="18"/>
      <c r="E59" s="18"/>
      <c r="F59" s="18"/>
      <c r="G59" s="18"/>
      <c r="H59" s="18"/>
      <c r="I59" s="69"/>
    </row>
    <row r="60" spans="1:9" x14ac:dyDescent="0.25">
      <c r="A60" s="162"/>
      <c r="B60" s="153"/>
      <c r="C60" s="18"/>
      <c r="D60" s="18"/>
      <c r="E60" s="18"/>
      <c r="F60" s="18"/>
      <c r="G60" s="18"/>
      <c r="H60" s="18"/>
      <c r="I60" s="69"/>
    </row>
    <row r="61" spans="1:9" ht="22.5" x14ac:dyDescent="0.25">
      <c r="A61" s="162" t="s">
        <v>1648</v>
      </c>
      <c r="B61" s="153" t="s">
        <v>1629</v>
      </c>
      <c r="C61" s="116">
        <f>C64-C62</f>
        <v>0</v>
      </c>
      <c r="D61" s="110">
        <f>IF(C61&gt;0,16,0)</f>
        <v>0</v>
      </c>
      <c r="E61" s="116">
        <f>ROUND(C61*D61/100,0)</f>
        <v>0</v>
      </c>
      <c r="F61" s="116">
        <f>E61</f>
        <v>0</v>
      </c>
      <c r="G61" s="116">
        <f>ROUND(E61-F61,0)</f>
        <v>0</v>
      </c>
      <c r="H61" s="116"/>
      <c r="I61" s="69"/>
    </row>
    <row r="62" spans="1:9" ht="22.5" x14ac:dyDescent="0.25">
      <c r="A62" s="162" t="s">
        <v>1650</v>
      </c>
      <c r="B62" s="153" t="s">
        <v>1631</v>
      </c>
      <c r="C62" s="116"/>
      <c r="D62" s="109"/>
      <c r="E62" s="116"/>
      <c r="F62" s="116"/>
      <c r="G62" s="116">
        <f>ROUND(E62-F62,0)</f>
        <v>0</v>
      </c>
      <c r="H62" s="116"/>
      <c r="I62" s="69"/>
    </row>
    <row r="63" spans="1:9" x14ac:dyDescent="0.25">
      <c r="A63" s="162"/>
      <c r="B63" s="153"/>
      <c r="C63" s="18"/>
      <c r="D63" s="18"/>
      <c r="E63" s="18"/>
      <c r="F63" s="18"/>
      <c r="G63" s="18"/>
      <c r="H63" s="18"/>
      <c r="I63" s="69"/>
    </row>
    <row r="64" spans="1:9" ht="22.5" x14ac:dyDescent="0.25">
      <c r="A64" s="162" t="s">
        <v>1652</v>
      </c>
      <c r="B64" s="153" t="s">
        <v>1633</v>
      </c>
      <c r="C64" s="116">
        <f>C68-C66</f>
        <v>0</v>
      </c>
      <c r="D64" s="109"/>
      <c r="E64" s="116"/>
      <c r="F64" s="116"/>
      <c r="G64" s="116">
        <f>ROUND(E64-F64,0)</f>
        <v>0</v>
      </c>
      <c r="H64" s="116"/>
      <c r="I64" s="69"/>
    </row>
    <row r="65" spans="1:9" x14ac:dyDescent="0.25">
      <c r="A65" s="162"/>
      <c r="B65" s="153"/>
      <c r="C65" s="18"/>
      <c r="D65" s="18"/>
      <c r="E65" s="18"/>
      <c r="F65" s="18"/>
      <c r="G65" s="18"/>
      <c r="H65" s="18"/>
      <c r="I65" s="69"/>
    </row>
    <row r="66" spans="1:9" ht="33.75" x14ac:dyDescent="0.25">
      <c r="A66" s="162" t="s">
        <v>1654</v>
      </c>
      <c r="B66" s="153" t="s">
        <v>1635</v>
      </c>
      <c r="C66" s="116"/>
      <c r="D66" s="109"/>
      <c r="E66" s="116"/>
      <c r="F66" s="116"/>
      <c r="G66" s="116">
        <f>ROUND(E66-F66,0)</f>
        <v>0</v>
      </c>
      <c r="H66" s="116"/>
      <c r="I66" s="69"/>
    </row>
    <row r="67" spans="1:9" x14ac:dyDescent="0.25">
      <c r="A67" s="162"/>
      <c r="B67" s="153"/>
      <c r="C67" s="18"/>
      <c r="D67" s="18"/>
      <c r="E67" s="18"/>
      <c r="F67" s="18"/>
      <c r="G67" s="18"/>
      <c r="H67" s="18"/>
      <c r="I67" s="69"/>
    </row>
    <row r="68" spans="1:9" ht="22.5" x14ac:dyDescent="0.25">
      <c r="A68" s="162" t="s">
        <v>1656</v>
      </c>
      <c r="B68" s="153" t="s">
        <v>1637</v>
      </c>
      <c r="C68" s="193">
        <f>'ANEXO 15'!C102</f>
        <v>0</v>
      </c>
      <c r="D68" s="109"/>
      <c r="E68" s="116"/>
      <c r="F68" s="116"/>
      <c r="G68" s="116">
        <f>ROUND(E68-F68,0)</f>
        <v>0</v>
      </c>
      <c r="H68" s="116"/>
      <c r="I68" s="69"/>
    </row>
    <row r="69" spans="1:9" x14ac:dyDescent="0.25">
      <c r="A69" s="162"/>
      <c r="B69" s="153"/>
      <c r="C69" s="18"/>
      <c r="D69" s="18"/>
      <c r="E69" s="18"/>
      <c r="F69" s="18"/>
      <c r="G69" s="18"/>
      <c r="H69" s="18"/>
      <c r="I69" s="69"/>
    </row>
    <row r="70" spans="1:9" ht="22.5" x14ac:dyDescent="0.25">
      <c r="A70" s="162" t="s">
        <v>1658</v>
      </c>
      <c r="B70" s="153" t="s">
        <v>1639</v>
      </c>
      <c r="C70" s="116"/>
      <c r="D70" s="109"/>
      <c r="E70" s="116">
        <f>SUM(E61:E62)</f>
        <v>0</v>
      </c>
      <c r="F70" s="116">
        <f>SUM(F61:F62)</f>
        <v>0</v>
      </c>
      <c r="G70" s="116">
        <f>ROUND(E70-F70,0)</f>
        <v>0</v>
      </c>
      <c r="H70" s="116"/>
      <c r="I70" s="69"/>
    </row>
    <row r="71" spans="1:9" ht="22.5" x14ac:dyDescent="0.25">
      <c r="A71" s="162" t="s">
        <v>1660</v>
      </c>
      <c r="B71" s="153" t="s">
        <v>1641</v>
      </c>
      <c r="C71" s="116"/>
      <c r="D71" s="109"/>
      <c r="E71" s="116"/>
      <c r="F71" s="116"/>
      <c r="G71" s="116">
        <f>ROUND(E71-F71,0)</f>
        <v>0</v>
      </c>
      <c r="H71" s="116"/>
      <c r="I71" s="69"/>
    </row>
    <row r="72" spans="1:9" x14ac:dyDescent="0.25">
      <c r="A72" s="162"/>
      <c r="B72" s="153"/>
      <c r="C72" s="18"/>
      <c r="D72" s="18"/>
      <c r="E72" s="18"/>
      <c r="F72" s="18"/>
      <c r="G72" s="18"/>
      <c r="H72" s="18"/>
      <c r="I72" s="69"/>
    </row>
    <row r="73" spans="1:9" ht="33.75" x14ac:dyDescent="0.25">
      <c r="A73" s="162" t="s">
        <v>1662</v>
      </c>
      <c r="B73" s="153" t="s">
        <v>1643</v>
      </c>
      <c r="C73" s="116"/>
      <c r="D73" s="109"/>
      <c r="E73" s="116"/>
      <c r="F73" s="116"/>
      <c r="G73" s="116">
        <f>ROUND(E73-F73,0)</f>
        <v>0</v>
      </c>
      <c r="H73" s="116"/>
      <c r="I73" s="69"/>
    </row>
    <row r="74" spans="1:9" ht="22.5" x14ac:dyDescent="0.25">
      <c r="A74" s="162" t="s">
        <v>1664</v>
      </c>
      <c r="B74" s="153" t="s">
        <v>1645</v>
      </c>
      <c r="C74" s="116"/>
      <c r="D74" s="109"/>
      <c r="E74" s="116"/>
      <c r="F74" s="116"/>
      <c r="G74" s="116">
        <f>ROUND(E74-F74,0)</f>
        <v>0</v>
      </c>
      <c r="H74" s="116"/>
      <c r="I74" s="69"/>
    </row>
    <row r="75" spans="1:9" ht="22.5" x14ac:dyDescent="0.25">
      <c r="A75" s="162" t="s">
        <v>1666</v>
      </c>
      <c r="B75" s="153" t="s">
        <v>1647</v>
      </c>
      <c r="C75" s="116"/>
      <c r="D75" s="109"/>
      <c r="E75" s="116"/>
      <c r="F75" s="116"/>
      <c r="G75" s="116">
        <f>ROUND(E75-F75,0)</f>
        <v>0</v>
      </c>
      <c r="H75" s="116"/>
      <c r="I75" s="69"/>
    </row>
    <row r="76" spans="1:9" x14ac:dyDescent="0.25">
      <c r="A76" s="162"/>
      <c r="B76" s="153"/>
      <c r="C76" s="18"/>
      <c r="D76" s="18"/>
      <c r="E76" s="18"/>
      <c r="F76" s="18"/>
      <c r="G76" s="18"/>
      <c r="H76" s="18"/>
      <c r="I76" s="69"/>
    </row>
    <row r="77" spans="1:9" ht="45" x14ac:dyDescent="0.25">
      <c r="A77" s="162" t="s">
        <v>1668</v>
      </c>
      <c r="B77" s="153" t="s">
        <v>5464</v>
      </c>
      <c r="C77" s="185"/>
      <c r="D77" s="160"/>
      <c r="E77" s="185"/>
      <c r="F77" s="185"/>
      <c r="G77" s="185">
        <f>ROUND(E77-F77,0)</f>
        <v>0</v>
      </c>
      <c r="H77" s="185"/>
      <c r="I77" s="149"/>
    </row>
    <row r="78" spans="1:9" ht="45" x14ac:dyDescent="0.25">
      <c r="A78" s="162" t="s">
        <v>1670</v>
      </c>
      <c r="B78" s="153" t="s">
        <v>5465</v>
      </c>
      <c r="C78" s="185"/>
      <c r="D78" s="160"/>
      <c r="E78" s="185"/>
      <c r="F78" s="185"/>
      <c r="G78" s="185">
        <f>ROUND(E78-F78,0)</f>
        <v>0</v>
      </c>
      <c r="H78" s="185"/>
      <c r="I78" s="149"/>
    </row>
    <row r="79" spans="1:9" ht="45" x14ac:dyDescent="0.25">
      <c r="A79" s="162" t="s">
        <v>1671</v>
      </c>
      <c r="B79" s="153" t="s">
        <v>5466</v>
      </c>
      <c r="C79" s="185"/>
      <c r="D79" s="160"/>
      <c r="E79" s="185"/>
      <c r="F79" s="185"/>
      <c r="G79" s="185">
        <f>ROUND(E79-F79,0)</f>
        <v>0</v>
      </c>
      <c r="H79" s="185"/>
      <c r="I79" s="149"/>
    </row>
    <row r="80" spans="1:9" ht="33.75" x14ac:dyDescent="0.25">
      <c r="A80" s="162" t="s">
        <v>1672</v>
      </c>
      <c r="B80" s="153" t="s">
        <v>5467</v>
      </c>
      <c r="C80" s="185"/>
      <c r="D80" s="160"/>
      <c r="E80" s="185"/>
      <c r="F80" s="185"/>
      <c r="G80" s="185">
        <f>ROUND(E80-F80,0)</f>
        <v>0</v>
      </c>
      <c r="H80" s="185"/>
      <c r="I80" s="149"/>
    </row>
    <row r="81" spans="1:9" ht="67.5" x14ac:dyDescent="0.25">
      <c r="A81" s="162" t="s">
        <v>1673</v>
      </c>
      <c r="B81" s="153" t="s">
        <v>5468</v>
      </c>
      <c r="C81" s="185"/>
      <c r="D81" s="160"/>
      <c r="E81" s="185"/>
      <c r="F81" s="185"/>
      <c r="G81" s="185"/>
      <c r="H81" s="185"/>
      <c r="I81" s="149"/>
    </row>
    <row r="82" spans="1:9" x14ac:dyDescent="0.25">
      <c r="A82" s="162"/>
      <c r="B82" s="153"/>
      <c r="C82" s="160"/>
      <c r="D82" s="160"/>
      <c r="E82" s="160"/>
      <c r="F82" s="160"/>
      <c r="G82" s="160"/>
      <c r="H82" s="160"/>
      <c r="I82" s="149"/>
    </row>
    <row r="83" spans="1:9" ht="22.5" x14ac:dyDescent="0.25">
      <c r="A83" s="162"/>
      <c r="B83" s="179" t="s">
        <v>583</v>
      </c>
      <c r="C83" s="18"/>
      <c r="D83" s="18"/>
      <c r="E83" s="18"/>
      <c r="F83" s="18"/>
      <c r="G83" s="18"/>
      <c r="H83" s="18"/>
      <c r="I83" s="69"/>
    </row>
    <row r="84" spans="1:9" x14ac:dyDescent="0.25">
      <c r="A84" s="162"/>
      <c r="B84" s="153"/>
      <c r="C84" s="18"/>
      <c r="D84" s="18"/>
      <c r="E84" s="18"/>
      <c r="F84" s="18"/>
      <c r="G84" s="18"/>
      <c r="H84" s="18"/>
      <c r="I84" s="69"/>
    </row>
    <row r="85" spans="1:9" ht="33.75" x14ac:dyDescent="0.25">
      <c r="A85" s="162" t="s">
        <v>1674</v>
      </c>
      <c r="B85" s="153" t="s">
        <v>1649</v>
      </c>
      <c r="C85" s="116"/>
      <c r="D85" s="110">
        <f>IF(C85&gt;0,3,0)</f>
        <v>0</v>
      </c>
      <c r="E85" s="116">
        <f t="shared" ref="E85:E94" si="1">IF(D85&lt;&gt;0,ROUND(C85*D85/100,0),0)</f>
        <v>0</v>
      </c>
      <c r="F85" s="116"/>
      <c r="G85" s="116">
        <f t="shared" ref="G85:G94" si="2">ROUND(E85-F85,0)</f>
        <v>0</v>
      </c>
      <c r="H85" s="116"/>
      <c r="I85" s="69"/>
    </row>
    <row r="86" spans="1:9" ht="56.25" x14ac:dyDescent="0.25">
      <c r="A86" s="162" t="s">
        <v>1675</v>
      </c>
      <c r="B86" s="153" t="s">
        <v>1651</v>
      </c>
      <c r="C86" s="116"/>
      <c r="D86" s="110">
        <f>IF(C86&gt;0,25,0)</f>
        <v>0</v>
      </c>
      <c r="E86" s="116">
        <f t="shared" si="1"/>
        <v>0</v>
      </c>
      <c r="F86" s="116"/>
      <c r="G86" s="116">
        <f t="shared" si="2"/>
        <v>0</v>
      </c>
      <c r="H86" s="116"/>
      <c r="I86" s="69"/>
    </row>
    <row r="87" spans="1:9" ht="56.25" x14ac:dyDescent="0.25">
      <c r="A87" s="162" t="s">
        <v>1677</v>
      </c>
      <c r="B87" s="153" t="s">
        <v>1653</v>
      </c>
      <c r="C87" s="116"/>
      <c r="D87" s="110">
        <f>IF(C87&gt;0,26.5,0)</f>
        <v>0</v>
      </c>
      <c r="E87" s="116">
        <f t="shared" si="1"/>
        <v>0</v>
      </c>
      <c r="F87" s="116"/>
      <c r="G87" s="116">
        <f t="shared" si="2"/>
        <v>0</v>
      </c>
      <c r="H87" s="116"/>
      <c r="I87" s="69"/>
    </row>
    <row r="88" spans="1:9" ht="56.25" x14ac:dyDescent="0.25">
      <c r="A88" s="162" t="s">
        <v>1679</v>
      </c>
      <c r="B88" s="153" t="s">
        <v>1655</v>
      </c>
      <c r="C88" s="116"/>
      <c r="D88" s="110">
        <f>IF(C88&gt;0,30,0)</f>
        <v>0</v>
      </c>
      <c r="E88" s="116">
        <f t="shared" si="1"/>
        <v>0</v>
      </c>
      <c r="F88" s="116"/>
      <c r="G88" s="116">
        <f t="shared" si="2"/>
        <v>0</v>
      </c>
      <c r="H88" s="116"/>
      <c r="I88" s="69"/>
    </row>
    <row r="89" spans="1:9" ht="33.75" x14ac:dyDescent="0.25">
      <c r="A89" s="162" t="s">
        <v>1681</v>
      </c>
      <c r="B89" s="153" t="s">
        <v>1657</v>
      </c>
      <c r="C89" s="116"/>
      <c r="D89" s="110">
        <f>IF(C89&gt;0,30,0)</f>
        <v>0</v>
      </c>
      <c r="E89" s="116">
        <f t="shared" si="1"/>
        <v>0</v>
      </c>
      <c r="F89" s="116"/>
      <c r="G89" s="116">
        <f t="shared" si="2"/>
        <v>0</v>
      </c>
      <c r="H89" s="116"/>
      <c r="I89" s="69"/>
    </row>
    <row r="90" spans="1:9" ht="56.25" x14ac:dyDescent="0.25">
      <c r="A90" s="162" t="s">
        <v>1683</v>
      </c>
      <c r="B90" s="153" t="s">
        <v>1659</v>
      </c>
      <c r="C90" s="116"/>
      <c r="D90" s="110">
        <f>IF(C90&gt;0,30.4,0)</f>
        <v>0</v>
      </c>
      <c r="E90" s="116">
        <f t="shared" si="1"/>
        <v>0</v>
      </c>
      <c r="F90" s="116"/>
      <c r="G90" s="116">
        <f t="shared" si="2"/>
        <v>0</v>
      </c>
      <c r="H90" s="116"/>
      <c r="I90" s="69"/>
    </row>
    <row r="91" spans="1:9" ht="45" x14ac:dyDescent="0.25">
      <c r="A91" s="162" t="s">
        <v>1685</v>
      </c>
      <c r="B91" s="153" t="s">
        <v>1661</v>
      </c>
      <c r="C91" s="116"/>
      <c r="D91" s="110">
        <f>IF(C91&gt;0,50,0)</f>
        <v>0</v>
      </c>
      <c r="E91" s="116">
        <f t="shared" si="1"/>
        <v>0</v>
      </c>
      <c r="F91" s="116"/>
      <c r="G91" s="116">
        <f t="shared" si="2"/>
        <v>0</v>
      </c>
      <c r="H91" s="116"/>
      <c r="I91" s="69"/>
    </row>
    <row r="92" spans="1:9" ht="56.25" x14ac:dyDescent="0.25">
      <c r="A92" s="162" t="s">
        <v>1687</v>
      </c>
      <c r="B92" s="153" t="s">
        <v>1663</v>
      </c>
      <c r="C92" s="116"/>
      <c r="D92" s="110">
        <f>IF(C92&gt;0,53,0)</f>
        <v>0</v>
      </c>
      <c r="E92" s="116">
        <f t="shared" si="1"/>
        <v>0</v>
      </c>
      <c r="F92" s="116"/>
      <c r="G92" s="116">
        <f t="shared" si="2"/>
        <v>0</v>
      </c>
      <c r="H92" s="116"/>
      <c r="I92" s="69"/>
    </row>
    <row r="93" spans="1:9" ht="33.75" x14ac:dyDescent="0.25">
      <c r="A93" s="162" t="s">
        <v>1689</v>
      </c>
      <c r="B93" s="153" t="s">
        <v>1665</v>
      </c>
      <c r="C93" s="116"/>
      <c r="D93" s="110">
        <f>IF(C93&gt;0,160,0)</f>
        <v>0</v>
      </c>
      <c r="E93" s="116">
        <f t="shared" si="1"/>
        <v>0</v>
      </c>
      <c r="F93" s="116"/>
      <c r="G93" s="116">
        <f t="shared" si="2"/>
        <v>0</v>
      </c>
      <c r="H93" s="116"/>
      <c r="I93" s="69"/>
    </row>
    <row r="94" spans="1:9" ht="45" x14ac:dyDescent="0.25">
      <c r="A94" s="162" t="s">
        <v>1691</v>
      </c>
      <c r="B94" s="153" t="s">
        <v>1667</v>
      </c>
      <c r="C94" s="116"/>
      <c r="D94" s="110">
        <f>IF(C94&gt;0,160,0)</f>
        <v>0</v>
      </c>
      <c r="E94" s="116">
        <f t="shared" si="1"/>
        <v>0</v>
      </c>
      <c r="F94" s="116"/>
      <c r="G94" s="116">
        <f t="shared" si="2"/>
        <v>0</v>
      </c>
      <c r="H94" s="116"/>
      <c r="I94" s="69"/>
    </row>
    <row r="95" spans="1:9" ht="22.5" x14ac:dyDescent="0.25">
      <c r="A95" s="162" t="s">
        <v>1693</v>
      </c>
      <c r="B95" s="153" t="s">
        <v>1669</v>
      </c>
      <c r="C95" s="52"/>
      <c r="D95" s="64"/>
      <c r="E95" s="52"/>
      <c r="F95" s="52"/>
      <c r="G95" s="52"/>
      <c r="H95" s="52"/>
      <c r="I95" s="69"/>
    </row>
    <row r="96" spans="1:9" x14ac:dyDescent="0.25">
      <c r="A96" s="162"/>
      <c r="B96" s="153"/>
      <c r="C96" s="18"/>
      <c r="D96" s="18"/>
      <c r="E96" s="18"/>
      <c r="F96" s="18"/>
      <c r="G96" s="18"/>
      <c r="H96" s="18"/>
      <c r="I96" s="69"/>
    </row>
    <row r="97" spans="1:9" ht="22.5" x14ac:dyDescent="0.25">
      <c r="A97" s="162" t="s">
        <v>1695</v>
      </c>
      <c r="B97" s="153" t="s">
        <v>1633</v>
      </c>
      <c r="C97" s="116">
        <f>ROUND(SUM(C85:C95),0)</f>
        <v>0</v>
      </c>
      <c r="D97" s="109"/>
      <c r="E97" s="116"/>
      <c r="F97" s="116"/>
      <c r="G97" s="116">
        <f>ROUND(E97-F97,0)</f>
        <v>0</v>
      </c>
      <c r="H97" s="116"/>
      <c r="I97" s="69"/>
    </row>
    <row r="98" spans="1:9" x14ac:dyDescent="0.25">
      <c r="A98" s="162"/>
      <c r="B98" s="153"/>
      <c r="C98" s="18"/>
      <c r="D98" s="18"/>
      <c r="E98" s="18"/>
      <c r="F98" s="18"/>
      <c r="G98" s="18"/>
      <c r="H98" s="18"/>
      <c r="I98" s="69"/>
    </row>
    <row r="99" spans="1:9" ht="33.75" x14ac:dyDescent="0.25">
      <c r="A99" s="162" t="s">
        <v>1697</v>
      </c>
      <c r="B99" s="153" t="s">
        <v>1635</v>
      </c>
      <c r="C99" s="116"/>
      <c r="D99" s="109"/>
      <c r="E99" s="116"/>
      <c r="F99" s="116"/>
      <c r="G99" s="116"/>
      <c r="H99" s="116"/>
      <c r="I99" s="69"/>
    </row>
    <row r="100" spans="1:9" x14ac:dyDescent="0.25">
      <c r="A100" s="162"/>
      <c r="B100" s="153"/>
      <c r="C100" s="18"/>
      <c r="D100" s="18"/>
      <c r="E100" s="18"/>
      <c r="F100" s="18"/>
      <c r="G100" s="18"/>
      <c r="H100" s="18"/>
      <c r="I100" s="69"/>
    </row>
    <row r="101" spans="1:9" ht="22.5" x14ac:dyDescent="0.25">
      <c r="A101" s="162" t="s">
        <v>1699</v>
      </c>
      <c r="B101" s="153" t="s">
        <v>1637</v>
      </c>
      <c r="C101" s="116">
        <f>ROUND(SUM(C97:C99),0)</f>
        <v>0</v>
      </c>
      <c r="D101" s="109"/>
      <c r="E101" s="116"/>
      <c r="F101" s="116"/>
      <c r="G101" s="116"/>
      <c r="H101" s="116"/>
      <c r="I101" s="69"/>
    </row>
    <row r="102" spans="1:9" x14ac:dyDescent="0.25">
      <c r="A102" s="162"/>
      <c r="B102" s="153"/>
      <c r="C102" s="18"/>
      <c r="D102" s="18"/>
      <c r="E102" s="18"/>
      <c r="F102" s="18"/>
      <c r="G102" s="18"/>
      <c r="H102" s="18"/>
      <c r="I102" s="69"/>
    </row>
    <row r="103" spans="1:9" x14ac:dyDescent="0.25">
      <c r="A103" s="162"/>
      <c r="B103" s="153"/>
      <c r="C103" s="18"/>
      <c r="D103" s="18"/>
      <c r="E103" s="18"/>
      <c r="F103" s="18"/>
      <c r="G103" s="18"/>
      <c r="H103" s="18"/>
      <c r="I103" s="69"/>
    </row>
    <row r="104" spans="1:9" ht="22.5" x14ac:dyDescent="0.25">
      <c r="A104" s="162" t="s">
        <v>1700</v>
      </c>
      <c r="B104" s="153" t="s">
        <v>5706</v>
      </c>
      <c r="C104" s="116"/>
      <c r="D104" s="109"/>
      <c r="E104" s="116"/>
      <c r="F104" s="116"/>
      <c r="G104" s="116"/>
      <c r="H104" s="116"/>
      <c r="I104" s="69"/>
    </row>
    <row r="105" spans="1:9" x14ac:dyDescent="0.25">
      <c r="A105" s="162"/>
      <c r="B105" s="153"/>
      <c r="C105" s="18"/>
      <c r="D105" s="18"/>
      <c r="E105" s="18"/>
      <c r="F105" s="18"/>
      <c r="G105" s="18"/>
      <c r="H105" s="18"/>
      <c r="I105" s="69"/>
    </row>
    <row r="106" spans="1:9" ht="33.75" x14ac:dyDescent="0.25">
      <c r="A106" s="162" t="s">
        <v>1701</v>
      </c>
      <c r="B106" s="153" t="s">
        <v>5469</v>
      </c>
      <c r="C106" s="116"/>
      <c r="D106" s="110">
        <f>IF(C106&gt;0,9,0)</f>
        <v>0</v>
      </c>
      <c r="E106" s="116">
        <f>IF(D106&lt;&gt;0,ROUND(C106*D106/100,0),0)</f>
        <v>0</v>
      </c>
      <c r="F106" s="116"/>
      <c r="G106" s="116">
        <f>ROUND(E106-F106,0)</f>
        <v>0</v>
      </c>
      <c r="H106" s="116"/>
      <c r="I106" s="69"/>
    </row>
    <row r="107" spans="1:9" ht="33.75" x14ac:dyDescent="0.25">
      <c r="A107" s="162" t="s">
        <v>1702</v>
      </c>
      <c r="B107" s="153" t="s">
        <v>1676</v>
      </c>
      <c r="C107" s="116"/>
      <c r="D107" s="110">
        <f>IF(C107&gt;0,7,0)</f>
        <v>0</v>
      </c>
      <c r="E107" s="116">
        <f>IF(D107&lt;&gt;0,ROUND(C107*D107/100,0),0)</f>
        <v>0</v>
      </c>
      <c r="F107" s="116"/>
      <c r="G107" s="116">
        <f>ROUND(E107-F107,0)</f>
        <v>0</v>
      </c>
      <c r="H107" s="116"/>
      <c r="I107" s="69"/>
    </row>
    <row r="108" spans="1:9" ht="33.75" x14ac:dyDescent="0.25">
      <c r="A108" s="162" t="s">
        <v>1703</v>
      </c>
      <c r="B108" s="153" t="s">
        <v>1678</v>
      </c>
      <c r="C108" s="116"/>
      <c r="D108" s="110">
        <f>IF(C108&gt;0,6,0)</f>
        <v>0</v>
      </c>
      <c r="E108" s="116">
        <f>IF(D108&lt;&gt;0,ROUND(C108*D108/100,0),0)</f>
        <v>0</v>
      </c>
      <c r="F108" s="116"/>
      <c r="G108" s="116">
        <f>ROUND(E108-F108,0)</f>
        <v>0</v>
      </c>
      <c r="H108" s="116"/>
      <c r="I108" s="69"/>
    </row>
    <row r="109" spans="1:9" ht="22.5" x14ac:dyDescent="0.25">
      <c r="A109" s="162" t="s">
        <v>1704</v>
      </c>
      <c r="B109" s="153" t="s">
        <v>1680</v>
      </c>
      <c r="C109" s="116"/>
      <c r="D109" s="109"/>
      <c r="E109" s="116">
        <f>ROUND(C109*D109/100,0)</f>
        <v>0</v>
      </c>
      <c r="F109" s="116"/>
      <c r="G109" s="116">
        <f>ROUND(E109-F109,0)</f>
        <v>0</v>
      </c>
      <c r="H109" s="116"/>
      <c r="I109" s="69"/>
    </row>
    <row r="110" spans="1:9" x14ac:dyDescent="0.25">
      <c r="A110" s="162"/>
      <c r="B110" s="153"/>
      <c r="C110" s="18"/>
      <c r="D110" s="18"/>
      <c r="E110" s="18"/>
      <c r="F110" s="18"/>
      <c r="G110" s="18"/>
      <c r="H110" s="18"/>
      <c r="I110" s="69"/>
    </row>
    <row r="111" spans="1:9" ht="45" x14ac:dyDescent="0.25">
      <c r="A111" s="162" t="s">
        <v>1705</v>
      </c>
      <c r="B111" s="153" t="s">
        <v>1682</v>
      </c>
      <c r="C111" s="116"/>
      <c r="D111" s="110">
        <f t="shared" ref="D111:D119" si="3">IF(C111&gt;0,8,0)</f>
        <v>0</v>
      </c>
      <c r="E111" s="116">
        <f t="shared" ref="E111:E119" si="4">IF(D111&lt;&gt;0,ROUND(C111*D111/100,0),0)</f>
        <v>0</v>
      </c>
      <c r="F111" s="116"/>
      <c r="G111" s="116">
        <f t="shared" ref="G111:G119" si="5">ROUND(E111-F111,0)</f>
        <v>0</v>
      </c>
      <c r="H111" s="116"/>
      <c r="I111" s="69"/>
    </row>
    <row r="112" spans="1:9" ht="45" x14ac:dyDescent="0.25">
      <c r="A112" s="162" t="s">
        <v>1706</v>
      </c>
      <c r="B112" s="153" t="s">
        <v>1684</v>
      </c>
      <c r="C112" s="116"/>
      <c r="D112" s="110">
        <f t="shared" si="3"/>
        <v>0</v>
      </c>
      <c r="E112" s="116">
        <f t="shared" si="4"/>
        <v>0</v>
      </c>
      <c r="F112" s="116"/>
      <c r="G112" s="116">
        <f t="shared" si="5"/>
        <v>0</v>
      </c>
      <c r="H112" s="116"/>
      <c r="I112" s="69"/>
    </row>
    <row r="113" spans="1:9" ht="56.25" x14ac:dyDescent="0.25">
      <c r="A113" s="162" t="s">
        <v>1707</v>
      </c>
      <c r="B113" s="153" t="s">
        <v>1686</v>
      </c>
      <c r="C113" s="116"/>
      <c r="D113" s="110">
        <f t="shared" si="3"/>
        <v>0</v>
      </c>
      <c r="E113" s="116">
        <f t="shared" si="4"/>
        <v>0</v>
      </c>
      <c r="F113" s="116"/>
      <c r="G113" s="116">
        <f t="shared" si="5"/>
        <v>0</v>
      </c>
      <c r="H113" s="116"/>
      <c r="I113" s="69"/>
    </row>
    <row r="114" spans="1:9" ht="45" x14ac:dyDescent="0.25">
      <c r="A114" s="162" t="s">
        <v>1708</v>
      </c>
      <c r="B114" s="153" t="s">
        <v>1688</v>
      </c>
      <c r="C114" s="116"/>
      <c r="D114" s="110">
        <f t="shared" si="3"/>
        <v>0</v>
      </c>
      <c r="E114" s="116">
        <f t="shared" si="4"/>
        <v>0</v>
      </c>
      <c r="F114" s="116"/>
      <c r="G114" s="116">
        <f t="shared" si="5"/>
        <v>0</v>
      </c>
      <c r="H114" s="116"/>
      <c r="I114" s="69"/>
    </row>
    <row r="115" spans="1:9" ht="45" x14ac:dyDescent="0.25">
      <c r="A115" s="162" t="s">
        <v>1709</v>
      </c>
      <c r="B115" s="153" t="s">
        <v>1690</v>
      </c>
      <c r="C115" s="116"/>
      <c r="D115" s="110">
        <f t="shared" si="3"/>
        <v>0</v>
      </c>
      <c r="E115" s="116">
        <f t="shared" si="4"/>
        <v>0</v>
      </c>
      <c r="F115" s="116"/>
      <c r="G115" s="116">
        <f t="shared" si="5"/>
        <v>0</v>
      </c>
      <c r="H115" s="116"/>
      <c r="I115" s="69"/>
    </row>
    <row r="116" spans="1:9" ht="45" x14ac:dyDescent="0.25">
      <c r="A116" s="162" t="s">
        <v>1711</v>
      </c>
      <c r="B116" s="153" t="s">
        <v>1692</v>
      </c>
      <c r="C116" s="116"/>
      <c r="D116" s="110">
        <f t="shared" si="3"/>
        <v>0</v>
      </c>
      <c r="E116" s="116">
        <f t="shared" si="4"/>
        <v>0</v>
      </c>
      <c r="F116" s="116"/>
      <c r="G116" s="116">
        <f t="shared" si="5"/>
        <v>0</v>
      </c>
      <c r="H116" s="116"/>
      <c r="I116" s="69"/>
    </row>
    <row r="117" spans="1:9" ht="45" x14ac:dyDescent="0.25">
      <c r="A117" s="162" t="s">
        <v>1713</v>
      </c>
      <c r="B117" s="153" t="s">
        <v>1694</v>
      </c>
      <c r="C117" s="116"/>
      <c r="D117" s="110">
        <f t="shared" si="3"/>
        <v>0</v>
      </c>
      <c r="E117" s="116">
        <f t="shared" si="4"/>
        <v>0</v>
      </c>
      <c r="F117" s="116"/>
      <c r="G117" s="116">
        <f t="shared" si="5"/>
        <v>0</v>
      </c>
      <c r="H117" s="116"/>
      <c r="I117" s="69"/>
    </row>
    <row r="118" spans="1:9" ht="45" x14ac:dyDescent="0.25">
      <c r="A118" s="162" t="s">
        <v>1715</v>
      </c>
      <c r="B118" s="153" t="s">
        <v>1696</v>
      </c>
      <c r="C118" s="116"/>
      <c r="D118" s="110">
        <f t="shared" si="3"/>
        <v>0</v>
      </c>
      <c r="E118" s="116">
        <f t="shared" si="4"/>
        <v>0</v>
      </c>
      <c r="F118" s="116"/>
      <c r="G118" s="116">
        <f t="shared" si="5"/>
        <v>0</v>
      </c>
      <c r="H118" s="116"/>
      <c r="I118" s="69"/>
    </row>
    <row r="119" spans="1:9" ht="45" x14ac:dyDescent="0.25">
      <c r="A119" s="162" t="s">
        <v>1717</v>
      </c>
      <c r="B119" s="153" t="s">
        <v>1698</v>
      </c>
      <c r="C119" s="116"/>
      <c r="D119" s="110">
        <f t="shared" si="3"/>
        <v>0</v>
      </c>
      <c r="E119" s="116">
        <f t="shared" si="4"/>
        <v>0</v>
      </c>
      <c r="F119" s="116"/>
      <c r="G119" s="116">
        <f t="shared" si="5"/>
        <v>0</v>
      </c>
      <c r="H119" s="116"/>
      <c r="I119" s="69"/>
    </row>
    <row r="120" spans="1:9" x14ac:dyDescent="0.25">
      <c r="A120" s="162"/>
      <c r="B120" s="153"/>
      <c r="C120" s="18"/>
      <c r="D120" s="18"/>
      <c r="E120" s="18"/>
      <c r="F120" s="18"/>
      <c r="G120" s="18"/>
      <c r="H120" s="18"/>
      <c r="I120" s="69"/>
    </row>
    <row r="121" spans="1:9" ht="22.5" x14ac:dyDescent="0.25">
      <c r="A121" s="162" t="s">
        <v>1719</v>
      </c>
      <c r="B121" s="153" t="s">
        <v>5707</v>
      </c>
      <c r="C121" s="116"/>
      <c r="D121" s="110">
        <f>IF(C121&gt;0,5.91,0)</f>
        <v>0</v>
      </c>
      <c r="E121" s="116"/>
      <c r="F121" s="116"/>
      <c r="G121" s="116">
        <f t="shared" ref="G121:G129" si="6">ROUND(E121-F121,0)</f>
        <v>0</v>
      </c>
      <c r="H121" s="116"/>
      <c r="I121" s="69"/>
    </row>
    <row r="122" spans="1:9" ht="22.5" x14ac:dyDescent="0.25">
      <c r="A122" s="162" t="s">
        <v>1721</v>
      </c>
      <c r="B122" s="153" t="s">
        <v>5708</v>
      </c>
      <c r="C122" s="116"/>
      <c r="D122" s="110">
        <f>IF(C122&gt;0,7.66,0)</f>
        <v>0</v>
      </c>
      <c r="E122" s="116"/>
      <c r="F122" s="116"/>
      <c r="G122" s="116">
        <f t="shared" si="6"/>
        <v>0</v>
      </c>
      <c r="H122" s="116"/>
      <c r="I122" s="69"/>
    </row>
    <row r="123" spans="1:9" ht="33.75" x14ac:dyDescent="0.25">
      <c r="A123" s="162" t="s">
        <v>1723</v>
      </c>
      <c r="B123" s="153" t="s">
        <v>5709</v>
      </c>
      <c r="C123" s="116"/>
      <c r="D123" s="110">
        <f>IF(C123&gt;0,10.38,0)</f>
        <v>0</v>
      </c>
      <c r="E123" s="116"/>
      <c r="F123" s="116"/>
      <c r="G123" s="116">
        <f t="shared" si="6"/>
        <v>0</v>
      </c>
      <c r="H123" s="116"/>
      <c r="I123" s="69"/>
    </row>
    <row r="124" spans="1:9" ht="33.75" x14ac:dyDescent="0.25">
      <c r="A124" s="162" t="s">
        <v>1725</v>
      </c>
      <c r="B124" s="153" t="s">
        <v>5710</v>
      </c>
      <c r="C124" s="116"/>
      <c r="D124" s="110">
        <f>IF(C124&gt;0,12.4,0)</f>
        <v>0</v>
      </c>
      <c r="E124" s="116"/>
      <c r="F124" s="116"/>
      <c r="G124" s="116">
        <f t="shared" si="6"/>
        <v>0</v>
      </c>
      <c r="H124" s="116"/>
      <c r="I124" s="69"/>
    </row>
    <row r="125" spans="1:9" ht="22.5" x14ac:dyDescent="0.25">
      <c r="A125" s="162" t="s">
        <v>1727</v>
      </c>
      <c r="B125" s="153" t="s">
        <v>5711</v>
      </c>
      <c r="C125" s="116"/>
      <c r="D125" s="110">
        <f>IF(C125&gt;0,12.59,0)</f>
        <v>0</v>
      </c>
      <c r="E125" s="116"/>
      <c r="F125" s="116"/>
      <c r="G125" s="116">
        <f t="shared" si="6"/>
        <v>0</v>
      </c>
      <c r="H125" s="116"/>
      <c r="I125" s="69"/>
    </row>
    <row r="126" spans="1:9" ht="33.75" x14ac:dyDescent="0.25">
      <c r="A126" s="162" t="s">
        <v>1729</v>
      </c>
      <c r="B126" s="153" t="s">
        <v>5712</v>
      </c>
      <c r="C126" s="116"/>
      <c r="D126" s="110">
        <f>IF(C126&gt;0,13.45,0)</f>
        <v>0</v>
      </c>
      <c r="E126" s="116"/>
      <c r="F126" s="116"/>
      <c r="G126" s="116">
        <f t="shared" si="6"/>
        <v>0</v>
      </c>
      <c r="H126" s="116"/>
      <c r="I126" s="69"/>
    </row>
    <row r="127" spans="1:9" ht="33.75" x14ac:dyDescent="0.25">
      <c r="A127" s="162" t="s">
        <v>1730</v>
      </c>
      <c r="B127" s="153" t="s">
        <v>5713</v>
      </c>
      <c r="C127" s="116"/>
      <c r="D127" s="110">
        <f>IF(C127&gt;0,15.6,0)</f>
        <v>0</v>
      </c>
      <c r="E127" s="116"/>
      <c r="F127" s="116"/>
      <c r="G127" s="116">
        <f t="shared" si="6"/>
        <v>0</v>
      </c>
      <c r="H127" s="116"/>
      <c r="I127" s="69"/>
    </row>
    <row r="128" spans="1:9" ht="33.75" x14ac:dyDescent="0.25">
      <c r="A128" s="162" t="s">
        <v>1731</v>
      </c>
      <c r="B128" s="153" t="s">
        <v>5714</v>
      </c>
      <c r="C128" s="116"/>
      <c r="D128" s="110">
        <f>IF(C128&gt;0,36.57,0)</f>
        <v>0</v>
      </c>
      <c r="E128" s="116"/>
      <c r="F128" s="116"/>
      <c r="G128" s="116">
        <f t="shared" si="6"/>
        <v>0</v>
      </c>
      <c r="H128" s="116"/>
      <c r="I128" s="69"/>
    </row>
    <row r="129" spans="1:9" ht="33.75" x14ac:dyDescent="0.25">
      <c r="A129" s="162" t="s">
        <v>1733</v>
      </c>
      <c r="B129" s="153" t="s">
        <v>5715</v>
      </c>
      <c r="C129" s="116"/>
      <c r="D129" s="110">
        <f>IF(C129&gt;0,27.54,0)</f>
        <v>0</v>
      </c>
      <c r="E129" s="116"/>
      <c r="F129" s="116"/>
      <c r="G129" s="116">
        <f t="shared" si="6"/>
        <v>0</v>
      </c>
      <c r="H129" s="116"/>
      <c r="I129" s="69"/>
    </row>
    <row r="130" spans="1:9" ht="33.75" x14ac:dyDescent="0.25">
      <c r="A130" s="162" t="s">
        <v>1735</v>
      </c>
      <c r="B130" s="153" t="s">
        <v>5716</v>
      </c>
      <c r="C130" s="52"/>
      <c r="D130" s="64"/>
      <c r="E130" s="52"/>
      <c r="F130" s="52"/>
      <c r="G130" s="52"/>
      <c r="H130" s="52"/>
      <c r="I130" s="69"/>
    </row>
    <row r="131" spans="1:9" x14ac:dyDescent="0.25">
      <c r="A131" s="162"/>
      <c r="B131" s="153"/>
      <c r="C131" s="18"/>
      <c r="D131" s="18"/>
      <c r="E131" s="18"/>
      <c r="F131" s="18"/>
      <c r="G131" s="18"/>
      <c r="H131" s="18"/>
      <c r="I131" s="69"/>
    </row>
    <row r="132" spans="1:9" ht="22.5" x14ac:dyDescent="0.25">
      <c r="A132" s="162" t="s">
        <v>1736</v>
      </c>
      <c r="B132" s="153" t="s">
        <v>1710</v>
      </c>
      <c r="C132" s="116"/>
      <c r="D132" s="109"/>
      <c r="E132" s="116">
        <f>SUM(E85:E95)</f>
        <v>0</v>
      </c>
      <c r="F132" s="116">
        <f>SUM(F85:F95)</f>
        <v>0</v>
      </c>
      <c r="G132" s="116">
        <f>ROUND(E132-F132,0)</f>
        <v>0</v>
      </c>
      <c r="H132" s="116"/>
      <c r="I132" s="69"/>
    </row>
    <row r="133" spans="1:9" x14ac:dyDescent="0.25">
      <c r="A133" s="162"/>
      <c r="B133" s="153"/>
      <c r="C133" s="18"/>
      <c r="D133" s="18"/>
      <c r="E133" s="18"/>
      <c r="F133" s="18"/>
      <c r="G133" s="18"/>
      <c r="H133" s="18"/>
      <c r="I133" s="69"/>
    </row>
    <row r="134" spans="1:9" ht="56.25" x14ac:dyDescent="0.25">
      <c r="A134" s="162" t="s">
        <v>1738</v>
      </c>
      <c r="B134" s="153" t="s">
        <v>1712</v>
      </c>
      <c r="C134" s="116"/>
      <c r="D134" s="110">
        <f>IF(C134&gt;0,25,0)</f>
        <v>0</v>
      </c>
      <c r="E134" s="116">
        <f t="shared" ref="E134:E140" si="7">IF(D134&lt;&gt;0,ROUND(C134*D134/100,0),0)</f>
        <v>0</v>
      </c>
      <c r="F134" s="116"/>
      <c r="G134" s="116">
        <f t="shared" ref="G134:G140" si="8">ROUND(E134-F134,0)</f>
        <v>0</v>
      </c>
      <c r="H134" s="116"/>
      <c r="I134" s="69"/>
    </row>
    <row r="135" spans="1:9" ht="56.25" x14ac:dyDescent="0.25">
      <c r="A135" s="162" t="s">
        <v>1740</v>
      </c>
      <c r="B135" s="153" t="s">
        <v>1714</v>
      </c>
      <c r="C135" s="116"/>
      <c r="D135" s="110">
        <f>IF(C135&gt;0,26.5,0)</f>
        <v>0</v>
      </c>
      <c r="E135" s="116">
        <f t="shared" si="7"/>
        <v>0</v>
      </c>
      <c r="F135" s="116"/>
      <c r="G135" s="116">
        <f t="shared" si="8"/>
        <v>0</v>
      </c>
      <c r="H135" s="116"/>
      <c r="I135" s="69"/>
    </row>
    <row r="136" spans="1:9" ht="56.25" x14ac:dyDescent="0.25">
      <c r="A136" s="162" t="s">
        <v>1742</v>
      </c>
      <c r="B136" s="153" t="s">
        <v>1716</v>
      </c>
      <c r="C136" s="116"/>
      <c r="D136" s="110">
        <f>IF(C136&gt;0,30,0)</f>
        <v>0</v>
      </c>
      <c r="E136" s="116">
        <f t="shared" si="7"/>
        <v>0</v>
      </c>
      <c r="F136" s="116"/>
      <c r="G136" s="116">
        <f t="shared" si="8"/>
        <v>0</v>
      </c>
      <c r="H136" s="116"/>
      <c r="I136" s="69"/>
    </row>
    <row r="137" spans="1:9" ht="56.25" x14ac:dyDescent="0.25">
      <c r="A137" s="162" t="s">
        <v>1744</v>
      </c>
      <c r="B137" s="153" t="s">
        <v>1718</v>
      </c>
      <c r="C137" s="116"/>
      <c r="D137" s="110">
        <f>IF(C137&gt;0,30.4,0)</f>
        <v>0</v>
      </c>
      <c r="E137" s="116">
        <f t="shared" si="7"/>
        <v>0</v>
      </c>
      <c r="F137" s="116"/>
      <c r="G137" s="116">
        <f t="shared" si="8"/>
        <v>0</v>
      </c>
      <c r="H137" s="116"/>
      <c r="I137" s="69"/>
    </row>
    <row r="138" spans="1:9" ht="56.25" x14ac:dyDescent="0.25">
      <c r="A138" s="162" t="s">
        <v>1746</v>
      </c>
      <c r="B138" s="153" t="s">
        <v>1720</v>
      </c>
      <c r="C138" s="116"/>
      <c r="D138" s="110">
        <f>IF(C138&gt;0,53,0)</f>
        <v>0</v>
      </c>
      <c r="E138" s="116">
        <f t="shared" si="7"/>
        <v>0</v>
      </c>
      <c r="F138" s="116"/>
      <c r="G138" s="116">
        <f t="shared" si="8"/>
        <v>0</v>
      </c>
      <c r="H138" s="116"/>
      <c r="I138" s="69"/>
    </row>
    <row r="139" spans="1:9" ht="33.75" x14ac:dyDescent="0.25">
      <c r="A139" s="162" t="s">
        <v>1748</v>
      </c>
      <c r="B139" s="153" t="s">
        <v>1722</v>
      </c>
      <c r="C139" s="116"/>
      <c r="D139" s="110">
        <f>IF(C139&gt;0,160,0)</f>
        <v>0</v>
      </c>
      <c r="E139" s="116">
        <f t="shared" si="7"/>
        <v>0</v>
      </c>
      <c r="F139" s="116"/>
      <c r="G139" s="116">
        <f t="shared" si="8"/>
        <v>0</v>
      </c>
      <c r="H139" s="116"/>
      <c r="I139" s="69"/>
    </row>
    <row r="140" spans="1:9" ht="45" x14ac:dyDescent="0.25">
      <c r="A140" s="162" t="s">
        <v>1750</v>
      </c>
      <c r="B140" s="153" t="s">
        <v>1724</v>
      </c>
      <c r="C140" s="116"/>
      <c r="D140" s="110">
        <f>IF(C140&gt;0,160,0)</f>
        <v>0</v>
      </c>
      <c r="E140" s="116">
        <f t="shared" si="7"/>
        <v>0</v>
      </c>
      <c r="F140" s="116"/>
      <c r="G140" s="116">
        <f t="shared" si="8"/>
        <v>0</v>
      </c>
      <c r="H140" s="116"/>
      <c r="I140" s="69"/>
    </row>
    <row r="141" spans="1:9" ht="22.5" x14ac:dyDescent="0.25">
      <c r="A141" s="162" t="s">
        <v>1752</v>
      </c>
      <c r="B141" s="153" t="s">
        <v>1726</v>
      </c>
      <c r="C141" s="52"/>
      <c r="D141" s="64"/>
      <c r="E141" s="52"/>
      <c r="F141" s="52"/>
      <c r="G141" s="52"/>
      <c r="H141" s="52"/>
      <c r="I141" s="69"/>
    </row>
    <row r="142" spans="1:9" x14ac:dyDescent="0.25">
      <c r="A142" s="162"/>
      <c r="B142" s="153"/>
      <c r="C142" s="18"/>
      <c r="D142" s="18"/>
      <c r="E142" s="18"/>
      <c r="F142" s="18"/>
      <c r="G142" s="18"/>
      <c r="H142" s="18"/>
      <c r="I142" s="69"/>
    </row>
    <row r="143" spans="1:9" ht="22.5" x14ac:dyDescent="0.25">
      <c r="A143" s="162" t="s">
        <v>1754</v>
      </c>
      <c r="B143" s="153" t="s">
        <v>1728</v>
      </c>
      <c r="C143" s="116">
        <f>ROUND(SUM(C134:C141),0)</f>
        <v>0</v>
      </c>
      <c r="D143" s="109"/>
      <c r="E143" s="116"/>
      <c r="F143" s="116"/>
      <c r="G143" s="116"/>
      <c r="H143" s="116"/>
      <c r="I143" s="69"/>
    </row>
    <row r="144" spans="1:9" x14ac:dyDescent="0.25">
      <c r="A144" s="162"/>
      <c r="B144" s="153"/>
      <c r="C144" s="18"/>
      <c r="D144" s="18"/>
      <c r="E144" s="18"/>
      <c r="F144" s="18"/>
      <c r="G144" s="18"/>
      <c r="H144" s="18"/>
      <c r="I144" s="69"/>
    </row>
    <row r="145" spans="1:9" ht="22.5" x14ac:dyDescent="0.25">
      <c r="A145" s="162" t="s">
        <v>1755</v>
      </c>
      <c r="B145" s="153" t="s">
        <v>5717</v>
      </c>
      <c r="C145" s="116"/>
      <c r="D145" s="109"/>
      <c r="E145" s="116"/>
      <c r="F145" s="116"/>
      <c r="G145" s="116">
        <f>ROUND(E145-F145,0)</f>
        <v>0</v>
      </c>
      <c r="H145" s="116"/>
      <c r="I145" s="69"/>
    </row>
    <row r="146" spans="1:9" x14ac:dyDescent="0.25">
      <c r="A146" s="162"/>
      <c r="B146" s="153"/>
      <c r="C146" s="18"/>
      <c r="D146" s="18"/>
      <c r="E146" s="18"/>
      <c r="F146" s="18"/>
      <c r="G146" s="18"/>
      <c r="H146" s="18"/>
      <c r="I146" s="69"/>
    </row>
    <row r="147" spans="1:9" ht="33.75" x14ac:dyDescent="0.25">
      <c r="A147" s="162" t="s">
        <v>1756</v>
      </c>
      <c r="B147" s="153" t="s">
        <v>5470</v>
      </c>
      <c r="C147" s="116"/>
      <c r="D147" s="110">
        <f>IF(C147&gt;0,9,0)</f>
        <v>0</v>
      </c>
      <c r="E147" s="116">
        <f>IF(D147&lt;&gt;0,ROUND(C147*D147/100,0),0)</f>
        <v>0</v>
      </c>
      <c r="F147" s="116"/>
      <c r="G147" s="116">
        <f>ROUND(E147-F147,0)</f>
        <v>0</v>
      </c>
      <c r="H147" s="116"/>
      <c r="I147" s="69"/>
    </row>
    <row r="148" spans="1:9" ht="33.75" x14ac:dyDescent="0.25">
      <c r="A148" s="162" t="s">
        <v>1757</v>
      </c>
      <c r="B148" s="153" t="s">
        <v>1732</v>
      </c>
      <c r="C148" s="116"/>
      <c r="D148" s="110">
        <f>IF(C148&gt;0,7,0)</f>
        <v>0</v>
      </c>
      <c r="E148" s="116">
        <f>IF(D148&lt;&gt;0,ROUND(C148*D148/100,0),0)</f>
        <v>0</v>
      </c>
      <c r="F148" s="116"/>
      <c r="G148" s="116">
        <f>ROUND(E148-F148,0)</f>
        <v>0</v>
      </c>
      <c r="H148" s="116"/>
      <c r="I148" s="69"/>
    </row>
    <row r="149" spans="1:9" ht="33.75" x14ac:dyDescent="0.25">
      <c r="A149" s="162" t="s">
        <v>1758</v>
      </c>
      <c r="B149" s="153" t="s">
        <v>1734</v>
      </c>
      <c r="C149" s="116"/>
      <c r="D149" s="110">
        <f>IF(C149&gt;0,6,0)</f>
        <v>0</v>
      </c>
      <c r="E149" s="116">
        <f>IF(D149&lt;&gt;0,ROUND(C149*D149/100,0),0)</f>
        <v>0</v>
      </c>
      <c r="F149" s="116"/>
      <c r="G149" s="116">
        <f>ROUND(E149-F149,0)</f>
        <v>0</v>
      </c>
      <c r="H149" s="116"/>
      <c r="I149" s="69"/>
    </row>
    <row r="150" spans="1:9" ht="22.5" x14ac:dyDescent="0.25">
      <c r="A150" s="162" t="s">
        <v>1759</v>
      </c>
      <c r="B150" s="153" t="s">
        <v>1680</v>
      </c>
      <c r="C150" s="116"/>
      <c r="D150" s="109"/>
      <c r="E150" s="116"/>
      <c r="F150" s="116"/>
      <c r="G150" s="116">
        <f>ROUND(E150-F150,0)</f>
        <v>0</v>
      </c>
      <c r="H150" s="116"/>
      <c r="I150" s="69"/>
    </row>
    <row r="151" spans="1:9" x14ac:dyDescent="0.25">
      <c r="A151" s="162"/>
      <c r="B151" s="153"/>
      <c r="C151" s="18"/>
      <c r="D151" s="18"/>
      <c r="E151" s="18"/>
      <c r="F151" s="18"/>
      <c r="G151" s="18"/>
      <c r="H151" s="18"/>
      <c r="I151" s="69"/>
    </row>
    <row r="152" spans="1:9" ht="45" x14ac:dyDescent="0.25">
      <c r="A152" s="162" t="s">
        <v>1760</v>
      </c>
      <c r="B152" s="153" t="s">
        <v>1737</v>
      </c>
      <c r="C152" s="116"/>
      <c r="D152" s="110">
        <f t="shared" ref="D152:D160" si="9">IF(C152&gt;0,8,0)</f>
        <v>0</v>
      </c>
      <c r="E152" s="116">
        <f t="shared" ref="E152:E160" si="10">IF(D152&lt;&gt;0,ROUND(C152*D152/100,0),0)</f>
        <v>0</v>
      </c>
      <c r="F152" s="116"/>
      <c r="G152" s="116">
        <f t="shared" ref="G152:G160" si="11">ROUND(E152-F152,0)</f>
        <v>0</v>
      </c>
      <c r="H152" s="116"/>
      <c r="I152" s="69"/>
    </row>
    <row r="153" spans="1:9" ht="45" x14ac:dyDescent="0.25">
      <c r="A153" s="162" t="s">
        <v>1761</v>
      </c>
      <c r="B153" s="153" t="s">
        <v>1739</v>
      </c>
      <c r="C153" s="116"/>
      <c r="D153" s="110">
        <f t="shared" si="9"/>
        <v>0</v>
      </c>
      <c r="E153" s="116">
        <f t="shared" si="10"/>
        <v>0</v>
      </c>
      <c r="F153" s="116"/>
      <c r="G153" s="116">
        <f t="shared" si="11"/>
        <v>0</v>
      </c>
      <c r="H153" s="116"/>
      <c r="I153" s="69"/>
    </row>
    <row r="154" spans="1:9" ht="56.25" x14ac:dyDescent="0.25">
      <c r="A154" s="162" t="s">
        <v>1762</v>
      </c>
      <c r="B154" s="153" t="s">
        <v>1741</v>
      </c>
      <c r="C154" s="116"/>
      <c r="D154" s="110">
        <f t="shared" si="9"/>
        <v>0</v>
      </c>
      <c r="E154" s="116">
        <f t="shared" si="10"/>
        <v>0</v>
      </c>
      <c r="F154" s="116"/>
      <c r="G154" s="116">
        <f t="shared" si="11"/>
        <v>0</v>
      </c>
      <c r="H154" s="116"/>
      <c r="I154" s="69"/>
    </row>
    <row r="155" spans="1:9" ht="45" x14ac:dyDescent="0.25">
      <c r="A155" s="162" t="s">
        <v>1763</v>
      </c>
      <c r="B155" s="153" t="s">
        <v>1743</v>
      </c>
      <c r="C155" s="116"/>
      <c r="D155" s="110">
        <f t="shared" si="9"/>
        <v>0</v>
      </c>
      <c r="E155" s="116">
        <f t="shared" si="10"/>
        <v>0</v>
      </c>
      <c r="F155" s="116"/>
      <c r="G155" s="116">
        <f t="shared" si="11"/>
        <v>0</v>
      </c>
      <c r="H155" s="116"/>
      <c r="I155" s="69"/>
    </row>
    <row r="156" spans="1:9" ht="45" x14ac:dyDescent="0.25">
      <c r="A156" s="162" t="s">
        <v>1764</v>
      </c>
      <c r="B156" s="153" t="s">
        <v>1745</v>
      </c>
      <c r="C156" s="116"/>
      <c r="D156" s="110">
        <f t="shared" si="9"/>
        <v>0</v>
      </c>
      <c r="E156" s="116">
        <f t="shared" si="10"/>
        <v>0</v>
      </c>
      <c r="F156" s="116"/>
      <c r="G156" s="116">
        <f t="shared" si="11"/>
        <v>0</v>
      </c>
      <c r="H156" s="116"/>
      <c r="I156" s="69"/>
    </row>
    <row r="157" spans="1:9" ht="45" x14ac:dyDescent="0.25">
      <c r="A157" s="162" t="s">
        <v>1765</v>
      </c>
      <c r="B157" s="153" t="s">
        <v>1747</v>
      </c>
      <c r="C157" s="116"/>
      <c r="D157" s="110">
        <f t="shared" si="9"/>
        <v>0</v>
      </c>
      <c r="E157" s="116">
        <f t="shared" si="10"/>
        <v>0</v>
      </c>
      <c r="F157" s="116"/>
      <c r="G157" s="116">
        <f t="shared" si="11"/>
        <v>0</v>
      </c>
      <c r="H157" s="116"/>
      <c r="I157" s="69"/>
    </row>
    <row r="158" spans="1:9" ht="45" x14ac:dyDescent="0.25">
      <c r="A158" s="162" t="s">
        <v>1766</v>
      </c>
      <c r="B158" s="153" t="s">
        <v>1749</v>
      </c>
      <c r="C158" s="116"/>
      <c r="D158" s="110">
        <f t="shared" si="9"/>
        <v>0</v>
      </c>
      <c r="E158" s="116">
        <f t="shared" si="10"/>
        <v>0</v>
      </c>
      <c r="F158" s="116"/>
      <c r="G158" s="116">
        <f t="shared" si="11"/>
        <v>0</v>
      </c>
      <c r="H158" s="116"/>
      <c r="I158" s="69"/>
    </row>
    <row r="159" spans="1:9" ht="45" x14ac:dyDescent="0.25">
      <c r="A159" s="162" t="s">
        <v>1767</v>
      </c>
      <c r="B159" s="153" t="s">
        <v>1751</v>
      </c>
      <c r="C159" s="116"/>
      <c r="D159" s="110">
        <f t="shared" si="9"/>
        <v>0</v>
      </c>
      <c r="E159" s="116">
        <f t="shared" si="10"/>
        <v>0</v>
      </c>
      <c r="F159" s="116"/>
      <c r="G159" s="116">
        <f t="shared" si="11"/>
        <v>0</v>
      </c>
      <c r="H159" s="116"/>
      <c r="I159" s="69"/>
    </row>
    <row r="160" spans="1:9" ht="45" x14ac:dyDescent="0.25">
      <c r="A160" s="162" t="s">
        <v>1768</v>
      </c>
      <c r="B160" s="153" t="s">
        <v>1753</v>
      </c>
      <c r="C160" s="116"/>
      <c r="D160" s="110">
        <f t="shared" si="9"/>
        <v>0</v>
      </c>
      <c r="E160" s="116">
        <f t="shared" si="10"/>
        <v>0</v>
      </c>
      <c r="F160" s="116"/>
      <c r="G160" s="116">
        <f t="shared" si="11"/>
        <v>0</v>
      </c>
      <c r="H160" s="116"/>
      <c r="I160" s="69"/>
    </row>
    <row r="161" spans="1:9" x14ac:dyDescent="0.25">
      <c r="A161" s="163"/>
      <c r="B161" s="160"/>
      <c r="C161" s="18"/>
      <c r="D161" s="18"/>
      <c r="E161" s="18"/>
      <c r="F161" s="18"/>
      <c r="G161" s="18"/>
      <c r="H161" s="18"/>
      <c r="I161" s="69"/>
    </row>
    <row r="162" spans="1:9" ht="22.5" x14ac:dyDescent="0.25">
      <c r="A162" s="162" t="s">
        <v>1770</v>
      </c>
      <c r="B162" s="153" t="s">
        <v>5718</v>
      </c>
      <c r="C162" s="116"/>
      <c r="D162" s="110">
        <f>IF(C162&gt;0,5.91,0)</f>
        <v>0</v>
      </c>
      <c r="E162" s="116"/>
      <c r="F162" s="116"/>
      <c r="G162" s="116">
        <f t="shared" ref="G162:G170" si="12">ROUND(E162-F162,0)</f>
        <v>0</v>
      </c>
      <c r="H162" s="116"/>
      <c r="I162" s="69"/>
    </row>
    <row r="163" spans="1:9" ht="22.5" x14ac:dyDescent="0.25">
      <c r="A163" s="162" t="s">
        <v>1772</v>
      </c>
      <c r="B163" s="153" t="s">
        <v>5719</v>
      </c>
      <c r="C163" s="116"/>
      <c r="D163" s="110">
        <f>IF(C163&gt;0,7.66,0)</f>
        <v>0</v>
      </c>
      <c r="E163" s="116"/>
      <c r="F163" s="116"/>
      <c r="G163" s="116">
        <f t="shared" si="12"/>
        <v>0</v>
      </c>
      <c r="H163" s="116"/>
      <c r="I163" s="69"/>
    </row>
    <row r="164" spans="1:9" ht="33.75" x14ac:dyDescent="0.25">
      <c r="A164" s="162" t="s">
        <v>1774</v>
      </c>
      <c r="B164" s="153" t="s">
        <v>5720</v>
      </c>
      <c r="C164" s="116"/>
      <c r="D164" s="110">
        <f>IF(C164&gt;0,10.38,0)</f>
        <v>0</v>
      </c>
      <c r="E164" s="116"/>
      <c r="F164" s="116"/>
      <c r="G164" s="116">
        <f t="shared" si="12"/>
        <v>0</v>
      </c>
      <c r="H164" s="116"/>
      <c r="I164" s="69"/>
    </row>
    <row r="165" spans="1:9" ht="33.75" x14ac:dyDescent="0.25">
      <c r="A165" s="162" t="s">
        <v>1776</v>
      </c>
      <c r="B165" s="153" t="s">
        <v>5721</v>
      </c>
      <c r="C165" s="116"/>
      <c r="D165" s="110">
        <f>IF(C165&gt;0,12.4,0)</f>
        <v>0</v>
      </c>
      <c r="E165" s="116"/>
      <c r="F165" s="116"/>
      <c r="G165" s="116">
        <f t="shared" si="12"/>
        <v>0</v>
      </c>
      <c r="H165" s="116"/>
      <c r="I165" s="69"/>
    </row>
    <row r="166" spans="1:9" ht="22.5" x14ac:dyDescent="0.25">
      <c r="A166" s="162" t="s">
        <v>1778</v>
      </c>
      <c r="B166" s="153" t="s">
        <v>5722</v>
      </c>
      <c r="C166" s="116"/>
      <c r="D166" s="110">
        <f>IF(C166&gt;0,12.59,0)</f>
        <v>0</v>
      </c>
      <c r="E166" s="116"/>
      <c r="F166" s="116"/>
      <c r="G166" s="116">
        <f t="shared" si="12"/>
        <v>0</v>
      </c>
      <c r="H166" s="116"/>
      <c r="I166" s="69"/>
    </row>
    <row r="167" spans="1:9" ht="33.75" x14ac:dyDescent="0.25">
      <c r="A167" s="162" t="s">
        <v>1780</v>
      </c>
      <c r="B167" s="153" t="s">
        <v>5723</v>
      </c>
      <c r="C167" s="116"/>
      <c r="D167" s="110">
        <f>IF(C167&gt;0,13.45,0)</f>
        <v>0</v>
      </c>
      <c r="E167" s="116"/>
      <c r="F167" s="116"/>
      <c r="G167" s="116">
        <f t="shared" si="12"/>
        <v>0</v>
      </c>
      <c r="H167" s="116"/>
      <c r="I167" s="69"/>
    </row>
    <row r="168" spans="1:9" ht="33.75" x14ac:dyDescent="0.25">
      <c r="A168" s="162" t="s">
        <v>1782</v>
      </c>
      <c r="B168" s="153" t="s">
        <v>5724</v>
      </c>
      <c r="C168" s="116"/>
      <c r="D168" s="110">
        <f>IF(C168&gt;0,15.6,0)</f>
        <v>0</v>
      </c>
      <c r="E168" s="116"/>
      <c r="F168" s="116"/>
      <c r="G168" s="116">
        <f t="shared" si="12"/>
        <v>0</v>
      </c>
      <c r="H168" s="116"/>
      <c r="I168" s="69"/>
    </row>
    <row r="169" spans="1:9" ht="33.75" x14ac:dyDescent="0.25">
      <c r="A169" s="162" t="s">
        <v>1784</v>
      </c>
      <c r="B169" s="153" t="s">
        <v>5725</v>
      </c>
      <c r="C169" s="116"/>
      <c r="D169" s="110">
        <f>IF(C169&gt;0,36.57,0)</f>
        <v>0</v>
      </c>
      <c r="E169" s="116"/>
      <c r="F169" s="116"/>
      <c r="G169" s="116">
        <f t="shared" si="12"/>
        <v>0</v>
      </c>
      <c r="H169" s="116"/>
      <c r="I169" s="69"/>
    </row>
    <row r="170" spans="1:9" ht="33.75" x14ac:dyDescent="0.25">
      <c r="A170" s="162" t="s">
        <v>1787</v>
      </c>
      <c r="B170" s="153" t="s">
        <v>5726</v>
      </c>
      <c r="C170" s="116"/>
      <c r="D170" s="110">
        <f>IF(C170&gt;0,27.54,0)</f>
        <v>0</v>
      </c>
      <c r="E170" s="116"/>
      <c r="F170" s="116"/>
      <c r="G170" s="116">
        <f t="shared" si="12"/>
        <v>0</v>
      </c>
      <c r="H170" s="116"/>
      <c r="I170" s="69"/>
    </row>
    <row r="171" spans="1:9" ht="33.75" x14ac:dyDescent="0.25">
      <c r="A171" s="162" t="s">
        <v>1789</v>
      </c>
      <c r="B171" s="153" t="s">
        <v>5727</v>
      </c>
      <c r="C171" s="52"/>
      <c r="D171" s="64"/>
      <c r="E171" s="52"/>
      <c r="F171" s="52"/>
      <c r="G171" s="52"/>
      <c r="H171" s="52"/>
      <c r="I171" s="69"/>
    </row>
    <row r="172" spans="1:9" x14ac:dyDescent="0.25">
      <c r="A172" s="162"/>
      <c r="B172" s="153"/>
      <c r="C172" s="18"/>
      <c r="D172" s="18"/>
      <c r="E172" s="18"/>
      <c r="F172" s="18"/>
      <c r="G172" s="18"/>
      <c r="H172" s="18"/>
      <c r="I172" s="69"/>
    </row>
    <row r="173" spans="1:9" ht="22.5" x14ac:dyDescent="0.25">
      <c r="A173" s="162" t="s">
        <v>1791</v>
      </c>
      <c r="B173" s="153" t="s">
        <v>5728</v>
      </c>
      <c r="C173" s="116"/>
      <c r="D173" s="110">
        <f>IF(C173&gt;0,0.35,0)</f>
        <v>0</v>
      </c>
      <c r="E173" s="116"/>
      <c r="F173" s="116"/>
      <c r="G173" s="116">
        <f>ROUND(E173-F173,0)</f>
        <v>0</v>
      </c>
      <c r="H173" s="116"/>
      <c r="I173" s="69"/>
    </row>
    <row r="174" spans="1:9" ht="22.5" x14ac:dyDescent="0.25">
      <c r="A174" s="162" t="s">
        <v>1794</v>
      </c>
      <c r="B174" s="153" t="s">
        <v>5729</v>
      </c>
      <c r="C174" s="116"/>
      <c r="D174" s="110">
        <f>IF(C174&gt;0,0.35,0)</f>
        <v>0</v>
      </c>
      <c r="E174" s="116"/>
      <c r="F174" s="116"/>
      <c r="G174" s="116">
        <f>ROUND(E174-F174,0)</f>
        <v>0</v>
      </c>
      <c r="H174" s="116"/>
      <c r="I174" s="69"/>
    </row>
    <row r="175" spans="1:9" ht="45" x14ac:dyDescent="0.25">
      <c r="A175" s="162" t="s">
        <v>1796</v>
      </c>
      <c r="B175" s="153" t="s">
        <v>5471</v>
      </c>
      <c r="C175" s="116"/>
      <c r="D175" s="110">
        <f>IF(C175&gt;0,0.35,0)</f>
        <v>0</v>
      </c>
      <c r="E175" s="116"/>
      <c r="F175" s="116"/>
      <c r="G175" s="116">
        <f>ROUND(E175-F175,0)</f>
        <v>0</v>
      </c>
      <c r="H175" s="116"/>
      <c r="I175" s="69"/>
    </row>
    <row r="176" spans="1:9" ht="45" x14ac:dyDescent="0.25">
      <c r="A176" s="162" t="s">
        <v>1797</v>
      </c>
      <c r="B176" s="153" t="s">
        <v>5472</v>
      </c>
      <c r="C176" s="116"/>
      <c r="D176" s="110">
        <f>IF(C176&gt;0,0.35,0)</f>
        <v>0</v>
      </c>
      <c r="E176" s="116"/>
      <c r="F176" s="116"/>
      <c r="G176" s="116">
        <f>ROUND(E176-F176,0)</f>
        <v>0</v>
      </c>
      <c r="H176" s="116"/>
      <c r="I176" s="69"/>
    </row>
    <row r="177" spans="1:9" ht="22.5" x14ac:dyDescent="0.25">
      <c r="A177" s="162" t="s">
        <v>1800</v>
      </c>
      <c r="B177" s="153" t="s">
        <v>1769</v>
      </c>
      <c r="C177" s="116"/>
      <c r="D177" s="109"/>
      <c r="E177" s="116">
        <f t="shared" ref="E177:G178" si="13">ROUND(E173+E175,0)</f>
        <v>0</v>
      </c>
      <c r="F177" s="116">
        <f t="shared" si="13"/>
        <v>0</v>
      </c>
      <c r="G177" s="116">
        <f t="shared" si="13"/>
        <v>0</v>
      </c>
      <c r="H177" s="116"/>
      <c r="I177" s="69"/>
    </row>
    <row r="178" spans="1:9" ht="22.5" x14ac:dyDescent="0.25">
      <c r="A178" s="162" t="s">
        <v>1802</v>
      </c>
      <c r="B178" s="153" t="s">
        <v>1771</v>
      </c>
      <c r="C178" s="116"/>
      <c r="D178" s="109"/>
      <c r="E178" s="116">
        <f t="shared" si="13"/>
        <v>0</v>
      </c>
      <c r="F178" s="116">
        <f t="shared" si="13"/>
        <v>0</v>
      </c>
      <c r="G178" s="116">
        <f t="shared" si="13"/>
        <v>0</v>
      </c>
      <c r="H178" s="116"/>
      <c r="I178" s="69"/>
    </row>
    <row r="179" spans="1:9" x14ac:dyDescent="0.25">
      <c r="A179" s="162"/>
      <c r="B179" s="153"/>
      <c r="C179" s="18"/>
      <c r="D179" s="18"/>
      <c r="E179" s="18"/>
      <c r="F179" s="18"/>
      <c r="G179" s="18"/>
      <c r="H179" s="18"/>
      <c r="I179" s="69"/>
    </row>
    <row r="180" spans="1:9" ht="67.5" x14ac:dyDescent="0.25">
      <c r="A180" s="162" t="s">
        <v>1804</v>
      </c>
      <c r="B180" s="153" t="s">
        <v>1773</v>
      </c>
      <c r="C180" s="116"/>
      <c r="D180" s="109"/>
      <c r="E180" s="116"/>
      <c r="F180" s="116"/>
      <c r="G180" s="116">
        <f>ROUND(E180-F180,0)</f>
        <v>0</v>
      </c>
      <c r="H180" s="116"/>
      <c r="I180" s="69"/>
    </row>
    <row r="181" spans="1:9" ht="67.5" x14ac:dyDescent="0.25">
      <c r="A181" s="162" t="s">
        <v>1806</v>
      </c>
      <c r="B181" s="153" t="s">
        <v>1775</v>
      </c>
      <c r="C181" s="116"/>
      <c r="D181" s="109"/>
      <c r="E181" s="116"/>
      <c r="F181" s="116"/>
      <c r="G181" s="116">
        <f>ROUND(E181-F181,0)</f>
        <v>0</v>
      </c>
      <c r="H181" s="116"/>
      <c r="I181" s="69"/>
    </row>
    <row r="182" spans="1:9" x14ac:dyDescent="0.25">
      <c r="A182" s="162"/>
      <c r="B182" s="153"/>
      <c r="C182" s="18"/>
      <c r="D182" s="18"/>
      <c r="E182" s="18"/>
      <c r="F182" s="18"/>
      <c r="G182" s="18"/>
      <c r="H182" s="18"/>
      <c r="I182" s="69"/>
    </row>
    <row r="183" spans="1:9" ht="22.5" x14ac:dyDescent="0.25">
      <c r="A183" s="162" t="s">
        <v>1808</v>
      </c>
      <c r="B183" s="153" t="s">
        <v>1777</v>
      </c>
      <c r="C183" s="116"/>
      <c r="D183" s="109"/>
      <c r="E183" s="116"/>
      <c r="F183" s="116"/>
      <c r="G183" s="116">
        <f>ROUND(E183-F183,0)</f>
        <v>0</v>
      </c>
      <c r="H183" s="116"/>
      <c r="I183" s="69"/>
    </row>
    <row r="184" spans="1:9" x14ac:dyDescent="0.25">
      <c r="A184" s="162"/>
      <c r="B184" s="153"/>
      <c r="C184" s="18"/>
      <c r="D184" s="18"/>
      <c r="E184" s="18"/>
      <c r="F184" s="18"/>
      <c r="G184" s="18"/>
      <c r="H184" s="18"/>
      <c r="I184" s="69"/>
    </row>
    <row r="185" spans="1:9" ht="22.5" x14ac:dyDescent="0.25">
      <c r="A185" s="162" t="s">
        <v>1812</v>
      </c>
      <c r="B185" s="153" t="s">
        <v>1779</v>
      </c>
      <c r="C185" s="116"/>
      <c r="D185" s="109"/>
      <c r="E185" s="116"/>
      <c r="F185" s="116"/>
      <c r="G185" s="116">
        <f>ROUND(E185-F185,0)</f>
        <v>0</v>
      </c>
      <c r="H185" s="116"/>
      <c r="I185" s="69"/>
    </row>
    <row r="186" spans="1:9" ht="33.75" x14ac:dyDescent="0.25">
      <c r="A186" s="162" t="s">
        <v>1814</v>
      </c>
      <c r="B186" s="153" t="s">
        <v>1781</v>
      </c>
      <c r="C186" s="116"/>
      <c r="D186" s="109"/>
      <c r="E186" s="116"/>
      <c r="F186" s="116"/>
      <c r="G186" s="116">
        <f>ROUND(E186-F186,0)</f>
        <v>0</v>
      </c>
      <c r="H186" s="116"/>
      <c r="I186" s="69"/>
    </row>
    <row r="187" spans="1:9" ht="22.5" x14ac:dyDescent="0.25">
      <c r="A187" s="162" t="s">
        <v>1815</v>
      </c>
      <c r="B187" s="153" t="s">
        <v>1783</v>
      </c>
      <c r="C187" s="116"/>
      <c r="D187" s="109"/>
      <c r="E187" s="116"/>
      <c r="F187" s="116"/>
      <c r="G187" s="116">
        <f>ROUND(E187-F187,0)</f>
        <v>0</v>
      </c>
      <c r="H187" s="116"/>
      <c r="I187" s="69"/>
    </row>
    <row r="188" spans="1:9" ht="22.5" x14ac:dyDescent="0.25">
      <c r="A188" s="162" t="s">
        <v>1817</v>
      </c>
      <c r="B188" s="153" t="s">
        <v>1785</v>
      </c>
      <c r="C188" s="116"/>
      <c r="D188" s="109"/>
      <c r="E188" s="116"/>
      <c r="F188" s="116"/>
      <c r="G188" s="116">
        <f>ROUND(E188-F188,0)</f>
        <v>0</v>
      </c>
      <c r="H188" s="116"/>
      <c r="I188" s="69"/>
    </row>
    <row r="189" spans="1:9" x14ac:dyDescent="0.25">
      <c r="A189" s="162"/>
      <c r="B189" s="153"/>
      <c r="C189" s="18"/>
      <c r="D189" s="18"/>
      <c r="E189" s="18"/>
      <c r="F189" s="18"/>
      <c r="G189" s="18"/>
      <c r="H189" s="18"/>
      <c r="I189" s="69"/>
    </row>
    <row r="190" spans="1:9" ht="33.75" x14ac:dyDescent="0.25">
      <c r="A190" s="162" t="s">
        <v>1819</v>
      </c>
      <c r="B190" s="153" t="s">
        <v>5473</v>
      </c>
      <c r="C190" s="185"/>
      <c r="D190" s="160"/>
      <c r="E190" s="185"/>
      <c r="F190" s="185"/>
      <c r="G190" s="185"/>
      <c r="H190" s="185"/>
      <c r="I190" s="149"/>
    </row>
    <row r="191" spans="1:9" ht="33.75" x14ac:dyDescent="0.25">
      <c r="A191" s="162" t="s">
        <v>1821</v>
      </c>
      <c r="B191" s="153" t="s">
        <v>5474</v>
      </c>
      <c r="C191" s="185"/>
      <c r="D191" s="160"/>
      <c r="E191" s="185"/>
      <c r="F191" s="185"/>
      <c r="G191" s="185"/>
      <c r="H191" s="185"/>
      <c r="I191" s="149"/>
    </row>
    <row r="192" spans="1:9" x14ac:dyDescent="0.25">
      <c r="A192" s="162"/>
      <c r="B192" s="153"/>
      <c r="C192" s="160"/>
      <c r="D192" s="160"/>
      <c r="E192" s="160"/>
      <c r="F192" s="160"/>
      <c r="G192" s="160"/>
      <c r="H192" s="160"/>
      <c r="I192" s="149"/>
    </row>
    <row r="193" spans="1:9" x14ac:dyDescent="0.25">
      <c r="A193" s="162"/>
      <c r="B193" s="179" t="s">
        <v>1786</v>
      </c>
      <c r="C193" s="18"/>
      <c r="D193" s="18"/>
      <c r="E193" s="18"/>
      <c r="F193" s="18"/>
      <c r="G193" s="18"/>
      <c r="H193" s="18"/>
      <c r="I193" s="69"/>
    </row>
    <row r="194" spans="1:9" x14ac:dyDescent="0.25">
      <c r="A194" s="162"/>
      <c r="B194" s="153"/>
      <c r="C194" s="18"/>
      <c r="D194" s="18"/>
      <c r="E194" s="18"/>
      <c r="F194" s="18"/>
      <c r="G194" s="18"/>
      <c r="H194" s="18"/>
      <c r="I194" s="69"/>
    </row>
    <row r="195" spans="1:9" x14ac:dyDescent="0.25">
      <c r="A195" s="162" t="s">
        <v>1823</v>
      </c>
      <c r="B195" s="153" t="s">
        <v>1788</v>
      </c>
      <c r="C195" s="116">
        <f>IF(D195=0,0,ROUND(E195/D195,0))</f>
        <v>0</v>
      </c>
      <c r="D195" s="109"/>
      <c r="E195" s="193">
        <f>'ANEXO 7'!AE93</f>
        <v>0</v>
      </c>
      <c r="F195" s="116"/>
      <c r="G195" s="116">
        <f>ROUND(E195-F195,0)</f>
        <v>0</v>
      </c>
      <c r="H195" s="116"/>
      <c r="I195" s="69"/>
    </row>
    <row r="196" spans="1:9" x14ac:dyDescent="0.25">
      <c r="A196" s="162" t="s">
        <v>1825</v>
      </c>
      <c r="B196" s="153" t="s">
        <v>1790</v>
      </c>
      <c r="C196" s="116">
        <f>IF(D196=0,0,ROUND(E196/D196,0))</f>
        <v>0</v>
      </c>
      <c r="D196" s="109"/>
      <c r="E196" s="193">
        <f>'ANEXO 7'!AE94</f>
        <v>0</v>
      </c>
      <c r="F196" s="116"/>
      <c r="G196" s="116">
        <f>ROUND(E196-F196,0)</f>
        <v>0</v>
      </c>
      <c r="H196" s="116"/>
      <c r="I196" s="69"/>
    </row>
    <row r="197" spans="1:9" x14ac:dyDescent="0.25">
      <c r="A197" s="162"/>
      <c r="B197" s="153"/>
      <c r="C197" s="18"/>
      <c r="D197" s="18"/>
      <c r="E197" s="18"/>
      <c r="F197" s="18"/>
      <c r="G197" s="18"/>
      <c r="H197" s="18"/>
      <c r="I197" s="69"/>
    </row>
    <row r="198" spans="1:9" x14ac:dyDescent="0.25">
      <c r="A198" s="162" t="s">
        <v>1827</v>
      </c>
      <c r="B198" s="153" t="s">
        <v>1792</v>
      </c>
      <c r="C198" s="116"/>
      <c r="D198" s="109"/>
      <c r="E198" s="116">
        <f>ROUND(SUM(E195:E196),0)</f>
        <v>0</v>
      </c>
      <c r="F198" s="116">
        <f>ROUND(SUM(F195:F196),0)</f>
        <v>0</v>
      </c>
      <c r="G198" s="116">
        <f>ROUND(E198-F198,0)</f>
        <v>0</v>
      </c>
      <c r="H198" s="116"/>
      <c r="I198" s="69"/>
    </row>
    <row r="199" spans="1:9" x14ac:dyDescent="0.25">
      <c r="A199" s="162"/>
      <c r="B199" s="153"/>
      <c r="C199" s="18"/>
      <c r="D199" s="18"/>
      <c r="E199" s="18"/>
      <c r="F199" s="18"/>
      <c r="G199" s="18"/>
      <c r="H199" s="18"/>
      <c r="I199" s="69"/>
    </row>
    <row r="200" spans="1:9" x14ac:dyDescent="0.25">
      <c r="A200" s="162"/>
      <c r="B200" s="179" t="s">
        <v>1793</v>
      </c>
      <c r="C200" s="18"/>
      <c r="D200" s="18"/>
      <c r="E200" s="18"/>
      <c r="F200" s="18"/>
      <c r="G200" s="18"/>
      <c r="H200" s="18"/>
      <c r="I200" s="69"/>
    </row>
    <row r="201" spans="1:9" x14ac:dyDescent="0.25">
      <c r="A201" s="162"/>
      <c r="B201" s="153"/>
      <c r="C201" s="18"/>
      <c r="D201" s="18"/>
      <c r="E201" s="18"/>
      <c r="F201" s="18"/>
      <c r="G201" s="18"/>
      <c r="H201" s="18"/>
      <c r="I201" s="69"/>
    </row>
    <row r="202" spans="1:9" x14ac:dyDescent="0.25">
      <c r="A202" s="162" t="s">
        <v>1828</v>
      </c>
      <c r="B202" s="153" t="s">
        <v>1795</v>
      </c>
      <c r="C202" s="116"/>
      <c r="D202" s="109"/>
      <c r="E202" s="193">
        <f>ROUND('ANEXO 7'!AE33,0)</f>
        <v>0</v>
      </c>
      <c r="F202" s="116">
        <f>E202</f>
        <v>0</v>
      </c>
      <c r="G202" s="116">
        <f>ROUND(E202-F202,0)</f>
        <v>0</v>
      </c>
      <c r="H202" s="116"/>
      <c r="I202" s="69"/>
    </row>
    <row r="203" spans="1:9" x14ac:dyDescent="0.25">
      <c r="A203" s="162" t="s">
        <v>1830</v>
      </c>
      <c r="B203" s="153" t="s">
        <v>792</v>
      </c>
      <c r="C203" s="116">
        <f>ROUND(E203/0.05,0)</f>
        <v>0</v>
      </c>
      <c r="D203" s="110">
        <f>IF(E203&gt;0,5,0)</f>
        <v>0</v>
      </c>
      <c r="E203" s="193">
        <f>ROUND('ANEXO 7'!AE34,0)</f>
        <v>0</v>
      </c>
      <c r="F203" s="116">
        <f>E203</f>
        <v>0</v>
      </c>
      <c r="G203" s="116">
        <f>ROUND(E203-F203,0)</f>
        <v>0</v>
      </c>
      <c r="H203" s="116"/>
      <c r="I203" s="69"/>
    </row>
    <row r="204" spans="1:9" x14ac:dyDescent="0.25">
      <c r="A204" s="162" t="s">
        <v>1831</v>
      </c>
      <c r="B204" s="153" t="s">
        <v>1798</v>
      </c>
      <c r="C204" s="116">
        <f>ROUND(E204/0.02,0)</f>
        <v>0</v>
      </c>
      <c r="D204" s="110">
        <f>IF(E204&gt;0,2,0)</f>
        <v>0</v>
      </c>
      <c r="E204" s="193">
        <f>ROUND('ANEXO 7'!AE36,0)</f>
        <v>0</v>
      </c>
      <c r="F204" s="116">
        <f>E204</f>
        <v>0</v>
      </c>
      <c r="G204" s="116">
        <f>ROUND(E204-F204,0)</f>
        <v>0</v>
      </c>
      <c r="H204" s="116"/>
      <c r="I204" s="69"/>
    </row>
    <row r="205" spans="1:9" x14ac:dyDescent="0.25">
      <c r="A205" s="162"/>
      <c r="B205" s="153"/>
      <c r="C205" s="18"/>
      <c r="D205" s="18"/>
      <c r="E205" s="18"/>
      <c r="F205" s="18"/>
      <c r="G205" s="18"/>
      <c r="H205" s="18"/>
      <c r="I205" s="69"/>
    </row>
    <row r="206" spans="1:9" x14ac:dyDescent="0.25">
      <c r="A206" s="162"/>
      <c r="B206" s="179" t="s">
        <v>1799</v>
      </c>
      <c r="C206" s="18"/>
      <c r="D206" s="18"/>
      <c r="E206" s="18"/>
      <c r="F206" s="18"/>
      <c r="G206" s="18"/>
      <c r="H206" s="18"/>
      <c r="I206" s="69"/>
    </row>
    <row r="207" spans="1:9" x14ac:dyDescent="0.25">
      <c r="A207" s="162"/>
      <c r="B207" s="153"/>
      <c r="C207" s="18"/>
      <c r="D207" s="18"/>
      <c r="E207" s="18"/>
      <c r="F207" s="18"/>
      <c r="G207" s="18"/>
      <c r="H207" s="18"/>
      <c r="I207" s="69"/>
    </row>
    <row r="208" spans="1:9" ht="56.25" x14ac:dyDescent="0.25">
      <c r="A208" s="162" t="s">
        <v>1834</v>
      </c>
      <c r="B208" s="153" t="s">
        <v>1801</v>
      </c>
      <c r="C208" s="116"/>
      <c r="D208" s="109"/>
      <c r="E208" s="116"/>
      <c r="F208" s="116"/>
      <c r="G208" s="116">
        <f>ROUND(E208-F208,0)</f>
        <v>0</v>
      </c>
      <c r="H208" s="116"/>
      <c r="I208" s="69"/>
    </row>
    <row r="209" spans="1:9" ht="33.75" x14ac:dyDescent="0.25">
      <c r="A209" s="162" t="s">
        <v>1836</v>
      </c>
      <c r="B209" s="153" t="s">
        <v>1803</v>
      </c>
      <c r="C209" s="116"/>
      <c r="D209" s="109"/>
      <c r="E209" s="116"/>
      <c r="F209" s="116"/>
      <c r="G209" s="116">
        <f>ROUND(E209-F209,0)</f>
        <v>0</v>
      </c>
      <c r="H209" s="116"/>
      <c r="I209" s="69"/>
    </row>
    <row r="210" spans="1:9" ht="22.5" x14ac:dyDescent="0.25">
      <c r="A210" s="162" t="s">
        <v>1838</v>
      </c>
      <c r="B210" s="153" t="s">
        <v>1805</v>
      </c>
      <c r="C210" s="116"/>
      <c r="D210" s="109"/>
      <c r="E210" s="116"/>
      <c r="F210" s="116"/>
      <c r="G210" s="116">
        <f>ROUND(E210-F210,0)</f>
        <v>0</v>
      </c>
      <c r="H210" s="116"/>
      <c r="I210" s="69"/>
    </row>
    <row r="211" spans="1:9" ht="22.5" x14ac:dyDescent="0.25">
      <c r="A211" s="162" t="s">
        <v>1840</v>
      </c>
      <c r="B211" s="153" t="s">
        <v>1807</v>
      </c>
      <c r="C211" s="116"/>
      <c r="D211" s="109"/>
      <c r="E211" s="116"/>
      <c r="F211" s="116"/>
      <c r="G211" s="116">
        <f>ROUND(E211-F211,0)</f>
        <v>0</v>
      </c>
      <c r="H211" s="116"/>
      <c r="I211" s="69"/>
    </row>
    <row r="212" spans="1:9" x14ac:dyDescent="0.25">
      <c r="A212" s="162" t="s">
        <v>1842</v>
      </c>
      <c r="B212" s="153" t="s">
        <v>1809</v>
      </c>
      <c r="C212" s="52"/>
      <c r="D212" s="64"/>
      <c r="E212" s="52"/>
      <c r="F212" s="52"/>
      <c r="G212" s="52"/>
      <c r="H212" s="52"/>
      <c r="I212" s="69"/>
    </row>
    <row r="213" spans="1:9" x14ac:dyDescent="0.25">
      <c r="A213" s="162"/>
      <c r="B213" s="153"/>
      <c r="C213" s="18"/>
      <c r="D213" s="18"/>
      <c r="E213" s="18"/>
      <c r="F213" s="18"/>
      <c r="G213" s="18"/>
      <c r="H213" s="18"/>
      <c r="I213" s="69"/>
    </row>
    <row r="214" spans="1:9" ht="22.5" x14ac:dyDescent="0.25">
      <c r="A214" s="162"/>
      <c r="B214" s="179" t="s">
        <v>1810</v>
      </c>
      <c r="C214" s="18"/>
      <c r="D214" s="18"/>
      <c r="E214" s="18"/>
      <c r="F214" s="18"/>
      <c r="G214" s="18"/>
      <c r="H214" s="18"/>
      <c r="I214" s="69"/>
    </row>
    <row r="215" spans="1:9" x14ac:dyDescent="0.25">
      <c r="A215" s="162"/>
      <c r="B215" s="153"/>
      <c r="C215" s="18"/>
      <c r="D215" s="18"/>
      <c r="E215" s="18"/>
      <c r="F215" s="18"/>
      <c r="G215" s="18"/>
      <c r="H215" s="18"/>
      <c r="I215" s="69"/>
    </row>
    <row r="216" spans="1:9" x14ac:dyDescent="0.25">
      <c r="A216" s="162"/>
      <c r="B216" s="179" t="s">
        <v>320</v>
      </c>
      <c r="C216" s="18"/>
      <c r="D216" s="18"/>
      <c r="E216" s="18"/>
      <c r="F216" s="18"/>
      <c r="G216" s="18"/>
      <c r="H216" s="18"/>
      <c r="I216" s="69"/>
    </row>
    <row r="217" spans="1:9" x14ac:dyDescent="0.25">
      <c r="A217" s="162"/>
      <c r="B217" s="153"/>
      <c r="C217" s="18"/>
      <c r="D217" s="18"/>
      <c r="E217" s="18"/>
      <c r="F217" s="18"/>
      <c r="G217" s="18"/>
      <c r="H217" s="18"/>
      <c r="I217" s="69"/>
    </row>
    <row r="218" spans="1:9" x14ac:dyDescent="0.25">
      <c r="A218" s="162"/>
      <c r="B218" s="153" t="s">
        <v>1811</v>
      </c>
      <c r="C218" s="18"/>
      <c r="D218" s="18"/>
      <c r="E218" s="18"/>
      <c r="F218" s="18"/>
      <c r="G218" s="18"/>
      <c r="H218" s="18"/>
      <c r="I218" s="69"/>
    </row>
    <row r="219" spans="1:9" x14ac:dyDescent="0.25">
      <c r="A219" s="162"/>
      <c r="B219" s="153"/>
      <c r="C219" s="18"/>
      <c r="D219" s="18"/>
      <c r="E219" s="18"/>
      <c r="F219" s="18"/>
      <c r="G219" s="18"/>
      <c r="H219" s="18"/>
      <c r="I219" s="69"/>
    </row>
    <row r="220" spans="1:9" x14ac:dyDescent="0.25">
      <c r="A220" s="162" t="s">
        <v>1844</v>
      </c>
      <c r="B220" s="153" t="s">
        <v>1813</v>
      </c>
      <c r="C220" s="116"/>
      <c r="D220" s="109"/>
      <c r="E220" s="116"/>
      <c r="F220" s="116"/>
      <c r="G220" s="116">
        <f t="shared" ref="G220:G229" si="14">ROUND(E220-F220,0)</f>
        <v>0</v>
      </c>
      <c r="H220" s="116"/>
      <c r="I220" s="69"/>
    </row>
    <row r="221" spans="1:9" x14ac:dyDescent="0.25">
      <c r="A221" s="162" t="s">
        <v>1846</v>
      </c>
      <c r="B221" s="153" t="s">
        <v>5730</v>
      </c>
      <c r="C221" s="116"/>
      <c r="D221" s="110">
        <f>IF(C221&gt;0,35,0)</f>
        <v>0</v>
      </c>
      <c r="E221" s="116">
        <f t="shared" ref="E221:E229" si="15">IF(D221&lt;&gt;0,ROUND(C221*D221/100,0),0)</f>
        <v>0</v>
      </c>
      <c r="F221" s="116"/>
      <c r="G221" s="116">
        <f t="shared" si="14"/>
        <v>0</v>
      </c>
      <c r="H221" s="116"/>
      <c r="I221" s="69"/>
    </row>
    <row r="222" spans="1:9" x14ac:dyDescent="0.25">
      <c r="A222" s="162" t="s">
        <v>1848</v>
      </c>
      <c r="B222" s="153" t="s">
        <v>1816</v>
      </c>
      <c r="C222" s="116"/>
      <c r="D222" s="109"/>
      <c r="E222" s="116">
        <f t="shared" si="15"/>
        <v>0</v>
      </c>
      <c r="F222" s="116"/>
      <c r="G222" s="116">
        <f t="shared" si="14"/>
        <v>0</v>
      </c>
      <c r="H222" s="116"/>
      <c r="I222" s="69"/>
    </row>
    <row r="223" spans="1:9" x14ac:dyDescent="0.25">
      <c r="A223" s="162" t="s">
        <v>1850</v>
      </c>
      <c r="B223" s="153" t="s">
        <v>1818</v>
      </c>
      <c r="C223" s="116"/>
      <c r="D223" s="110">
        <f>IF(C223&gt;0,10,0)</f>
        <v>0</v>
      </c>
      <c r="E223" s="116">
        <f t="shared" si="15"/>
        <v>0</v>
      </c>
      <c r="F223" s="116"/>
      <c r="G223" s="116">
        <f t="shared" si="14"/>
        <v>0</v>
      </c>
      <c r="H223" s="116"/>
      <c r="I223" s="69"/>
    </row>
    <row r="224" spans="1:9" x14ac:dyDescent="0.25">
      <c r="A224" s="162" t="s">
        <v>1852</v>
      </c>
      <c r="B224" s="153" t="s">
        <v>1820</v>
      </c>
      <c r="C224" s="116"/>
      <c r="D224" s="110">
        <f>IF(C224&gt;0,10,0)</f>
        <v>0</v>
      </c>
      <c r="E224" s="116">
        <f t="shared" si="15"/>
        <v>0</v>
      </c>
      <c r="F224" s="116"/>
      <c r="G224" s="116">
        <f t="shared" si="14"/>
        <v>0</v>
      </c>
      <c r="H224" s="116"/>
      <c r="I224" s="69"/>
    </row>
    <row r="225" spans="1:9" x14ac:dyDescent="0.25">
      <c r="A225" s="162" t="s">
        <v>1853</v>
      </c>
      <c r="B225" s="153" t="s">
        <v>1822</v>
      </c>
      <c r="C225" s="116"/>
      <c r="D225" s="110">
        <f>IF(C225&gt;0,20,0)</f>
        <v>0</v>
      </c>
      <c r="E225" s="116">
        <f t="shared" si="15"/>
        <v>0</v>
      </c>
      <c r="F225" s="116"/>
      <c r="G225" s="116">
        <f t="shared" si="14"/>
        <v>0</v>
      </c>
      <c r="H225" s="116"/>
      <c r="I225" s="69"/>
    </row>
    <row r="226" spans="1:9" x14ac:dyDescent="0.25">
      <c r="A226" s="162" t="s">
        <v>1855</v>
      </c>
      <c r="B226" s="153" t="s">
        <v>1824</v>
      </c>
      <c r="C226" s="116"/>
      <c r="D226" s="110">
        <f>IF(C226&gt;0,20,0)</f>
        <v>0</v>
      </c>
      <c r="E226" s="116">
        <f t="shared" si="15"/>
        <v>0</v>
      </c>
      <c r="F226" s="116"/>
      <c r="G226" s="116">
        <f t="shared" si="14"/>
        <v>0</v>
      </c>
      <c r="H226" s="116"/>
      <c r="I226" s="69"/>
    </row>
    <row r="227" spans="1:9" x14ac:dyDescent="0.25">
      <c r="A227" s="162" t="s">
        <v>1857</v>
      </c>
      <c r="B227" s="153" t="s">
        <v>1826</v>
      </c>
      <c r="C227" s="116"/>
      <c r="D227" s="110">
        <f>IF(C227&gt;0,35,0)</f>
        <v>0</v>
      </c>
      <c r="E227" s="116">
        <f t="shared" si="15"/>
        <v>0</v>
      </c>
      <c r="F227" s="116"/>
      <c r="G227" s="116">
        <f t="shared" si="14"/>
        <v>0</v>
      </c>
      <c r="H227" s="116"/>
      <c r="I227" s="69"/>
    </row>
    <row r="228" spans="1:9" x14ac:dyDescent="0.25">
      <c r="A228" s="162" t="s">
        <v>1859</v>
      </c>
      <c r="B228" s="153" t="s">
        <v>1238</v>
      </c>
      <c r="C228" s="116"/>
      <c r="D228" s="109"/>
      <c r="E228" s="116">
        <f t="shared" si="15"/>
        <v>0</v>
      </c>
      <c r="F228" s="116"/>
      <c r="G228" s="116">
        <f t="shared" si="14"/>
        <v>0</v>
      </c>
      <c r="H228" s="116"/>
      <c r="I228" s="69"/>
    </row>
    <row r="229" spans="1:9" x14ac:dyDescent="0.25">
      <c r="A229" s="162" t="s">
        <v>1861</v>
      </c>
      <c r="B229" s="153" t="s">
        <v>1829</v>
      </c>
      <c r="C229" s="116"/>
      <c r="D229" s="110">
        <f>IF(C229&gt;0,10,0)</f>
        <v>0</v>
      </c>
      <c r="E229" s="116">
        <f t="shared" si="15"/>
        <v>0</v>
      </c>
      <c r="F229" s="116"/>
      <c r="G229" s="116">
        <f t="shared" si="14"/>
        <v>0</v>
      </c>
      <c r="H229" s="116"/>
      <c r="I229" s="69"/>
    </row>
    <row r="230" spans="1:9" x14ac:dyDescent="0.25">
      <c r="A230" s="162" t="s">
        <v>1863</v>
      </c>
      <c r="B230" s="153" t="s">
        <v>638</v>
      </c>
      <c r="C230" s="52"/>
      <c r="D230" s="64"/>
      <c r="E230" s="52"/>
      <c r="F230" s="52"/>
      <c r="G230" s="52"/>
      <c r="H230" s="52"/>
      <c r="I230" s="69"/>
    </row>
    <row r="231" spans="1:9" x14ac:dyDescent="0.25">
      <c r="A231" s="162"/>
      <c r="B231" s="153"/>
      <c r="C231" s="18"/>
      <c r="D231" s="18"/>
      <c r="E231" s="18"/>
      <c r="F231" s="18"/>
      <c r="G231" s="18"/>
      <c r="H231" s="18"/>
      <c r="I231" s="69"/>
    </row>
    <row r="232" spans="1:9" ht="22.5" x14ac:dyDescent="0.25">
      <c r="A232" s="162" t="s">
        <v>1865</v>
      </c>
      <c r="B232" s="153" t="s">
        <v>1832</v>
      </c>
      <c r="C232" s="116"/>
      <c r="D232" s="109"/>
      <c r="E232" s="116">
        <f>ROUND(SUM(E220:E229)+E230,0)</f>
        <v>0</v>
      </c>
      <c r="F232" s="116">
        <f>ROUND(SUM(F220:F229)+F230,0)</f>
        <v>0</v>
      </c>
      <c r="G232" s="116">
        <f>ROUND(E232-F232,0)</f>
        <v>0</v>
      </c>
      <c r="H232" s="116"/>
      <c r="I232" s="69"/>
    </row>
    <row r="233" spans="1:9" x14ac:dyDescent="0.25">
      <c r="A233" s="162"/>
      <c r="B233" s="153"/>
      <c r="C233" s="18"/>
      <c r="D233" s="18"/>
      <c r="E233" s="18"/>
      <c r="F233" s="18"/>
      <c r="G233" s="18"/>
      <c r="H233" s="18"/>
      <c r="I233" s="69"/>
    </row>
    <row r="234" spans="1:9" x14ac:dyDescent="0.25">
      <c r="A234" s="162"/>
      <c r="B234" s="153" t="s">
        <v>1833</v>
      </c>
      <c r="C234" s="18"/>
      <c r="D234" s="18"/>
      <c r="E234" s="18"/>
      <c r="F234" s="18"/>
      <c r="G234" s="18"/>
      <c r="H234" s="18"/>
      <c r="I234" s="69"/>
    </row>
    <row r="235" spans="1:9" x14ac:dyDescent="0.25">
      <c r="A235" s="162"/>
      <c r="B235" s="153"/>
      <c r="C235" s="18"/>
      <c r="D235" s="18"/>
      <c r="E235" s="18"/>
      <c r="F235" s="18"/>
      <c r="G235" s="18"/>
      <c r="H235" s="18"/>
      <c r="I235" s="69"/>
    </row>
    <row r="236" spans="1:9" x14ac:dyDescent="0.25">
      <c r="A236" s="162" t="s">
        <v>1866</v>
      </c>
      <c r="B236" s="153" t="s">
        <v>1835</v>
      </c>
      <c r="C236" s="116"/>
      <c r="D236" s="110">
        <f>IF(C236&gt;0,15,0)</f>
        <v>0</v>
      </c>
      <c r="E236" s="116">
        <f t="shared" ref="E236:E266" si="16">IF(D236&lt;&gt;0,ROUND(C236*D236/100,0),0)</f>
        <v>0</v>
      </c>
      <c r="F236" s="116"/>
      <c r="G236" s="116">
        <f t="shared" ref="G236:G261" si="17">ROUND(E236-F236,0)</f>
        <v>0</v>
      </c>
      <c r="H236" s="116"/>
      <c r="I236" s="69"/>
    </row>
    <row r="237" spans="1:9" x14ac:dyDescent="0.25">
      <c r="A237" s="162" t="s">
        <v>1868</v>
      </c>
      <c r="B237" s="153" t="s">
        <v>1837</v>
      </c>
      <c r="C237" s="116"/>
      <c r="D237" s="110">
        <f>IF(C237&gt;0,30,0)</f>
        <v>0</v>
      </c>
      <c r="E237" s="116">
        <f t="shared" si="16"/>
        <v>0</v>
      </c>
      <c r="F237" s="116"/>
      <c r="G237" s="116">
        <f t="shared" si="17"/>
        <v>0</v>
      </c>
      <c r="H237" s="116"/>
      <c r="I237" s="69"/>
    </row>
    <row r="238" spans="1:9" ht="22.5" x14ac:dyDescent="0.25">
      <c r="A238" s="162" t="s">
        <v>1870</v>
      </c>
      <c r="B238" s="153" t="s">
        <v>1839</v>
      </c>
      <c r="C238" s="116"/>
      <c r="D238" s="110">
        <f>IF(C238&gt;0,15,0)</f>
        <v>0</v>
      </c>
      <c r="E238" s="116">
        <f t="shared" si="16"/>
        <v>0</v>
      </c>
      <c r="F238" s="116"/>
      <c r="G238" s="116">
        <f t="shared" si="17"/>
        <v>0</v>
      </c>
      <c r="H238" s="116"/>
      <c r="I238" s="69"/>
    </row>
    <row r="239" spans="1:9" ht="22.5" x14ac:dyDescent="0.25">
      <c r="A239" s="162" t="s">
        <v>1872</v>
      </c>
      <c r="B239" s="153" t="s">
        <v>1841</v>
      </c>
      <c r="C239" s="116"/>
      <c r="D239" s="110">
        <f>IF(C239&gt;0,30,0)</f>
        <v>0</v>
      </c>
      <c r="E239" s="116">
        <f t="shared" si="16"/>
        <v>0</v>
      </c>
      <c r="F239" s="116"/>
      <c r="G239" s="116">
        <f t="shared" si="17"/>
        <v>0</v>
      </c>
      <c r="H239" s="116"/>
      <c r="I239" s="69"/>
    </row>
    <row r="240" spans="1:9" x14ac:dyDescent="0.25">
      <c r="A240" s="162" t="s">
        <v>1874</v>
      </c>
      <c r="B240" s="153" t="s">
        <v>1843</v>
      </c>
      <c r="C240" s="116"/>
      <c r="D240" s="110">
        <f>IF(C240&gt;0,25,0)</f>
        <v>0</v>
      </c>
      <c r="E240" s="116">
        <f t="shared" si="16"/>
        <v>0</v>
      </c>
      <c r="F240" s="116"/>
      <c r="G240" s="116">
        <f t="shared" si="17"/>
        <v>0</v>
      </c>
      <c r="H240" s="116"/>
      <c r="I240" s="69"/>
    </row>
    <row r="241" spans="1:9" x14ac:dyDescent="0.25">
      <c r="A241" s="162" t="s">
        <v>1875</v>
      </c>
      <c r="B241" s="153" t="s">
        <v>1845</v>
      </c>
      <c r="C241" s="193">
        <f>ROUND('ANEXO 7'!AE96,0)</f>
        <v>0</v>
      </c>
      <c r="D241" s="110">
        <f>IF(C241&gt;0,5,0)</f>
        <v>0</v>
      </c>
      <c r="E241" s="116">
        <f t="shared" si="16"/>
        <v>0</v>
      </c>
      <c r="F241" s="116"/>
      <c r="G241" s="116">
        <f t="shared" si="17"/>
        <v>0</v>
      </c>
      <c r="H241" s="116"/>
      <c r="I241" s="69"/>
    </row>
    <row r="242" spans="1:9" x14ac:dyDescent="0.25">
      <c r="A242" s="162" t="s">
        <v>1877</v>
      </c>
      <c r="B242" s="153" t="s">
        <v>1847</v>
      </c>
      <c r="C242" s="193">
        <f>ROUND('ANEXO 7'!AE97,0)</f>
        <v>0</v>
      </c>
      <c r="D242" s="110">
        <f>IF(C242&gt;0,10,0)</f>
        <v>0</v>
      </c>
      <c r="E242" s="116">
        <f t="shared" si="16"/>
        <v>0</v>
      </c>
      <c r="F242" s="116"/>
      <c r="G242" s="116">
        <f t="shared" si="17"/>
        <v>0</v>
      </c>
      <c r="H242" s="116"/>
      <c r="I242" s="69"/>
    </row>
    <row r="243" spans="1:9" x14ac:dyDescent="0.25">
      <c r="A243" s="162" t="s">
        <v>1879</v>
      </c>
      <c r="B243" s="153" t="s">
        <v>1849</v>
      </c>
      <c r="C243" s="193">
        <f>ROUND('ANEXO 7'!AE98,0)</f>
        <v>0</v>
      </c>
      <c r="D243" s="110">
        <f>IF(C243&gt;0,25,0)</f>
        <v>0</v>
      </c>
      <c r="E243" s="116">
        <f t="shared" si="16"/>
        <v>0</v>
      </c>
      <c r="F243" s="116"/>
      <c r="G243" s="116">
        <f t="shared" si="17"/>
        <v>0</v>
      </c>
      <c r="H243" s="116"/>
      <c r="I243" s="69"/>
    </row>
    <row r="244" spans="1:9" x14ac:dyDescent="0.25">
      <c r="A244" s="162" t="s">
        <v>1881</v>
      </c>
      <c r="B244" s="153" t="s">
        <v>1851</v>
      </c>
      <c r="C244" s="116"/>
      <c r="D244" s="110">
        <f>IF(C244&gt;0,35,0)</f>
        <v>0</v>
      </c>
      <c r="E244" s="116">
        <f t="shared" si="16"/>
        <v>0</v>
      </c>
      <c r="F244" s="116"/>
      <c r="G244" s="116">
        <f t="shared" si="17"/>
        <v>0</v>
      </c>
      <c r="H244" s="116"/>
      <c r="I244" s="69"/>
    </row>
    <row r="245" spans="1:9" x14ac:dyDescent="0.25">
      <c r="A245" s="162" t="s">
        <v>1883</v>
      </c>
      <c r="B245" s="153" t="s">
        <v>1242</v>
      </c>
      <c r="C245" s="193">
        <f>ROUND('ANEXO 7'!AE91,0)</f>
        <v>0</v>
      </c>
      <c r="D245" s="109"/>
      <c r="E245" s="116">
        <f t="shared" si="16"/>
        <v>0</v>
      </c>
      <c r="F245" s="116"/>
      <c r="G245" s="116">
        <f t="shared" si="17"/>
        <v>0</v>
      </c>
      <c r="H245" s="116"/>
      <c r="I245" s="69"/>
    </row>
    <row r="246" spans="1:9" x14ac:dyDescent="0.25">
      <c r="A246" s="162" t="s">
        <v>1885</v>
      </c>
      <c r="B246" s="153" t="s">
        <v>1854</v>
      </c>
      <c r="C246" s="116"/>
      <c r="D246" s="109"/>
      <c r="E246" s="116">
        <f t="shared" si="16"/>
        <v>0</v>
      </c>
      <c r="F246" s="116"/>
      <c r="G246" s="116">
        <f t="shared" si="17"/>
        <v>0</v>
      </c>
      <c r="H246" s="116"/>
      <c r="I246" s="69"/>
    </row>
    <row r="247" spans="1:9" x14ac:dyDescent="0.25">
      <c r="A247" s="162" t="s">
        <v>1887</v>
      </c>
      <c r="B247" s="153" t="s">
        <v>1856</v>
      </c>
      <c r="C247" s="116"/>
      <c r="D247" s="109"/>
      <c r="E247" s="116">
        <f t="shared" si="16"/>
        <v>0</v>
      </c>
      <c r="F247" s="116"/>
      <c r="G247" s="116">
        <f t="shared" si="17"/>
        <v>0</v>
      </c>
      <c r="H247" s="116"/>
      <c r="I247" s="69"/>
    </row>
    <row r="248" spans="1:9" x14ac:dyDescent="0.25">
      <c r="A248" s="162" t="s">
        <v>1889</v>
      </c>
      <c r="B248" s="153" t="s">
        <v>1858</v>
      </c>
      <c r="C248" s="116"/>
      <c r="D248" s="110">
        <f>IF(C248&gt;0,5,0)</f>
        <v>0</v>
      </c>
      <c r="E248" s="116">
        <f t="shared" si="16"/>
        <v>0</v>
      </c>
      <c r="F248" s="116"/>
      <c r="G248" s="116">
        <f t="shared" si="17"/>
        <v>0</v>
      </c>
      <c r="H248" s="116"/>
      <c r="I248" s="69"/>
    </row>
    <row r="249" spans="1:9" x14ac:dyDescent="0.25">
      <c r="A249" s="162" t="s">
        <v>1891</v>
      </c>
      <c r="B249" s="153" t="s">
        <v>1860</v>
      </c>
      <c r="C249" s="116"/>
      <c r="D249" s="110">
        <f>IF(C249&gt;0,25,0)</f>
        <v>0</v>
      </c>
      <c r="E249" s="116">
        <f t="shared" si="16"/>
        <v>0</v>
      </c>
      <c r="F249" s="116"/>
      <c r="G249" s="116">
        <f t="shared" si="17"/>
        <v>0</v>
      </c>
      <c r="H249" s="116"/>
      <c r="I249" s="69"/>
    </row>
    <row r="250" spans="1:9" ht="22.5" x14ac:dyDescent="0.25">
      <c r="A250" s="162" t="s">
        <v>1892</v>
      </c>
      <c r="B250" s="153" t="s">
        <v>1862</v>
      </c>
      <c r="C250" s="116"/>
      <c r="D250" s="109"/>
      <c r="E250" s="116">
        <f t="shared" si="16"/>
        <v>0</v>
      </c>
      <c r="F250" s="116"/>
      <c r="G250" s="116">
        <f t="shared" si="17"/>
        <v>0</v>
      </c>
      <c r="H250" s="116"/>
      <c r="I250" s="69"/>
    </row>
    <row r="251" spans="1:9" x14ac:dyDescent="0.25">
      <c r="A251" s="162" t="s">
        <v>1893</v>
      </c>
      <c r="B251" s="153" t="s">
        <v>1864</v>
      </c>
      <c r="C251" s="116"/>
      <c r="D251" s="109"/>
      <c r="E251" s="116">
        <f t="shared" si="16"/>
        <v>0</v>
      </c>
      <c r="F251" s="116"/>
      <c r="G251" s="116">
        <f t="shared" si="17"/>
        <v>0</v>
      </c>
      <c r="H251" s="116"/>
      <c r="I251" s="69"/>
    </row>
    <row r="252" spans="1:9" x14ac:dyDescent="0.25">
      <c r="A252" s="162" t="s">
        <v>1895</v>
      </c>
      <c r="B252" s="153" t="s">
        <v>1816</v>
      </c>
      <c r="C252" s="116"/>
      <c r="D252" s="109"/>
      <c r="E252" s="116">
        <f t="shared" si="16"/>
        <v>0</v>
      </c>
      <c r="F252" s="116"/>
      <c r="G252" s="116">
        <f t="shared" si="17"/>
        <v>0</v>
      </c>
      <c r="H252" s="116"/>
      <c r="I252" s="69"/>
    </row>
    <row r="253" spans="1:9" x14ac:dyDescent="0.25">
      <c r="A253" s="162" t="s">
        <v>1897</v>
      </c>
      <c r="B253" s="153" t="s">
        <v>1867</v>
      </c>
      <c r="C253" s="116"/>
      <c r="D253" s="109"/>
      <c r="E253" s="116">
        <f t="shared" si="16"/>
        <v>0</v>
      </c>
      <c r="F253" s="116"/>
      <c r="G253" s="116">
        <f t="shared" si="17"/>
        <v>0</v>
      </c>
      <c r="H253" s="116"/>
      <c r="I253" s="69"/>
    </row>
    <row r="254" spans="1:9" x14ac:dyDescent="0.25">
      <c r="A254" s="162" t="s">
        <v>1899</v>
      </c>
      <c r="B254" s="153" t="s">
        <v>1869</v>
      </c>
      <c r="C254" s="116"/>
      <c r="D254" s="110">
        <f>IF(C254&gt;0,4.9,0)</f>
        <v>0</v>
      </c>
      <c r="E254" s="116">
        <f t="shared" si="16"/>
        <v>0</v>
      </c>
      <c r="F254" s="116"/>
      <c r="G254" s="116">
        <f t="shared" si="17"/>
        <v>0</v>
      </c>
      <c r="H254" s="116"/>
      <c r="I254" s="69"/>
    </row>
    <row r="255" spans="1:9" x14ac:dyDescent="0.25">
      <c r="A255" s="162" t="s">
        <v>1900</v>
      </c>
      <c r="B255" s="153" t="s">
        <v>1871</v>
      </c>
      <c r="C255" s="116"/>
      <c r="D255" s="110">
        <f>IF(C255&gt;0,10,0)</f>
        <v>0</v>
      </c>
      <c r="E255" s="116">
        <f t="shared" si="16"/>
        <v>0</v>
      </c>
      <c r="F255" s="116"/>
      <c r="G255" s="116">
        <f t="shared" si="17"/>
        <v>0</v>
      </c>
      <c r="H255" s="116"/>
      <c r="I255" s="69"/>
    </row>
    <row r="256" spans="1:9" x14ac:dyDescent="0.25">
      <c r="A256" s="162" t="s">
        <v>1902</v>
      </c>
      <c r="B256" s="153" t="s">
        <v>1873</v>
      </c>
      <c r="C256" s="116"/>
      <c r="D256" s="110">
        <f>IF(C256&gt;0,15,0)</f>
        <v>0</v>
      </c>
      <c r="E256" s="116">
        <f t="shared" si="16"/>
        <v>0</v>
      </c>
      <c r="F256" s="116"/>
      <c r="G256" s="116">
        <f t="shared" si="17"/>
        <v>0</v>
      </c>
      <c r="H256" s="116"/>
      <c r="I256" s="69"/>
    </row>
    <row r="257" spans="1:9" x14ac:dyDescent="0.25">
      <c r="A257" s="162" t="s">
        <v>1904</v>
      </c>
      <c r="B257" s="153" t="s">
        <v>5731</v>
      </c>
      <c r="C257" s="116"/>
      <c r="D257" s="110">
        <f>IF(C257&gt;0,21,0)</f>
        <v>0</v>
      </c>
      <c r="E257" s="116">
        <f t="shared" si="16"/>
        <v>0</v>
      </c>
      <c r="F257" s="116"/>
      <c r="G257" s="116">
        <f t="shared" si="17"/>
        <v>0</v>
      </c>
      <c r="H257" s="116"/>
      <c r="I257" s="69"/>
    </row>
    <row r="258" spans="1:9" x14ac:dyDescent="0.25">
      <c r="A258" s="162" t="s">
        <v>1906</v>
      </c>
      <c r="B258" s="153" t="s">
        <v>1876</v>
      </c>
      <c r="C258" s="116"/>
      <c r="D258" s="110">
        <f>IF(C258&gt;0,35,0)</f>
        <v>0</v>
      </c>
      <c r="E258" s="116">
        <f t="shared" si="16"/>
        <v>0</v>
      </c>
      <c r="F258" s="116"/>
      <c r="G258" s="116">
        <f t="shared" si="17"/>
        <v>0</v>
      </c>
      <c r="H258" s="116"/>
      <c r="I258" s="69"/>
    </row>
    <row r="259" spans="1:9" x14ac:dyDescent="0.25">
      <c r="A259" s="162" t="s">
        <v>1907</v>
      </c>
      <c r="B259" s="153" t="s">
        <v>1878</v>
      </c>
      <c r="C259" s="116"/>
      <c r="D259" s="109"/>
      <c r="E259" s="116">
        <f t="shared" si="16"/>
        <v>0</v>
      </c>
      <c r="F259" s="116"/>
      <c r="G259" s="116">
        <f t="shared" si="17"/>
        <v>0</v>
      </c>
      <c r="H259" s="116"/>
      <c r="I259" s="69"/>
    </row>
    <row r="260" spans="1:9" x14ac:dyDescent="0.25">
      <c r="A260" s="162" t="s">
        <v>1910</v>
      </c>
      <c r="B260" s="153" t="s">
        <v>1880</v>
      </c>
      <c r="C260" s="116"/>
      <c r="D260" s="109"/>
      <c r="E260" s="116">
        <f t="shared" si="16"/>
        <v>0</v>
      </c>
      <c r="F260" s="116"/>
      <c r="G260" s="116">
        <f t="shared" si="17"/>
        <v>0</v>
      </c>
      <c r="H260" s="116"/>
      <c r="I260" s="69"/>
    </row>
    <row r="261" spans="1:9" ht="22.5" x14ac:dyDescent="0.25">
      <c r="A261" s="162" t="s">
        <v>1912</v>
      </c>
      <c r="B261" s="153" t="s">
        <v>1882</v>
      </c>
      <c r="C261" s="116"/>
      <c r="D261" s="109"/>
      <c r="E261" s="116">
        <f t="shared" si="16"/>
        <v>0</v>
      </c>
      <c r="F261" s="116"/>
      <c r="G261" s="116">
        <f t="shared" si="17"/>
        <v>0</v>
      </c>
      <c r="H261" s="116"/>
      <c r="I261" s="69"/>
    </row>
    <row r="262" spans="1:9" ht="22.5" x14ac:dyDescent="0.25">
      <c r="A262" s="162" t="s">
        <v>1914</v>
      </c>
      <c r="B262" s="153" t="s">
        <v>1884</v>
      </c>
      <c r="C262" s="116"/>
      <c r="D262" s="109"/>
      <c r="E262" s="116">
        <f t="shared" si="16"/>
        <v>0</v>
      </c>
      <c r="F262" s="116"/>
      <c r="G262" s="116"/>
      <c r="H262" s="116"/>
      <c r="I262" s="69"/>
    </row>
    <row r="263" spans="1:9" ht="33.75" x14ac:dyDescent="0.25">
      <c r="A263" s="162" t="s">
        <v>1918</v>
      </c>
      <c r="B263" s="153" t="s">
        <v>1886</v>
      </c>
      <c r="C263" s="116"/>
      <c r="D263" s="109"/>
      <c r="E263" s="116">
        <f t="shared" si="16"/>
        <v>0</v>
      </c>
      <c r="F263" s="116"/>
      <c r="G263" s="116">
        <f>ROUND(E263-F263,0)</f>
        <v>0</v>
      </c>
      <c r="H263" s="116"/>
      <c r="I263" s="69"/>
    </row>
    <row r="264" spans="1:9" x14ac:dyDescent="0.25">
      <c r="A264" s="162" t="s">
        <v>1919</v>
      </c>
      <c r="B264" s="153" t="s">
        <v>1888</v>
      </c>
      <c r="C264" s="116"/>
      <c r="D264" s="109"/>
      <c r="E264" s="116">
        <f t="shared" si="16"/>
        <v>0</v>
      </c>
      <c r="F264" s="116"/>
      <c r="G264" s="116"/>
      <c r="H264" s="116"/>
      <c r="I264" s="69"/>
    </row>
    <row r="265" spans="1:9" ht="22.5" x14ac:dyDescent="0.25">
      <c r="A265" s="162" t="s">
        <v>1920</v>
      </c>
      <c r="B265" s="153" t="s">
        <v>1890</v>
      </c>
      <c r="C265" s="116"/>
      <c r="D265" s="109"/>
      <c r="E265" s="116">
        <f t="shared" si="16"/>
        <v>0</v>
      </c>
      <c r="F265" s="116"/>
      <c r="G265" s="116">
        <f>ROUND(E265-F265,0)</f>
        <v>0</v>
      </c>
      <c r="H265" s="116"/>
      <c r="I265" s="69"/>
    </row>
    <row r="266" spans="1:9" x14ac:dyDescent="0.25">
      <c r="A266" s="162" t="s">
        <v>1921</v>
      </c>
      <c r="B266" s="153" t="s">
        <v>1829</v>
      </c>
      <c r="C266" s="116"/>
      <c r="D266" s="110">
        <f>IF(C266&gt;0,10,0)</f>
        <v>0</v>
      </c>
      <c r="E266" s="116">
        <f t="shared" si="16"/>
        <v>0</v>
      </c>
      <c r="F266" s="116"/>
      <c r="G266" s="116">
        <f>ROUND(E266-F266,0)</f>
        <v>0</v>
      </c>
      <c r="H266" s="116"/>
      <c r="I266" s="69"/>
    </row>
    <row r="267" spans="1:9" x14ac:dyDescent="0.25">
      <c r="A267" s="162" t="s">
        <v>1922</v>
      </c>
      <c r="B267" s="153" t="s">
        <v>638</v>
      </c>
      <c r="C267" s="52"/>
      <c r="D267" s="64"/>
      <c r="E267" s="52"/>
      <c r="F267" s="52"/>
      <c r="G267" s="52"/>
      <c r="H267" s="52"/>
      <c r="I267" s="69"/>
    </row>
    <row r="268" spans="1:9" x14ac:dyDescent="0.25">
      <c r="A268" s="162"/>
      <c r="B268" s="153"/>
      <c r="C268" s="18"/>
      <c r="D268" s="18"/>
      <c r="E268" s="18"/>
      <c r="F268" s="18"/>
      <c r="G268" s="18"/>
      <c r="H268" s="18"/>
      <c r="I268" s="69"/>
    </row>
    <row r="269" spans="1:9" ht="22.5" x14ac:dyDescent="0.25">
      <c r="A269" s="162" t="s">
        <v>1923</v>
      </c>
      <c r="B269" s="153" t="s">
        <v>1894</v>
      </c>
      <c r="C269" s="116"/>
      <c r="D269" s="109"/>
      <c r="E269" s="116">
        <f>ROUND(SUM(E236:E266)+E267,0)</f>
        <v>0</v>
      </c>
      <c r="F269" s="116">
        <f>ROUND(SUM(F236:F266)+F267,0)</f>
        <v>0</v>
      </c>
      <c r="G269" s="116">
        <f>ROUND(E269-F269,0)</f>
        <v>0</v>
      </c>
      <c r="H269" s="116"/>
      <c r="I269" s="69"/>
    </row>
    <row r="270" spans="1:9" x14ac:dyDescent="0.25">
      <c r="A270" s="162"/>
      <c r="B270" s="153"/>
      <c r="C270" s="18"/>
      <c r="D270" s="18"/>
      <c r="E270" s="18"/>
      <c r="F270" s="18"/>
      <c r="G270" s="18"/>
      <c r="H270" s="18"/>
      <c r="I270" s="69"/>
    </row>
    <row r="271" spans="1:9" x14ac:dyDescent="0.25">
      <c r="A271" s="162"/>
      <c r="B271" s="179" t="s">
        <v>1627</v>
      </c>
      <c r="C271" s="18"/>
      <c r="D271" s="18"/>
      <c r="E271" s="18"/>
      <c r="F271" s="18"/>
      <c r="G271" s="18"/>
      <c r="H271" s="18"/>
      <c r="I271" s="69"/>
    </row>
    <row r="272" spans="1:9" x14ac:dyDescent="0.25">
      <c r="A272" s="162"/>
      <c r="B272" s="153"/>
      <c r="C272" s="18"/>
      <c r="D272" s="18"/>
      <c r="E272" s="18"/>
      <c r="F272" s="18"/>
      <c r="G272" s="18"/>
      <c r="H272" s="18"/>
      <c r="I272" s="69"/>
    </row>
    <row r="273" spans="1:9" ht="22.5" x14ac:dyDescent="0.25">
      <c r="A273" s="162" t="s">
        <v>1926</v>
      </c>
      <c r="B273" s="153" t="s">
        <v>1896</v>
      </c>
      <c r="C273" s="116">
        <f>ROUND(C223,0)</f>
        <v>0</v>
      </c>
      <c r="D273" s="110">
        <f>IF(C273&gt;0,ROUND(16/3*2,2),0)</f>
        <v>0</v>
      </c>
      <c r="E273" s="116">
        <f>IF(D273&lt;&gt;0,ROUND(C273*(16/3*2)/100,0),0)</f>
        <v>0</v>
      </c>
      <c r="F273" s="116"/>
      <c r="G273" s="116">
        <f t="shared" ref="G273:G278" si="18">ROUND(E273-F273,0)</f>
        <v>0</v>
      </c>
      <c r="H273" s="116"/>
      <c r="I273" s="69"/>
    </row>
    <row r="274" spans="1:9" ht="33.75" x14ac:dyDescent="0.25">
      <c r="A274" s="162" t="s">
        <v>1927</v>
      </c>
      <c r="B274" s="153" t="s">
        <v>1898</v>
      </c>
      <c r="C274" s="116">
        <f>ROUND(C224,0)</f>
        <v>0</v>
      </c>
      <c r="D274" s="110">
        <f>IF(C274&gt;0,ROUND(16/3*2,2),0)</f>
        <v>0</v>
      </c>
      <c r="E274" s="116">
        <f>IF(D274&lt;&gt;0,ROUND(C274*(16/3*2)/100,0),0)</f>
        <v>0</v>
      </c>
      <c r="F274" s="116"/>
      <c r="G274" s="116">
        <f t="shared" si="18"/>
        <v>0</v>
      </c>
      <c r="H274" s="116"/>
      <c r="I274" s="69"/>
    </row>
    <row r="275" spans="1:9" x14ac:dyDescent="0.25">
      <c r="A275" s="162" t="s">
        <v>1928</v>
      </c>
      <c r="B275" s="153" t="s">
        <v>5732</v>
      </c>
      <c r="C275" s="116"/>
      <c r="D275" s="110">
        <f>IF(C275&gt;0,16,0)</f>
        <v>0</v>
      </c>
      <c r="E275" s="116">
        <f>IF(D275&lt;&gt;0,ROUND(C275*D275/100,0),0)</f>
        <v>0</v>
      </c>
      <c r="F275" s="116"/>
      <c r="G275" s="116">
        <f t="shared" si="18"/>
        <v>0</v>
      </c>
      <c r="H275" s="116"/>
      <c r="I275" s="69"/>
    </row>
    <row r="276" spans="1:9" ht="33.75" x14ac:dyDescent="0.25">
      <c r="A276" s="162" t="s">
        <v>1929</v>
      </c>
      <c r="B276" s="153" t="s">
        <v>1901</v>
      </c>
      <c r="C276" s="193">
        <f>ROUND('ANEXO 7'!AE92,0)</f>
        <v>0</v>
      </c>
      <c r="D276" s="110">
        <f>IF(C276&gt;0,4,0)</f>
        <v>0</v>
      </c>
      <c r="E276" s="116">
        <f>IF(D276&lt;&gt;0,ROUND(C276*D276/100,0),0)</f>
        <v>0</v>
      </c>
      <c r="F276" s="116"/>
      <c r="G276" s="116">
        <f t="shared" si="18"/>
        <v>0</v>
      </c>
      <c r="H276" s="116"/>
      <c r="I276" s="69"/>
    </row>
    <row r="277" spans="1:9" ht="22.5" x14ac:dyDescent="0.25">
      <c r="A277" s="162" t="s">
        <v>1930</v>
      </c>
      <c r="B277" s="153" t="s">
        <v>1903</v>
      </c>
      <c r="C277" s="193">
        <f>'ANEXO 7'!AE100</f>
        <v>0</v>
      </c>
      <c r="D277" s="110">
        <f>IF(C277&gt;0,ROUND(16/3*2,2),0)</f>
        <v>0</v>
      </c>
      <c r="E277" s="116">
        <f>IF(D277&lt;&gt;0,ROUND(C277*(16/3*2)/100,0),0)</f>
        <v>0</v>
      </c>
      <c r="F277" s="116"/>
      <c r="G277" s="116">
        <f t="shared" si="18"/>
        <v>0</v>
      </c>
      <c r="H277" s="116"/>
      <c r="I277" s="69"/>
    </row>
    <row r="278" spans="1:9" ht="56.25" x14ac:dyDescent="0.25">
      <c r="A278" s="162" t="s">
        <v>1931</v>
      </c>
      <c r="B278" s="153" t="s">
        <v>1905</v>
      </c>
      <c r="C278" s="116"/>
      <c r="D278" s="110">
        <f>IF(C278&gt;0,16,0)</f>
        <v>0</v>
      </c>
      <c r="E278" s="116">
        <f>IF(D278&lt;&gt;0,ROUND(C278*D278/100,0),0)</f>
        <v>0</v>
      </c>
      <c r="F278" s="116"/>
      <c r="G278" s="116">
        <f t="shared" si="18"/>
        <v>0</v>
      </c>
      <c r="H278" s="116"/>
      <c r="I278" s="69"/>
    </row>
    <row r="279" spans="1:9" x14ac:dyDescent="0.25">
      <c r="A279" s="162" t="s">
        <v>1933</v>
      </c>
      <c r="B279" s="153" t="s">
        <v>638</v>
      </c>
      <c r="C279" s="52"/>
      <c r="D279" s="64"/>
      <c r="E279" s="52"/>
      <c r="F279" s="52"/>
      <c r="G279" s="52"/>
      <c r="H279" s="52"/>
      <c r="I279" s="69"/>
    </row>
    <row r="280" spans="1:9" x14ac:dyDescent="0.25">
      <c r="A280" s="162"/>
      <c r="B280" s="153"/>
      <c r="C280" s="18"/>
      <c r="D280" s="18"/>
      <c r="E280" s="18"/>
      <c r="F280" s="18"/>
      <c r="G280" s="18"/>
      <c r="H280" s="18"/>
      <c r="I280" s="69"/>
    </row>
    <row r="281" spans="1:9" x14ac:dyDescent="0.25">
      <c r="A281" s="162" t="s">
        <v>1935</v>
      </c>
      <c r="B281" s="153" t="s">
        <v>1908</v>
      </c>
      <c r="C281" s="116"/>
      <c r="D281" s="109"/>
      <c r="E281" s="116">
        <f>ROUND(SUM(E273:E278)+E279,0)</f>
        <v>0</v>
      </c>
      <c r="F281" s="116">
        <f>ROUND(SUM(F273:F278)+F279,0)</f>
        <v>0</v>
      </c>
      <c r="G281" s="116">
        <f>ROUND(E281-F281,0)</f>
        <v>0</v>
      </c>
      <c r="H281" s="116"/>
      <c r="I281" s="69"/>
    </row>
    <row r="282" spans="1:9" x14ac:dyDescent="0.25">
      <c r="A282" s="162"/>
      <c r="B282" s="153"/>
      <c r="C282" s="18"/>
      <c r="D282" s="18"/>
      <c r="E282" s="18"/>
      <c r="F282" s="18"/>
      <c r="G282" s="18"/>
      <c r="H282" s="18"/>
      <c r="I282" s="69"/>
    </row>
    <row r="283" spans="1:9" x14ac:dyDescent="0.25">
      <c r="A283" s="162"/>
      <c r="B283" s="153" t="s">
        <v>1909</v>
      </c>
      <c r="C283" s="18"/>
      <c r="D283" s="18"/>
      <c r="E283" s="18"/>
      <c r="F283" s="18"/>
      <c r="G283" s="18"/>
      <c r="H283" s="18"/>
      <c r="I283" s="69"/>
    </row>
    <row r="284" spans="1:9" x14ac:dyDescent="0.25">
      <c r="A284" s="162"/>
      <c r="B284" s="153"/>
      <c r="C284" s="18"/>
      <c r="D284" s="18"/>
      <c r="E284" s="18"/>
      <c r="F284" s="18"/>
      <c r="G284" s="18"/>
      <c r="H284" s="18"/>
      <c r="I284" s="69"/>
    </row>
    <row r="285" spans="1:9" ht="22.5" x14ac:dyDescent="0.25">
      <c r="A285" s="162" t="s">
        <v>1937</v>
      </c>
      <c r="B285" s="153" t="s">
        <v>1911</v>
      </c>
      <c r="C285" s="116"/>
      <c r="D285" s="109"/>
      <c r="E285" s="116"/>
      <c r="F285" s="116"/>
      <c r="G285" s="116">
        <f>ROUND(E285-F285,0)</f>
        <v>0</v>
      </c>
      <c r="H285" s="116"/>
      <c r="I285" s="69"/>
    </row>
    <row r="286" spans="1:9" x14ac:dyDescent="0.25">
      <c r="A286" s="162" t="s">
        <v>1939</v>
      </c>
      <c r="B286" s="153" t="s">
        <v>1913</v>
      </c>
      <c r="C286" s="116">
        <f>C202</f>
        <v>0</v>
      </c>
      <c r="D286" s="109"/>
      <c r="E286" s="116"/>
      <c r="F286" s="116"/>
      <c r="G286" s="116">
        <f>ROUND(E286-F286,0)</f>
        <v>0</v>
      </c>
      <c r="H286" s="116"/>
      <c r="I286" s="69"/>
    </row>
    <row r="287" spans="1:9" x14ac:dyDescent="0.25">
      <c r="A287" s="162" t="s">
        <v>1941</v>
      </c>
      <c r="B287" s="153" t="s">
        <v>638</v>
      </c>
      <c r="C287" s="52"/>
      <c r="D287" s="64"/>
      <c r="E287" s="52"/>
      <c r="F287" s="52"/>
      <c r="G287" s="52"/>
      <c r="H287" s="52"/>
      <c r="I287" s="69"/>
    </row>
    <row r="288" spans="1:9" x14ac:dyDescent="0.25">
      <c r="A288" s="162"/>
      <c r="B288" s="153"/>
      <c r="C288" s="18"/>
      <c r="D288" s="18"/>
      <c r="E288" s="18"/>
      <c r="F288" s="18"/>
      <c r="G288" s="18"/>
      <c r="H288" s="18"/>
      <c r="I288" s="69"/>
    </row>
    <row r="289" spans="1:9" ht="22.5" x14ac:dyDescent="0.25">
      <c r="A289" s="162"/>
      <c r="B289" s="179" t="s">
        <v>1915</v>
      </c>
      <c r="C289" s="18"/>
      <c r="D289" s="18"/>
      <c r="E289" s="18"/>
      <c r="F289" s="18"/>
      <c r="G289" s="18"/>
      <c r="H289" s="18"/>
      <c r="I289" s="69"/>
    </row>
    <row r="290" spans="1:9" x14ac:dyDescent="0.25">
      <c r="A290" s="162"/>
      <c r="B290" s="153"/>
      <c r="C290" s="18"/>
      <c r="D290" s="18"/>
      <c r="E290" s="18"/>
      <c r="F290" s="18"/>
      <c r="G290" s="18"/>
      <c r="H290" s="18"/>
      <c r="I290" s="69"/>
    </row>
    <row r="291" spans="1:9" ht="33.75" x14ac:dyDescent="0.25">
      <c r="A291" s="162"/>
      <c r="B291" s="154" t="s">
        <v>1916</v>
      </c>
      <c r="C291" s="18"/>
      <c r="D291" s="18"/>
      <c r="E291" s="18"/>
      <c r="F291" s="18"/>
      <c r="G291" s="18"/>
      <c r="H291" s="18"/>
      <c r="I291" s="69"/>
    </row>
    <row r="292" spans="1:9" x14ac:dyDescent="0.25">
      <c r="A292" s="162"/>
      <c r="B292" s="153"/>
      <c r="C292" s="18"/>
      <c r="D292" s="18"/>
      <c r="E292" s="18"/>
      <c r="F292" s="18"/>
      <c r="G292" s="18"/>
      <c r="H292" s="18"/>
      <c r="I292" s="69"/>
    </row>
    <row r="293" spans="1:9" x14ac:dyDescent="0.25">
      <c r="A293" s="162"/>
      <c r="B293" s="153" t="s">
        <v>1917</v>
      </c>
      <c r="C293" s="18"/>
      <c r="D293" s="18"/>
      <c r="E293" s="18"/>
      <c r="F293" s="18"/>
      <c r="G293" s="18"/>
      <c r="H293" s="18"/>
      <c r="I293" s="69"/>
    </row>
    <row r="294" spans="1:9" x14ac:dyDescent="0.25">
      <c r="A294" s="162" t="s">
        <v>1942</v>
      </c>
      <c r="B294" s="153" t="s">
        <v>543</v>
      </c>
      <c r="C294" s="29"/>
      <c r="D294" s="29"/>
      <c r="E294" s="116"/>
      <c r="F294" s="116"/>
      <c r="G294" s="116">
        <f>ROUND(E294-F294,0)</f>
        <v>0</v>
      </c>
      <c r="H294" s="116"/>
      <c r="I294" s="69"/>
    </row>
    <row r="295" spans="1:9" x14ac:dyDescent="0.25">
      <c r="A295" s="162" t="s">
        <v>1943</v>
      </c>
      <c r="B295" s="153" t="s">
        <v>775</v>
      </c>
      <c r="C295" s="29"/>
      <c r="D295" s="29"/>
      <c r="E295" s="116"/>
      <c r="F295" s="116"/>
      <c r="G295" s="116">
        <f>ROUND(E295-F295,0)</f>
        <v>0</v>
      </c>
      <c r="H295" s="116"/>
      <c r="I295" s="69"/>
    </row>
    <row r="296" spans="1:9" x14ac:dyDescent="0.25">
      <c r="A296" s="162" t="s">
        <v>1944</v>
      </c>
      <c r="B296" s="153" t="s">
        <v>777</v>
      </c>
      <c r="C296" s="29"/>
      <c r="D296" s="29"/>
      <c r="E296" s="116"/>
      <c r="F296" s="116"/>
      <c r="G296" s="116">
        <f>ROUND(E296-F296,0)</f>
        <v>0</v>
      </c>
      <c r="H296" s="116"/>
      <c r="I296" s="69"/>
    </row>
    <row r="297" spans="1:9" x14ac:dyDescent="0.25">
      <c r="A297" s="162" t="s">
        <v>1945</v>
      </c>
      <c r="B297" s="153" t="s">
        <v>780</v>
      </c>
      <c r="C297" s="29"/>
      <c r="D297" s="29"/>
      <c r="E297" s="116"/>
      <c r="F297" s="116"/>
      <c r="G297" s="116">
        <f>ROUND(E297-F297,0)</f>
        <v>0</v>
      </c>
      <c r="H297" s="116"/>
      <c r="I297" s="69"/>
    </row>
    <row r="298" spans="1:9" x14ac:dyDescent="0.25">
      <c r="A298" s="162" t="s">
        <v>1946</v>
      </c>
      <c r="B298" s="153" t="s">
        <v>796</v>
      </c>
      <c r="C298" s="29"/>
      <c r="D298" s="29"/>
      <c r="E298" s="116"/>
      <c r="F298" s="116"/>
      <c r="G298" s="116">
        <f>ROUND(E298-F298,0)</f>
        <v>0</v>
      </c>
      <c r="H298" s="116"/>
      <c r="I298" s="69"/>
    </row>
    <row r="299" spans="1:9" x14ac:dyDescent="0.25">
      <c r="A299" s="162" t="s">
        <v>1947</v>
      </c>
      <c r="B299" s="153" t="s">
        <v>1924</v>
      </c>
      <c r="C299" s="29"/>
      <c r="D299" s="29"/>
      <c r="E299" s="52"/>
      <c r="F299" s="52"/>
      <c r="G299" s="52"/>
      <c r="H299" s="52"/>
      <c r="I299" s="69"/>
    </row>
    <row r="300" spans="1:9" x14ac:dyDescent="0.25">
      <c r="A300" s="162"/>
      <c r="B300" s="153"/>
      <c r="C300" s="18"/>
      <c r="D300" s="18"/>
      <c r="E300" s="18"/>
      <c r="F300" s="18"/>
      <c r="G300" s="18"/>
      <c r="H300" s="18"/>
      <c r="I300" s="69"/>
    </row>
    <row r="301" spans="1:9" x14ac:dyDescent="0.25">
      <c r="A301" s="162"/>
      <c r="B301" s="153" t="s">
        <v>1925</v>
      </c>
      <c r="C301" s="18"/>
      <c r="D301" s="18"/>
      <c r="E301" s="18"/>
      <c r="F301" s="18"/>
      <c r="G301" s="18"/>
      <c r="H301" s="18"/>
      <c r="I301" s="69"/>
    </row>
    <row r="302" spans="1:9" x14ac:dyDescent="0.25">
      <c r="A302" s="162" t="s">
        <v>1949</v>
      </c>
      <c r="B302" s="153" t="s">
        <v>543</v>
      </c>
      <c r="C302" s="29"/>
      <c r="D302" s="29"/>
      <c r="E302" s="116"/>
      <c r="F302" s="116"/>
      <c r="G302" s="116">
        <f>ROUND(E302-F302,0)</f>
        <v>0</v>
      </c>
      <c r="H302" s="116"/>
      <c r="I302" s="69"/>
    </row>
    <row r="303" spans="1:9" x14ac:dyDescent="0.25">
      <c r="A303" s="162" t="s">
        <v>1951</v>
      </c>
      <c r="B303" s="153" t="s">
        <v>775</v>
      </c>
      <c r="C303" s="29"/>
      <c r="D303" s="29"/>
      <c r="E303" s="116"/>
      <c r="F303" s="116"/>
      <c r="G303" s="116">
        <f>ROUND(E303-F303,0)</f>
        <v>0</v>
      </c>
      <c r="H303" s="116"/>
      <c r="I303" s="69"/>
    </row>
    <row r="304" spans="1:9" x14ac:dyDescent="0.25">
      <c r="A304" s="162" t="s">
        <v>1954</v>
      </c>
      <c r="B304" s="153" t="s">
        <v>777</v>
      </c>
      <c r="C304" s="29"/>
      <c r="D304" s="29"/>
      <c r="E304" s="116"/>
      <c r="F304" s="116"/>
      <c r="G304" s="116">
        <f>ROUND(E304-F304,0)</f>
        <v>0</v>
      </c>
      <c r="H304" s="116"/>
      <c r="I304" s="69"/>
    </row>
    <row r="305" spans="1:9" x14ac:dyDescent="0.25">
      <c r="A305" s="162" t="s">
        <v>1955</v>
      </c>
      <c r="B305" s="153" t="s">
        <v>780</v>
      </c>
      <c r="C305" s="29"/>
      <c r="D305" s="29"/>
      <c r="E305" s="116"/>
      <c r="F305" s="116"/>
      <c r="G305" s="116">
        <f>ROUND(E305-F305,0)</f>
        <v>0</v>
      </c>
      <c r="H305" s="116"/>
      <c r="I305" s="69"/>
    </row>
    <row r="306" spans="1:9" x14ac:dyDescent="0.25">
      <c r="A306" s="162" t="s">
        <v>1956</v>
      </c>
      <c r="B306" s="153" t="s">
        <v>796</v>
      </c>
      <c r="C306" s="29"/>
      <c r="D306" s="29"/>
      <c r="E306" s="116"/>
      <c r="F306" s="116"/>
      <c r="G306" s="116">
        <f>ROUND(E306-F306,0)</f>
        <v>0</v>
      </c>
      <c r="H306" s="116"/>
      <c r="I306" s="69"/>
    </row>
    <row r="307" spans="1:9" x14ac:dyDescent="0.25">
      <c r="A307" s="162" t="s">
        <v>1957</v>
      </c>
      <c r="B307" s="153" t="s">
        <v>1924</v>
      </c>
      <c r="C307" s="29"/>
      <c r="D307" s="29"/>
      <c r="E307" s="52"/>
      <c r="F307" s="52"/>
      <c r="G307" s="52"/>
      <c r="H307" s="52"/>
      <c r="I307" s="69"/>
    </row>
    <row r="308" spans="1:9" x14ac:dyDescent="0.25">
      <c r="A308" s="162"/>
      <c r="B308" s="153"/>
      <c r="C308" s="18"/>
      <c r="D308" s="18"/>
      <c r="E308" s="18"/>
      <c r="F308" s="18"/>
      <c r="G308" s="18"/>
      <c r="H308" s="18"/>
      <c r="I308" s="69"/>
    </row>
    <row r="309" spans="1:9" ht="22.5" x14ac:dyDescent="0.25">
      <c r="A309" s="162"/>
      <c r="B309" s="154" t="s">
        <v>1932</v>
      </c>
      <c r="C309" s="18"/>
      <c r="D309" s="18"/>
      <c r="E309" s="18"/>
      <c r="F309" s="18"/>
      <c r="G309" s="18"/>
      <c r="H309" s="18"/>
      <c r="I309" s="69"/>
    </row>
    <row r="310" spans="1:9" x14ac:dyDescent="0.25">
      <c r="A310" s="162"/>
      <c r="B310" s="153"/>
      <c r="C310" s="18"/>
      <c r="D310" s="18"/>
      <c r="E310" s="18"/>
      <c r="F310" s="18"/>
      <c r="G310" s="18"/>
      <c r="H310" s="18"/>
      <c r="I310" s="69"/>
    </row>
    <row r="311" spans="1:9" x14ac:dyDescent="0.25">
      <c r="A311" s="162"/>
      <c r="B311" s="153" t="s">
        <v>1917</v>
      </c>
      <c r="C311" s="18"/>
      <c r="D311" s="18"/>
      <c r="E311" s="18"/>
      <c r="F311" s="18"/>
      <c r="G311" s="18"/>
      <c r="H311" s="18"/>
      <c r="I311" s="69"/>
    </row>
    <row r="312" spans="1:9" x14ac:dyDescent="0.25">
      <c r="A312" s="162" t="s">
        <v>1958</v>
      </c>
      <c r="B312" s="153" t="s">
        <v>1934</v>
      </c>
      <c r="C312" s="29"/>
      <c r="D312" s="29"/>
      <c r="E312" s="116"/>
      <c r="F312" s="116"/>
      <c r="G312" s="116">
        <f>ROUND(E312-F312,0)</f>
        <v>0</v>
      </c>
      <c r="H312" s="116"/>
      <c r="I312" s="69"/>
    </row>
    <row r="313" spans="1:9" ht="22.5" x14ac:dyDescent="0.25">
      <c r="A313" s="162" t="s">
        <v>1959</v>
      </c>
      <c r="B313" s="153" t="s">
        <v>1936</v>
      </c>
      <c r="C313" s="29"/>
      <c r="D313" s="29"/>
      <c r="E313" s="116"/>
      <c r="F313" s="116"/>
      <c r="G313" s="116">
        <f>ROUND(E313-F313,0)</f>
        <v>0</v>
      </c>
      <c r="H313" s="116"/>
      <c r="I313" s="69"/>
    </row>
    <row r="314" spans="1:9" x14ac:dyDescent="0.25">
      <c r="A314" s="162" t="s">
        <v>1960</v>
      </c>
      <c r="B314" s="153" t="s">
        <v>1938</v>
      </c>
      <c r="C314" s="29"/>
      <c r="D314" s="29"/>
      <c r="E314" s="116"/>
      <c r="F314" s="116"/>
      <c r="G314" s="116">
        <f>ROUND(E314-F314,0)</f>
        <v>0</v>
      </c>
      <c r="H314" s="116"/>
      <c r="I314" s="69"/>
    </row>
    <row r="315" spans="1:9" ht="22.5" x14ac:dyDescent="0.25">
      <c r="A315" s="162" t="s">
        <v>1961</v>
      </c>
      <c r="B315" s="153" t="s">
        <v>1940</v>
      </c>
      <c r="C315" s="29"/>
      <c r="D315" s="29"/>
      <c r="E315" s="116"/>
      <c r="F315" s="116"/>
      <c r="G315" s="116">
        <f>ROUND(E315-F315,0)</f>
        <v>0</v>
      </c>
      <c r="H315" s="116"/>
      <c r="I315" s="69"/>
    </row>
    <row r="316" spans="1:9" x14ac:dyDescent="0.25">
      <c r="A316" s="162" t="s">
        <v>1962</v>
      </c>
      <c r="B316" s="153" t="s">
        <v>1924</v>
      </c>
      <c r="C316" s="29"/>
      <c r="D316" s="29"/>
      <c r="E316" s="52"/>
      <c r="F316" s="52"/>
      <c r="G316" s="52"/>
      <c r="H316" s="52"/>
      <c r="I316" s="69"/>
    </row>
    <row r="317" spans="1:9" x14ac:dyDescent="0.25">
      <c r="A317" s="162"/>
      <c r="B317" s="153"/>
      <c r="C317" s="18"/>
      <c r="D317" s="18"/>
      <c r="E317" s="18"/>
      <c r="F317" s="18"/>
      <c r="G317" s="18"/>
      <c r="H317" s="18"/>
      <c r="I317" s="69"/>
    </row>
    <row r="318" spans="1:9" x14ac:dyDescent="0.25">
      <c r="A318" s="162"/>
      <c r="B318" s="153" t="s">
        <v>1925</v>
      </c>
      <c r="C318" s="18"/>
      <c r="D318" s="18"/>
      <c r="E318" s="18"/>
      <c r="F318" s="18"/>
      <c r="G318" s="18"/>
      <c r="H318" s="18"/>
      <c r="I318" s="69"/>
    </row>
    <row r="319" spans="1:9" x14ac:dyDescent="0.25">
      <c r="A319" s="162" t="s">
        <v>1963</v>
      </c>
      <c r="B319" s="153" t="s">
        <v>1934</v>
      </c>
      <c r="C319" s="29"/>
      <c r="D319" s="29"/>
      <c r="E319" s="116"/>
      <c r="F319" s="116"/>
      <c r="G319" s="116">
        <f>ROUND(E319-F319,0)</f>
        <v>0</v>
      </c>
      <c r="H319" s="116"/>
      <c r="I319" s="69"/>
    </row>
    <row r="320" spans="1:9" ht="22.5" x14ac:dyDescent="0.25">
      <c r="A320" s="162" t="s">
        <v>1964</v>
      </c>
      <c r="B320" s="153" t="s">
        <v>1936</v>
      </c>
      <c r="C320" s="29"/>
      <c r="D320" s="29"/>
      <c r="E320" s="116"/>
      <c r="F320" s="116"/>
      <c r="G320" s="116">
        <f>ROUND(E320-F320,0)</f>
        <v>0</v>
      </c>
      <c r="H320" s="116"/>
      <c r="I320" s="69"/>
    </row>
    <row r="321" spans="1:9" x14ac:dyDescent="0.25">
      <c r="A321" s="162" t="s">
        <v>1965</v>
      </c>
      <c r="B321" s="153" t="s">
        <v>1938</v>
      </c>
      <c r="C321" s="29"/>
      <c r="D321" s="29"/>
      <c r="E321" s="116"/>
      <c r="F321" s="116"/>
      <c r="G321" s="116">
        <f>ROUND(E321-F321,0)</f>
        <v>0</v>
      </c>
      <c r="H321" s="116"/>
      <c r="I321" s="69"/>
    </row>
    <row r="322" spans="1:9" ht="22.5" x14ac:dyDescent="0.25">
      <c r="A322" s="162" t="s">
        <v>5475</v>
      </c>
      <c r="B322" s="153" t="s">
        <v>1940</v>
      </c>
      <c r="C322" s="29"/>
      <c r="D322" s="29"/>
      <c r="E322" s="116"/>
      <c r="F322" s="116"/>
      <c r="G322" s="116">
        <f>ROUND(E322-F322,0)</f>
        <v>0</v>
      </c>
      <c r="H322" s="116"/>
      <c r="I322" s="69"/>
    </row>
    <row r="323" spans="1:9" x14ac:dyDescent="0.25">
      <c r="A323" s="162" t="s">
        <v>5476</v>
      </c>
      <c r="B323" s="153" t="s">
        <v>1924</v>
      </c>
      <c r="C323" s="29"/>
      <c r="D323" s="29"/>
      <c r="E323" s="52"/>
      <c r="F323" s="52"/>
      <c r="G323" s="52"/>
      <c r="H323" s="52"/>
      <c r="I323" s="69"/>
    </row>
    <row r="324" spans="1:9" x14ac:dyDescent="0.25">
      <c r="A324" s="162"/>
      <c r="B324" s="153"/>
      <c r="C324" s="18"/>
      <c r="D324" s="18"/>
      <c r="E324" s="18"/>
      <c r="F324" s="18"/>
      <c r="G324" s="18"/>
      <c r="H324" s="18"/>
      <c r="I324" s="69"/>
    </row>
    <row r="325" spans="1:9" x14ac:dyDescent="0.25">
      <c r="A325" s="162" t="s">
        <v>5477</v>
      </c>
      <c r="B325" s="153" t="s">
        <v>1948</v>
      </c>
      <c r="C325" s="29"/>
      <c r="D325" s="29"/>
      <c r="E325" s="116"/>
      <c r="F325" s="116"/>
      <c r="G325" s="116">
        <f>ROUND(E325-F325,0)</f>
        <v>0</v>
      </c>
      <c r="H325" s="116"/>
      <c r="I325" s="69"/>
    </row>
    <row r="326" spans="1:9" x14ac:dyDescent="0.25">
      <c r="A326" s="162" t="s">
        <v>5478</v>
      </c>
      <c r="B326" s="153" t="s">
        <v>1950</v>
      </c>
      <c r="C326" s="29"/>
      <c r="D326" s="29"/>
      <c r="E326" s="116"/>
      <c r="F326" s="116"/>
      <c r="G326" s="116">
        <f>ROUND(E326-F326,0)</f>
        <v>0</v>
      </c>
      <c r="H326" s="116"/>
      <c r="I326" s="69"/>
    </row>
    <row r="327" spans="1:9" x14ac:dyDescent="0.25">
      <c r="A327" s="162" t="s">
        <v>5479</v>
      </c>
      <c r="B327" s="153" t="s">
        <v>1952</v>
      </c>
      <c r="C327" s="29"/>
      <c r="D327" s="29"/>
      <c r="E327" s="52"/>
      <c r="F327" s="52"/>
      <c r="G327" s="52"/>
      <c r="H327" s="52"/>
      <c r="I327" s="69"/>
    </row>
    <row r="328" spans="1:9" x14ac:dyDescent="0.25">
      <c r="A328" s="162"/>
      <c r="B328" s="153"/>
      <c r="C328" s="18"/>
      <c r="D328" s="18"/>
      <c r="E328" s="18"/>
      <c r="F328" s="18"/>
      <c r="G328" s="18"/>
      <c r="H328" s="18"/>
      <c r="I328" s="69"/>
    </row>
    <row r="329" spans="1:9" x14ac:dyDescent="0.25">
      <c r="A329" s="162"/>
      <c r="B329" s="154" t="s">
        <v>1953</v>
      </c>
      <c r="C329" s="18"/>
      <c r="D329" s="18"/>
      <c r="E329" s="18"/>
      <c r="F329" s="18"/>
      <c r="G329" s="18"/>
      <c r="H329" s="18"/>
      <c r="I329" s="69"/>
    </row>
    <row r="330" spans="1:9" x14ac:dyDescent="0.25">
      <c r="A330" s="162"/>
      <c r="B330" s="153"/>
      <c r="C330" s="18"/>
      <c r="D330" s="18"/>
      <c r="E330" s="18"/>
      <c r="F330" s="18"/>
      <c r="G330" s="18"/>
      <c r="H330" s="18"/>
      <c r="I330" s="69"/>
    </row>
    <row r="331" spans="1:9" x14ac:dyDescent="0.25">
      <c r="A331" s="162"/>
      <c r="B331" s="153" t="s">
        <v>1917</v>
      </c>
      <c r="C331" s="18"/>
      <c r="D331" s="18"/>
      <c r="E331" s="18"/>
      <c r="F331" s="18"/>
      <c r="G331" s="18"/>
      <c r="H331" s="18"/>
      <c r="I331" s="69"/>
    </row>
    <row r="332" spans="1:9" x14ac:dyDescent="0.25">
      <c r="A332" s="162" t="s">
        <v>5480</v>
      </c>
      <c r="B332" s="153" t="s">
        <v>543</v>
      </c>
      <c r="C332" s="29"/>
      <c r="D332" s="29"/>
      <c r="E332" s="116"/>
      <c r="F332" s="116"/>
      <c r="G332" s="116">
        <f>ROUND(E332-F332,0)</f>
        <v>0</v>
      </c>
      <c r="H332" s="116"/>
      <c r="I332" s="69"/>
    </row>
    <row r="333" spans="1:9" x14ac:dyDescent="0.25">
      <c r="A333" s="162" t="s">
        <v>5481</v>
      </c>
      <c r="B333" s="153" t="s">
        <v>775</v>
      </c>
      <c r="C333" s="29"/>
      <c r="D333" s="29"/>
      <c r="E333" s="116"/>
      <c r="F333" s="116"/>
      <c r="G333" s="116">
        <f>ROUND(E333-F333,0)</f>
        <v>0</v>
      </c>
      <c r="H333" s="116"/>
      <c r="I333" s="69"/>
    </row>
    <row r="334" spans="1:9" x14ac:dyDescent="0.25">
      <c r="A334" s="162" t="s">
        <v>5482</v>
      </c>
      <c r="B334" s="153" t="s">
        <v>777</v>
      </c>
      <c r="C334" s="29"/>
      <c r="D334" s="29"/>
      <c r="E334" s="116"/>
      <c r="F334" s="116"/>
      <c r="G334" s="116">
        <f>ROUND(E334-F334,0)</f>
        <v>0</v>
      </c>
      <c r="H334" s="116"/>
      <c r="I334" s="69"/>
    </row>
    <row r="335" spans="1:9" x14ac:dyDescent="0.25">
      <c r="A335" s="162" t="s">
        <v>5483</v>
      </c>
      <c r="B335" s="153" t="s">
        <v>780</v>
      </c>
      <c r="C335" s="29"/>
      <c r="D335" s="29"/>
      <c r="E335" s="116"/>
      <c r="F335" s="116"/>
      <c r="G335" s="116">
        <f>ROUND(E335-F335,0)</f>
        <v>0</v>
      </c>
      <c r="H335" s="116"/>
      <c r="I335" s="69"/>
    </row>
    <row r="336" spans="1:9" x14ac:dyDescent="0.25">
      <c r="A336" s="162" t="s">
        <v>5484</v>
      </c>
      <c r="B336" s="153" t="s">
        <v>796</v>
      </c>
      <c r="C336" s="29"/>
      <c r="D336" s="29"/>
      <c r="E336" s="116"/>
      <c r="F336" s="116"/>
      <c r="G336" s="116">
        <f>ROUND(E336-F336,0)</f>
        <v>0</v>
      </c>
      <c r="H336" s="116"/>
      <c r="I336" s="69"/>
    </row>
    <row r="337" spans="1:9" x14ac:dyDescent="0.25">
      <c r="A337" s="162" t="s">
        <v>5485</v>
      </c>
      <c r="B337" s="153" t="s">
        <v>1924</v>
      </c>
      <c r="C337" s="29"/>
      <c r="D337" s="29"/>
      <c r="E337" s="52"/>
      <c r="F337" s="52"/>
      <c r="G337" s="52"/>
      <c r="H337" s="52"/>
      <c r="I337" s="69"/>
    </row>
    <row r="338" spans="1:9" x14ac:dyDescent="0.25">
      <c r="A338" s="162"/>
      <c r="B338" s="153"/>
      <c r="C338" s="18"/>
      <c r="D338" s="18"/>
      <c r="E338" s="18"/>
      <c r="F338" s="18"/>
      <c r="G338" s="18"/>
      <c r="H338" s="18"/>
      <c r="I338" s="69"/>
    </row>
    <row r="339" spans="1:9" x14ac:dyDescent="0.25">
      <c r="A339" s="162"/>
      <c r="B339" s="153" t="s">
        <v>1925</v>
      </c>
      <c r="C339" s="18"/>
      <c r="D339" s="18"/>
      <c r="E339" s="18"/>
      <c r="F339" s="18"/>
      <c r="G339" s="18"/>
      <c r="H339" s="18"/>
      <c r="I339" s="69"/>
    </row>
    <row r="340" spans="1:9" x14ac:dyDescent="0.25">
      <c r="A340" s="162" t="s">
        <v>5486</v>
      </c>
      <c r="B340" s="153" t="s">
        <v>543</v>
      </c>
      <c r="C340" s="29"/>
      <c r="D340" s="29"/>
      <c r="E340" s="116"/>
      <c r="F340" s="116"/>
      <c r="G340" s="116">
        <f>ROUND(E340-F340,0)</f>
        <v>0</v>
      </c>
      <c r="H340" s="116"/>
      <c r="I340" s="69"/>
    </row>
    <row r="341" spans="1:9" x14ac:dyDescent="0.25">
      <c r="A341" s="162" t="s">
        <v>5487</v>
      </c>
      <c r="B341" s="153" t="s">
        <v>775</v>
      </c>
      <c r="C341" s="29"/>
      <c r="D341" s="29"/>
      <c r="E341" s="116"/>
      <c r="F341" s="116"/>
      <c r="G341" s="116">
        <f>ROUND(E341-F341,0)</f>
        <v>0</v>
      </c>
      <c r="H341" s="116"/>
      <c r="I341" s="69"/>
    </row>
    <row r="342" spans="1:9" x14ac:dyDescent="0.25">
      <c r="A342" s="162" t="s">
        <v>5488</v>
      </c>
      <c r="B342" s="153" t="s">
        <v>777</v>
      </c>
      <c r="C342" s="29"/>
      <c r="D342" s="29"/>
      <c r="E342" s="116"/>
      <c r="F342" s="116"/>
      <c r="G342" s="116">
        <f>ROUND(E342-F342,0)</f>
        <v>0</v>
      </c>
      <c r="H342" s="116"/>
      <c r="I342" s="69"/>
    </row>
    <row r="343" spans="1:9" x14ac:dyDescent="0.25">
      <c r="A343" s="162" t="s">
        <v>5489</v>
      </c>
      <c r="B343" s="153" t="s">
        <v>780</v>
      </c>
      <c r="C343" s="29"/>
      <c r="D343" s="29"/>
      <c r="E343" s="116"/>
      <c r="F343" s="116"/>
      <c r="G343" s="116">
        <f>ROUND(E343-F343,0)</f>
        <v>0</v>
      </c>
      <c r="H343" s="116"/>
      <c r="I343" s="69"/>
    </row>
    <row r="344" spans="1:9" x14ac:dyDescent="0.25">
      <c r="A344" s="162" t="s">
        <v>5490</v>
      </c>
      <c r="B344" s="153" t="s">
        <v>796</v>
      </c>
      <c r="C344" s="29"/>
      <c r="D344" s="29"/>
      <c r="E344" s="116"/>
      <c r="F344" s="116"/>
      <c r="G344" s="116">
        <f>ROUND(E344-F344,0)</f>
        <v>0</v>
      </c>
      <c r="H344" s="116"/>
      <c r="I344" s="69"/>
    </row>
    <row r="345" spans="1:9" x14ac:dyDescent="0.25">
      <c r="A345" s="162" t="s">
        <v>5491</v>
      </c>
      <c r="B345" s="153" t="s">
        <v>1924</v>
      </c>
      <c r="C345" s="29"/>
      <c r="D345" s="29"/>
      <c r="E345" s="52"/>
      <c r="F345" s="52"/>
      <c r="G345" s="52"/>
      <c r="H345" s="52"/>
      <c r="I345" s="69"/>
    </row>
    <row r="346" spans="1:9" ht="8.1" customHeight="1" x14ac:dyDescent="0.25">
      <c r="A346" s="70" t="s">
        <v>0</v>
      </c>
      <c r="B346" s="152"/>
      <c r="C346" s="70"/>
      <c r="D346" s="70"/>
      <c r="E346" s="70"/>
      <c r="F346" s="70"/>
      <c r="G346" s="70"/>
      <c r="H346" s="70"/>
      <c r="I346"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154"/>
  <sheetViews>
    <sheetView workbookViewId="0"/>
  </sheetViews>
  <sheetFormatPr defaultColWidth="11.5703125" defaultRowHeight="15" x14ac:dyDescent="0.25"/>
  <cols>
    <col min="1" max="1" width="14.28515625" style="107" customWidth="1"/>
    <col min="2" max="2" width="41" style="107" customWidth="1"/>
    <col min="3" max="3" width="20.7109375" style="107" customWidth="1"/>
    <col min="4" max="4" width="1.7109375" style="107" customWidth="1"/>
    <col min="5" max="16384" width="11.5703125" style="107"/>
  </cols>
  <sheetData>
    <row r="1" spans="1:4" x14ac:dyDescent="0.25">
      <c r="A1" s="42" t="s">
        <v>0</v>
      </c>
      <c r="B1" s="124" t="s">
        <v>5616</v>
      </c>
      <c r="C1" s="42"/>
      <c r="D1" s="69"/>
    </row>
    <row r="2" spans="1:4" x14ac:dyDescent="0.25">
      <c r="A2" s="78" t="s">
        <v>5597</v>
      </c>
      <c r="B2" s="78" t="s">
        <v>5598</v>
      </c>
      <c r="C2" s="78" t="s">
        <v>2689</v>
      </c>
      <c r="D2" s="69" t="s">
        <v>0</v>
      </c>
    </row>
    <row r="3" spans="1:4" x14ac:dyDescent="0.25">
      <c r="A3" s="163"/>
      <c r="B3" s="46" t="s">
        <v>0</v>
      </c>
      <c r="C3" s="47"/>
      <c r="D3" s="69"/>
    </row>
    <row r="4" spans="1:4" x14ac:dyDescent="0.25">
      <c r="A4" s="163"/>
      <c r="B4" s="51" t="s">
        <v>5626</v>
      </c>
      <c r="C4" s="47"/>
      <c r="D4" s="69"/>
    </row>
    <row r="5" spans="1:4" x14ac:dyDescent="0.25">
      <c r="A5" s="163"/>
      <c r="B5" s="18" t="s">
        <v>0</v>
      </c>
      <c r="C5" s="18"/>
      <c r="D5" s="69"/>
    </row>
    <row r="6" spans="1:4" ht="22.5" x14ac:dyDescent="0.25">
      <c r="A6" s="163"/>
      <c r="B6" s="129" t="s">
        <v>805</v>
      </c>
      <c r="C6" s="18"/>
      <c r="D6" s="69"/>
    </row>
    <row r="7" spans="1:4" x14ac:dyDescent="0.25">
      <c r="A7" s="163"/>
      <c r="B7" s="160"/>
      <c r="C7" s="18"/>
      <c r="D7" s="69"/>
    </row>
    <row r="8" spans="1:4" x14ac:dyDescent="0.25">
      <c r="A8" s="162" t="s">
        <v>2690</v>
      </c>
      <c r="B8" s="153" t="s">
        <v>2691</v>
      </c>
      <c r="C8" s="193">
        <f>ROUND('ANEXO 7'!AE15,0)</f>
        <v>0</v>
      </c>
      <c r="D8" s="69"/>
    </row>
    <row r="9" spans="1:4" x14ac:dyDescent="0.25">
      <c r="A9" s="162" t="s">
        <v>2692</v>
      </c>
      <c r="B9" s="153" t="s">
        <v>2693</v>
      </c>
      <c r="C9" s="193">
        <f>ROUND('ANEXO 1'!D182-'ANEXO 18'!C10,0)</f>
        <v>0</v>
      </c>
      <c r="D9" s="69"/>
    </row>
    <row r="10" spans="1:4" x14ac:dyDescent="0.25">
      <c r="A10" s="162" t="s">
        <v>2694</v>
      </c>
      <c r="B10" s="153" t="s">
        <v>2091</v>
      </c>
      <c r="C10" s="193">
        <f>ROUND('ANEXO 11'!C39,0)</f>
        <v>0</v>
      </c>
      <c r="D10" s="69"/>
    </row>
    <row r="11" spans="1:4" x14ac:dyDescent="0.25">
      <c r="A11" s="162" t="s">
        <v>2695</v>
      </c>
      <c r="B11" s="153" t="s">
        <v>2696</v>
      </c>
      <c r="C11" s="193">
        <f>ROUND(IF('ANEXO 11'!C35-'ANEXO 11'!C86&gt;0,'ANEXO 11'!C35-'ANEXO 11'!C86,0),0)</f>
        <v>0</v>
      </c>
      <c r="D11" s="69"/>
    </row>
    <row r="12" spans="1:4" x14ac:dyDescent="0.25">
      <c r="A12" s="162"/>
      <c r="B12" s="153"/>
      <c r="C12" s="18"/>
      <c r="D12" s="69"/>
    </row>
    <row r="13" spans="1:4" ht="22.5" x14ac:dyDescent="0.25">
      <c r="A13" s="162"/>
      <c r="B13" s="179" t="s">
        <v>5492</v>
      </c>
      <c r="C13" s="18"/>
      <c r="D13" s="69"/>
    </row>
    <row r="14" spans="1:4" x14ac:dyDescent="0.25">
      <c r="A14" s="162"/>
      <c r="B14" s="153"/>
      <c r="C14" s="18"/>
      <c r="D14" s="69"/>
    </row>
    <row r="15" spans="1:4" ht="22.5" x14ac:dyDescent="0.25">
      <c r="A15" s="162" t="s">
        <v>2697</v>
      </c>
      <c r="B15" s="153" t="s">
        <v>2698</v>
      </c>
      <c r="C15" s="193">
        <f>ROUND('ANEXO 11'!C29-'ANEXO 11'!C30+ROUND('ANEXO 15'!C76,0),0)</f>
        <v>0</v>
      </c>
      <c r="D15" s="69"/>
    </row>
    <row r="16" spans="1:4" ht="22.5" x14ac:dyDescent="0.25">
      <c r="A16" s="162" t="s">
        <v>2699</v>
      </c>
      <c r="B16" s="153" t="s">
        <v>2700</v>
      </c>
      <c r="C16" s="195">
        <f>TRUNC(IF(('ANEXO 11'!C42-'ANEXO 11'!C41-'ANEXO 11'!C59+'ANEXO 11'!C113)&gt;0,('ANEXO 11'!C42-'ANEXO 11'!C41-'ANEXO 11'!C59+'ANEXO 11'!C113)/('ANEXO 15'!C76-'ANEXO 15'!C48-'ANEXO 11'!C59),0),4)</f>
        <v>0</v>
      </c>
      <c r="D16" s="69"/>
    </row>
    <row r="17" spans="1:4" ht="22.5" x14ac:dyDescent="0.25">
      <c r="A17" s="162" t="s">
        <v>2701</v>
      </c>
      <c r="B17" s="153" t="s">
        <v>2702</v>
      </c>
      <c r="C17" s="193">
        <f>ROUND('ANEXO 5'!C34,0)</f>
        <v>0</v>
      </c>
      <c r="D17" s="69"/>
    </row>
    <row r="18" spans="1:4" ht="22.5" x14ac:dyDescent="0.25">
      <c r="A18" s="162" t="s">
        <v>2703</v>
      </c>
      <c r="B18" s="153" t="s">
        <v>2704</v>
      </c>
      <c r="C18" s="193">
        <f>ROUND('ANEXO 5'!C35,0)</f>
        <v>0</v>
      </c>
      <c r="D18" s="69"/>
    </row>
    <row r="19" spans="1:4" ht="22.5" x14ac:dyDescent="0.25">
      <c r="A19" s="162" t="s">
        <v>2705</v>
      </c>
      <c r="B19" s="153" t="s">
        <v>2706</v>
      </c>
      <c r="C19" s="116"/>
      <c r="D19" s="69"/>
    </row>
    <row r="20" spans="1:4" ht="22.5" x14ac:dyDescent="0.25">
      <c r="A20" s="162" t="s">
        <v>2707</v>
      </c>
      <c r="B20" s="153" t="s">
        <v>2708</v>
      </c>
      <c r="C20" s="116"/>
      <c r="D20" s="69"/>
    </row>
    <row r="21" spans="1:4" ht="22.5" x14ac:dyDescent="0.25">
      <c r="A21" s="162" t="s">
        <v>2709</v>
      </c>
      <c r="B21" s="153" t="s">
        <v>2710</v>
      </c>
      <c r="C21" s="116"/>
      <c r="D21" s="69"/>
    </row>
    <row r="22" spans="1:4" ht="56.25" x14ac:dyDescent="0.25">
      <c r="A22" s="162" t="s">
        <v>2711</v>
      </c>
      <c r="B22" s="153" t="s">
        <v>5493</v>
      </c>
      <c r="C22" s="116"/>
      <c r="D22" s="69"/>
    </row>
    <row r="23" spans="1:4" ht="45" x14ac:dyDescent="0.25">
      <c r="A23" s="162" t="s">
        <v>2712</v>
      </c>
      <c r="B23" s="153" t="s">
        <v>2713</v>
      </c>
      <c r="C23" s="116"/>
      <c r="D23" s="69"/>
    </row>
    <row r="24" spans="1:4" x14ac:dyDescent="0.25">
      <c r="A24" s="162" t="s">
        <v>2714</v>
      </c>
      <c r="B24" s="153" t="s">
        <v>2715</v>
      </c>
      <c r="C24" s="116"/>
      <c r="D24" s="69"/>
    </row>
    <row r="25" spans="1:4" x14ac:dyDescent="0.25">
      <c r="A25" s="162" t="s">
        <v>2716</v>
      </c>
      <c r="B25" s="153" t="s">
        <v>2717</v>
      </c>
      <c r="C25" s="116"/>
      <c r="D25" s="69"/>
    </row>
    <row r="26" spans="1:4" ht="22.5" x14ac:dyDescent="0.25">
      <c r="A26" s="162" t="s">
        <v>2718</v>
      </c>
      <c r="B26" s="153" t="s">
        <v>2719</v>
      </c>
      <c r="C26" s="116"/>
      <c r="D26" s="69"/>
    </row>
    <row r="27" spans="1:4" ht="22.5" x14ac:dyDescent="0.25">
      <c r="A27" s="162" t="s">
        <v>2720</v>
      </c>
      <c r="B27" s="153" t="s">
        <v>2721</v>
      </c>
      <c r="C27" s="116"/>
      <c r="D27" s="69"/>
    </row>
    <row r="28" spans="1:4" x14ac:dyDescent="0.25">
      <c r="A28" s="162"/>
      <c r="B28" s="153"/>
      <c r="C28" s="18"/>
      <c r="D28" s="69"/>
    </row>
    <row r="29" spans="1:4" ht="22.5" x14ac:dyDescent="0.25">
      <c r="A29" s="162"/>
      <c r="B29" s="179" t="s">
        <v>5494</v>
      </c>
      <c r="C29" s="18"/>
      <c r="D29" s="69"/>
    </row>
    <row r="30" spans="1:4" x14ac:dyDescent="0.25">
      <c r="A30" s="162"/>
      <c r="B30" s="153"/>
      <c r="C30" s="18"/>
      <c r="D30" s="69"/>
    </row>
    <row r="31" spans="1:4" x14ac:dyDescent="0.25">
      <c r="A31" s="162" t="s">
        <v>2722</v>
      </c>
      <c r="B31" s="153" t="s">
        <v>2723</v>
      </c>
      <c r="C31" s="116"/>
      <c r="D31" s="69"/>
    </row>
    <row r="32" spans="1:4" x14ac:dyDescent="0.25">
      <c r="A32" s="162"/>
      <c r="B32" s="153" t="s">
        <v>1267</v>
      </c>
      <c r="C32" s="18"/>
      <c r="D32" s="69"/>
    </row>
    <row r="33" spans="1:4" x14ac:dyDescent="0.25">
      <c r="A33" s="162" t="s">
        <v>2724</v>
      </c>
      <c r="B33" s="153" t="s">
        <v>2725</v>
      </c>
      <c r="C33" s="193">
        <f>'ANEXO 11'!C46</f>
        <v>0</v>
      </c>
      <c r="D33" s="69"/>
    </row>
    <row r="34" spans="1:4" x14ac:dyDescent="0.25">
      <c r="A34" s="162"/>
      <c r="B34" s="153" t="s">
        <v>890</v>
      </c>
      <c r="C34" s="18"/>
      <c r="D34" s="69"/>
    </row>
    <row r="35" spans="1:4" x14ac:dyDescent="0.25">
      <c r="A35" s="162" t="s">
        <v>2726</v>
      </c>
      <c r="B35" s="153" t="s">
        <v>2727</v>
      </c>
      <c r="C35" s="193">
        <f>'ANEXO 9'!E12-'ANEXO 9'!E30</f>
        <v>0</v>
      </c>
      <c r="D35" s="69"/>
    </row>
    <row r="36" spans="1:4" ht="33.75" x14ac:dyDescent="0.25">
      <c r="A36" s="162" t="s">
        <v>2728</v>
      </c>
      <c r="B36" s="153" t="s">
        <v>2729</v>
      </c>
      <c r="C36" s="193">
        <f>'ANEXO 11'!C70+'ANEXO 11'!C71+'ANEXO 11'!C72+'ANEXO 11'!C86+'ANEXO 11'!C87</f>
        <v>0</v>
      </c>
      <c r="D36" s="69"/>
    </row>
    <row r="37" spans="1:4" ht="33.75" x14ac:dyDescent="0.25">
      <c r="A37" s="162" t="s">
        <v>2730</v>
      </c>
      <c r="B37" s="153" t="s">
        <v>2731</v>
      </c>
      <c r="C37" s="116"/>
      <c r="D37" s="69"/>
    </row>
    <row r="38" spans="1:4" ht="45" x14ac:dyDescent="0.25">
      <c r="A38" s="162" t="s">
        <v>2732</v>
      </c>
      <c r="B38" s="153" t="s">
        <v>2733</v>
      </c>
      <c r="C38" s="116"/>
      <c r="D38" s="69"/>
    </row>
    <row r="39" spans="1:4" x14ac:dyDescent="0.25">
      <c r="A39" s="162"/>
      <c r="B39" s="153" t="s">
        <v>2640</v>
      </c>
      <c r="C39" s="18"/>
      <c r="D39" s="69"/>
    </row>
    <row r="40" spans="1:4" x14ac:dyDescent="0.25">
      <c r="A40" s="162" t="s">
        <v>2734</v>
      </c>
      <c r="B40" s="153" t="s">
        <v>2735</v>
      </c>
      <c r="C40" s="116">
        <f>IF(C33-C35-C36-C37-C38&gt;0,C33-C35-C36-C37-C38,0)</f>
        <v>0</v>
      </c>
      <c r="D40" s="69"/>
    </row>
    <row r="41" spans="1:4" ht="33.75" x14ac:dyDescent="0.25">
      <c r="A41" s="162" t="s">
        <v>2736</v>
      </c>
      <c r="B41" s="153" t="s">
        <v>2737</v>
      </c>
      <c r="C41" s="116">
        <f>IF(C33-C35-C36-C37-C38&lt;0,C33-C35-C36-C37-C38,0)</f>
        <v>0</v>
      </c>
      <c r="D41" s="69"/>
    </row>
    <row r="42" spans="1:4" x14ac:dyDescent="0.25">
      <c r="A42" s="162"/>
      <c r="B42" s="153" t="s">
        <v>1267</v>
      </c>
      <c r="C42" s="18"/>
      <c r="D42" s="69"/>
    </row>
    <row r="43" spans="1:4" x14ac:dyDescent="0.25">
      <c r="A43" s="162" t="s">
        <v>2738</v>
      </c>
      <c r="B43" s="153" t="s">
        <v>2739</v>
      </c>
      <c r="C43" s="116"/>
      <c r="D43" s="69"/>
    </row>
    <row r="44" spans="1:4" x14ac:dyDescent="0.25">
      <c r="A44" s="162"/>
      <c r="B44" s="153" t="s">
        <v>1267</v>
      </c>
      <c r="C44" s="18"/>
      <c r="D44" s="69"/>
    </row>
    <row r="45" spans="1:4" x14ac:dyDescent="0.25">
      <c r="A45" s="162" t="s">
        <v>2740</v>
      </c>
      <c r="B45" s="153" t="s">
        <v>1073</v>
      </c>
      <c r="C45" s="116"/>
      <c r="D45" s="69"/>
    </row>
    <row r="46" spans="1:4" x14ac:dyDescent="0.25">
      <c r="A46" s="162"/>
      <c r="B46" s="153" t="s">
        <v>890</v>
      </c>
      <c r="C46" s="18"/>
      <c r="D46" s="69"/>
    </row>
    <row r="47" spans="1:4" x14ac:dyDescent="0.25">
      <c r="A47" s="162" t="s">
        <v>2741</v>
      </c>
      <c r="B47" s="153" t="s">
        <v>1014</v>
      </c>
      <c r="C47" s="116"/>
      <c r="D47" s="69"/>
    </row>
    <row r="48" spans="1:4" x14ac:dyDescent="0.25">
      <c r="A48" s="162"/>
      <c r="B48" s="153"/>
      <c r="C48" s="18"/>
      <c r="D48" s="69"/>
    </row>
    <row r="49" spans="1:4" x14ac:dyDescent="0.25">
      <c r="A49" s="162"/>
      <c r="B49" s="153" t="s">
        <v>2742</v>
      </c>
      <c r="C49" s="18"/>
      <c r="D49" s="69"/>
    </row>
    <row r="50" spans="1:4" x14ac:dyDescent="0.25">
      <c r="A50" s="162"/>
      <c r="B50" s="153"/>
      <c r="C50" s="18"/>
      <c r="D50" s="69"/>
    </row>
    <row r="51" spans="1:4" x14ac:dyDescent="0.25">
      <c r="A51" s="184" t="s">
        <v>2743</v>
      </c>
      <c r="B51" s="190" t="s">
        <v>5322</v>
      </c>
      <c r="C51" s="116"/>
      <c r="D51" s="69"/>
    </row>
    <row r="52" spans="1:4" x14ac:dyDescent="0.25">
      <c r="A52" s="184" t="s">
        <v>2744</v>
      </c>
      <c r="B52" s="190" t="s">
        <v>5322</v>
      </c>
      <c r="C52" s="116"/>
      <c r="D52" s="69"/>
    </row>
    <row r="53" spans="1:4" x14ac:dyDescent="0.25">
      <c r="A53" s="184" t="s">
        <v>2745</v>
      </c>
      <c r="B53" s="190" t="s">
        <v>5322</v>
      </c>
      <c r="C53" s="116"/>
      <c r="D53" s="69"/>
    </row>
    <row r="54" spans="1:4" x14ac:dyDescent="0.25">
      <c r="A54" s="184" t="s">
        <v>2746</v>
      </c>
      <c r="B54" s="190" t="s">
        <v>5322</v>
      </c>
      <c r="C54" s="116"/>
      <c r="D54" s="69"/>
    </row>
    <row r="55" spans="1:4" x14ac:dyDescent="0.25">
      <c r="A55" s="184" t="s">
        <v>2747</v>
      </c>
      <c r="B55" s="190" t="s">
        <v>5322</v>
      </c>
      <c r="C55" s="116"/>
      <c r="D55" s="69"/>
    </row>
    <row r="56" spans="1:4" x14ac:dyDescent="0.25">
      <c r="A56" s="162"/>
      <c r="B56" s="153"/>
      <c r="C56" s="18"/>
      <c r="D56" s="69"/>
    </row>
    <row r="57" spans="1:4" ht="22.5" x14ac:dyDescent="0.25">
      <c r="A57" s="162" t="s">
        <v>2748</v>
      </c>
      <c r="B57" s="153" t="s">
        <v>5495</v>
      </c>
      <c r="C57" s="116">
        <f>C31+C40-C41+C43+C45-C47+C51+C52+C53+C54+C55</f>
        <v>0</v>
      </c>
      <c r="D57" s="69"/>
    </row>
    <row r="58" spans="1:4" x14ac:dyDescent="0.25">
      <c r="A58" s="162"/>
      <c r="B58" s="153"/>
      <c r="C58" s="18"/>
      <c r="D58" s="69"/>
    </row>
    <row r="59" spans="1:4" ht="22.5" x14ac:dyDescent="0.25">
      <c r="A59" s="162"/>
      <c r="B59" s="179" t="s">
        <v>5496</v>
      </c>
      <c r="C59" s="18"/>
      <c r="D59" s="69"/>
    </row>
    <row r="60" spans="1:4" x14ac:dyDescent="0.25">
      <c r="A60" s="162"/>
      <c r="B60" s="153"/>
      <c r="C60" s="18"/>
      <c r="D60" s="69"/>
    </row>
    <row r="61" spans="1:4" x14ac:dyDescent="0.25">
      <c r="A61" s="162" t="s">
        <v>2749</v>
      </c>
      <c r="B61" s="153" t="s">
        <v>2739</v>
      </c>
      <c r="C61" s="116"/>
      <c r="D61" s="69"/>
    </row>
    <row r="62" spans="1:4" x14ac:dyDescent="0.25">
      <c r="A62" s="162"/>
      <c r="B62" s="153" t="s">
        <v>1267</v>
      </c>
      <c r="C62" s="18"/>
      <c r="D62" s="69"/>
    </row>
    <row r="63" spans="1:4" x14ac:dyDescent="0.25">
      <c r="A63" s="162" t="s">
        <v>2750</v>
      </c>
      <c r="B63" s="153" t="s">
        <v>1073</v>
      </c>
      <c r="C63" s="116"/>
      <c r="D63" s="69"/>
    </row>
    <row r="64" spans="1:4" x14ac:dyDescent="0.25">
      <c r="A64" s="162"/>
      <c r="B64" s="153" t="s">
        <v>890</v>
      </c>
      <c r="C64" s="18"/>
      <c r="D64" s="69"/>
    </row>
    <row r="65" spans="1:4" x14ac:dyDescent="0.25">
      <c r="A65" s="162" t="s">
        <v>2751</v>
      </c>
      <c r="B65" s="153" t="s">
        <v>1014</v>
      </c>
      <c r="C65" s="116"/>
      <c r="D65" s="69"/>
    </row>
    <row r="66" spans="1:4" x14ac:dyDescent="0.25">
      <c r="A66" s="162"/>
      <c r="B66" s="153" t="s">
        <v>1267</v>
      </c>
      <c r="C66" s="18"/>
      <c r="D66" s="69"/>
    </row>
    <row r="67" spans="1:4" x14ac:dyDescent="0.25">
      <c r="A67" s="162" t="s">
        <v>2752</v>
      </c>
      <c r="B67" s="153" t="s">
        <v>5753</v>
      </c>
      <c r="C67" s="116"/>
      <c r="D67" s="69"/>
    </row>
    <row r="68" spans="1:4" x14ac:dyDescent="0.25">
      <c r="A68" s="162"/>
      <c r="B68" s="153"/>
      <c r="C68" s="18"/>
      <c r="D68" s="69"/>
    </row>
    <row r="69" spans="1:4" x14ac:dyDescent="0.25">
      <c r="A69" s="162"/>
      <c r="B69" s="153" t="s">
        <v>2742</v>
      </c>
      <c r="C69" s="18"/>
      <c r="D69" s="69"/>
    </row>
    <row r="70" spans="1:4" x14ac:dyDescent="0.25">
      <c r="A70" s="162"/>
      <c r="B70" s="153"/>
      <c r="C70" s="18"/>
      <c r="D70" s="69"/>
    </row>
    <row r="71" spans="1:4" x14ac:dyDescent="0.25">
      <c r="A71" s="184" t="s">
        <v>2753</v>
      </c>
      <c r="B71" s="190" t="s">
        <v>5322</v>
      </c>
      <c r="C71" s="116"/>
      <c r="D71" s="69"/>
    </row>
    <row r="72" spans="1:4" x14ac:dyDescent="0.25">
      <c r="A72" s="184" t="s">
        <v>2754</v>
      </c>
      <c r="B72" s="190" t="s">
        <v>5322</v>
      </c>
      <c r="C72" s="116"/>
      <c r="D72" s="69"/>
    </row>
    <row r="73" spans="1:4" x14ac:dyDescent="0.25">
      <c r="A73" s="184" t="s">
        <v>2755</v>
      </c>
      <c r="B73" s="190" t="s">
        <v>5322</v>
      </c>
      <c r="C73" s="116"/>
      <c r="D73" s="69"/>
    </row>
    <row r="74" spans="1:4" x14ac:dyDescent="0.25">
      <c r="A74" s="184" t="s">
        <v>2756</v>
      </c>
      <c r="B74" s="190" t="s">
        <v>5322</v>
      </c>
      <c r="C74" s="116"/>
      <c r="D74" s="69"/>
    </row>
    <row r="75" spans="1:4" x14ac:dyDescent="0.25">
      <c r="A75" s="184" t="s">
        <v>2757</v>
      </c>
      <c r="B75" s="190" t="s">
        <v>5322</v>
      </c>
      <c r="C75" s="116"/>
      <c r="D75" s="69"/>
    </row>
    <row r="76" spans="1:4" x14ac:dyDescent="0.25">
      <c r="A76" s="162"/>
      <c r="B76" s="153"/>
      <c r="C76" s="18"/>
      <c r="D76" s="69"/>
    </row>
    <row r="77" spans="1:4" ht="22.5" x14ac:dyDescent="0.25">
      <c r="A77" s="162" t="s">
        <v>2758</v>
      </c>
      <c r="B77" s="153" t="s">
        <v>2759</v>
      </c>
      <c r="C77" s="116">
        <f>C61+C63-C65+C67+C71+C72+C73+C74+C75</f>
        <v>0</v>
      </c>
      <c r="D77" s="69"/>
    </row>
    <row r="78" spans="1:4" x14ac:dyDescent="0.25">
      <c r="A78" s="162"/>
      <c r="B78" s="153"/>
      <c r="C78" s="18"/>
      <c r="D78" s="69"/>
    </row>
    <row r="79" spans="1:4" ht="22.5" x14ac:dyDescent="0.25">
      <c r="A79" s="162"/>
      <c r="B79" s="179" t="s">
        <v>5497</v>
      </c>
      <c r="C79" s="18"/>
      <c r="D79" s="69"/>
    </row>
    <row r="80" spans="1:4" x14ac:dyDescent="0.25">
      <c r="A80" s="162"/>
      <c r="B80" s="153"/>
      <c r="C80" s="18"/>
      <c r="D80" s="69"/>
    </row>
    <row r="81" spans="1:4" x14ac:dyDescent="0.25">
      <c r="A81" s="162" t="s">
        <v>2760</v>
      </c>
      <c r="B81" s="153" t="s">
        <v>2739</v>
      </c>
      <c r="C81" s="116"/>
      <c r="D81" s="69"/>
    </row>
    <row r="82" spans="1:4" x14ac:dyDescent="0.25">
      <c r="A82" s="162"/>
      <c r="B82" s="153" t="s">
        <v>1267</v>
      </c>
      <c r="C82" s="18"/>
      <c r="D82" s="69"/>
    </row>
    <row r="83" spans="1:4" x14ac:dyDescent="0.25">
      <c r="A83" s="162" t="s">
        <v>2761</v>
      </c>
      <c r="B83" s="153" t="s">
        <v>1073</v>
      </c>
      <c r="C83" s="116"/>
      <c r="D83" s="69"/>
    </row>
    <row r="84" spans="1:4" x14ac:dyDescent="0.25">
      <c r="A84" s="162"/>
      <c r="B84" s="153" t="s">
        <v>890</v>
      </c>
      <c r="C84" s="18"/>
      <c r="D84" s="69"/>
    </row>
    <row r="85" spans="1:4" x14ac:dyDescent="0.25">
      <c r="A85" s="162" t="s">
        <v>2762</v>
      </c>
      <c r="B85" s="153" t="s">
        <v>1014</v>
      </c>
      <c r="C85" s="116"/>
      <c r="D85" s="69"/>
    </row>
    <row r="86" spans="1:4" x14ac:dyDescent="0.25">
      <c r="A86" s="162"/>
      <c r="B86" s="153" t="s">
        <v>1267</v>
      </c>
      <c r="C86" s="18"/>
      <c r="D86" s="69"/>
    </row>
    <row r="87" spans="1:4" x14ac:dyDescent="0.25">
      <c r="A87" s="162" t="s">
        <v>2763</v>
      </c>
      <c r="B87" s="153" t="s">
        <v>5753</v>
      </c>
      <c r="C87" s="116"/>
      <c r="D87" s="69"/>
    </row>
    <row r="88" spans="1:4" x14ac:dyDescent="0.25">
      <c r="A88" s="162"/>
      <c r="B88" s="153"/>
      <c r="C88" s="18"/>
      <c r="D88" s="69"/>
    </row>
    <row r="89" spans="1:4" ht="33.75" x14ac:dyDescent="0.25">
      <c r="A89" s="162" t="s">
        <v>2764</v>
      </c>
      <c r="B89" s="153" t="s">
        <v>2765</v>
      </c>
      <c r="C89" s="116">
        <f>C81+C83-C85+C87</f>
        <v>0</v>
      </c>
      <c r="D89" s="69"/>
    </row>
    <row r="90" spans="1:4" x14ac:dyDescent="0.25">
      <c r="A90" s="162"/>
      <c r="B90" s="153"/>
      <c r="C90" s="18"/>
      <c r="D90" s="69"/>
    </row>
    <row r="91" spans="1:4" x14ac:dyDescent="0.25">
      <c r="A91" s="162"/>
      <c r="B91" s="179" t="s">
        <v>2766</v>
      </c>
      <c r="C91" s="18"/>
      <c r="D91" s="69"/>
    </row>
    <row r="92" spans="1:4" x14ac:dyDescent="0.25">
      <c r="A92" s="162"/>
      <c r="B92" s="153"/>
      <c r="C92" s="18"/>
      <c r="D92" s="69"/>
    </row>
    <row r="93" spans="1:4" x14ac:dyDescent="0.25">
      <c r="A93" s="162" t="s">
        <v>2767</v>
      </c>
      <c r="B93" s="153" t="s">
        <v>2768</v>
      </c>
      <c r="C93" s="116"/>
      <c r="D93" s="69"/>
    </row>
    <row r="94" spans="1:4" x14ac:dyDescent="0.25">
      <c r="A94" s="162" t="s">
        <v>2769</v>
      </c>
      <c r="B94" s="153" t="s">
        <v>1014</v>
      </c>
      <c r="C94" s="116"/>
      <c r="D94" s="69"/>
    </row>
    <row r="95" spans="1:4" x14ac:dyDescent="0.25">
      <c r="A95" s="162"/>
      <c r="B95" s="153" t="s">
        <v>1267</v>
      </c>
      <c r="C95" s="18"/>
      <c r="D95" s="69"/>
    </row>
    <row r="96" spans="1:4" x14ac:dyDescent="0.25">
      <c r="A96" s="162" t="s">
        <v>2770</v>
      </c>
      <c r="B96" s="153" t="s">
        <v>5753</v>
      </c>
      <c r="C96" s="116"/>
      <c r="D96" s="69"/>
    </row>
    <row r="97" spans="1:4" x14ac:dyDescent="0.25">
      <c r="A97" s="162"/>
      <c r="B97" s="153"/>
      <c r="C97" s="18"/>
      <c r="D97" s="69"/>
    </row>
    <row r="98" spans="1:4" x14ac:dyDescent="0.25">
      <c r="A98" s="162"/>
      <c r="B98" s="153" t="s">
        <v>2742</v>
      </c>
      <c r="C98" s="18"/>
      <c r="D98" s="69"/>
    </row>
    <row r="99" spans="1:4" x14ac:dyDescent="0.25">
      <c r="A99" s="162"/>
      <c r="B99" s="153"/>
      <c r="C99" s="18"/>
      <c r="D99" s="69"/>
    </row>
    <row r="100" spans="1:4" x14ac:dyDescent="0.25">
      <c r="A100" s="184" t="s">
        <v>2771</v>
      </c>
      <c r="B100" s="190" t="s">
        <v>5322</v>
      </c>
      <c r="C100" s="116"/>
      <c r="D100" s="69"/>
    </row>
    <row r="101" spans="1:4" x14ac:dyDescent="0.25">
      <c r="A101" s="184" t="s">
        <v>2772</v>
      </c>
      <c r="B101" s="190" t="s">
        <v>5322</v>
      </c>
      <c r="C101" s="116"/>
      <c r="D101" s="69"/>
    </row>
    <row r="102" spans="1:4" x14ac:dyDescent="0.25">
      <c r="A102" s="184" t="s">
        <v>2773</v>
      </c>
      <c r="B102" s="190" t="s">
        <v>5322</v>
      </c>
      <c r="C102" s="116"/>
      <c r="D102" s="69"/>
    </row>
    <row r="103" spans="1:4" x14ac:dyDescent="0.25">
      <c r="A103" s="184" t="s">
        <v>2774</v>
      </c>
      <c r="B103" s="190" t="s">
        <v>5322</v>
      </c>
      <c r="C103" s="116"/>
      <c r="D103" s="69"/>
    </row>
    <row r="104" spans="1:4" x14ac:dyDescent="0.25">
      <c r="A104" s="184" t="s">
        <v>2775</v>
      </c>
      <c r="B104" s="190" t="s">
        <v>5322</v>
      </c>
      <c r="C104" s="116"/>
      <c r="D104" s="69"/>
    </row>
    <row r="105" spans="1:4" x14ac:dyDescent="0.25">
      <c r="A105" s="162"/>
      <c r="B105" s="153"/>
      <c r="C105" s="18"/>
      <c r="D105" s="69"/>
    </row>
    <row r="106" spans="1:4" ht="22.5" x14ac:dyDescent="0.25">
      <c r="A106" s="162" t="s">
        <v>2776</v>
      </c>
      <c r="B106" s="153" t="s">
        <v>2777</v>
      </c>
      <c r="C106" s="116">
        <f>C93-C94+C96+C100+C101+C102+C103+C104</f>
        <v>0</v>
      </c>
      <c r="D106" s="69"/>
    </row>
    <row r="107" spans="1:4" x14ac:dyDescent="0.25">
      <c r="A107" s="162"/>
      <c r="B107" s="153"/>
      <c r="C107" s="18"/>
      <c r="D107" s="69"/>
    </row>
    <row r="108" spans="1:4" ht="22.5" x14ac:dyDescent="0.25">
      <c r="A108" s="162"/>
      <c r="B108" s="179" t="s">
        <v>5498</v>
      </c>
      <c r="C108" s="18"/>
      <c r="D108" s="69"/>
    </row>
    <row r="109" spans="1:4" x14ac:dyDescent="0.25">
      <c r="A109" s="162"/>
      <c r="B109" s="153"/>
      <c r="C109" s="18"/>
      <c r="D109" s="69"/>
    </row>
    <row r="110" spans="1:4" x14ac:dyDescent="0.25">
      <c r="A110" s="162" t="s">
        <v>2778</v>
      </c>
      <c r="B110" s="153" t="s">
        <v>2779</v>
      </c>
      <c r="C110" s="116">
        <f>C57+C77+C89</f>
        <v>0</v>
      </c>
      <c r="D110" s="69"/>
    </row>
    <row r="111" spans="1:4" x14ac:dyDescent="0.25">
      <c r="A111" s="162" t="s">
        <v>2780</v>
      </c>
      <c r="B111" s="153" t="s">
        <v>2766</v>
      </c>
      <c r="C111" s="116">
        <f>C106</f>
        <v>0</v>
      </c>
      <c r="D111" s="69"/>
    </row>
    <row r="112" spans="1:4" x14ac:dyDescent="0.25">
      <c r="A112" s="162" t="s">
        <v>2781</v>
      </c>
      <c r="B112" s="153" t="s">
        <v>2782</v>
      </c>
      <c r="C112" s="116"/>
      <c r="D112" s="69"/>
    </row>
    <row r="113" spans="1:4" ht="22.5" x14ac:dyDescent="0.25">
      <c r="A113" s="162" t="s">
        <v>2783</v>
      </c>
      <c r="B113" s="153" t="s">
        <v>2784</v>
      </c>
      <c r="C113" s="116"/>
      <c r="D113" s="69"/>
    </row>
    <row r="114" spans="1:4" x14ac:dyDescent="0.25">
      <c r="A114" s="162"/>
      <c r="B114" s="153"/>
      <c r="C114" s="18"/>
      <c r="D114" s="69"/>
    </row>
    <row r="115" spans="1:4" x14ac:dyDescent="0.25">
      <c r="A115" s="162"/>
      <c r="B115" s="179" t="s">
        <v>2785</v>
      </c>
      <c r="C115" s="18"/>
      <c r="D115" s="69"/>
    </row>
    <row r="116" spans="1:4" x14ac:dyDescent="0.25">
      <c r="A116" s="162"/>
      <c r="B116" s="153"/>
      <c r="C116" s="18"/>
      <c r="D116" s="69"/>
    </row>
    <row r="117" spans="1:4" ht="22.5" x14ac:dyDescent="0.25">
      <c r="A117" s="162" t="s">
        <v>2786</v>
      </c>
      <c r="B117" s="153" t="s">
        <v>2787</v>
      </c>
      <c r="C117" s="116"/>
      <c r="D117" s="69"/>
    </row>
    <row r="118" spans="1:4" ht="22.5" x14ac:dyDescent="0.25">
      <c r="A118" s="162" t="s">
        <v>2788</v>
      </c>
      <c r="B118" s="153" t="s">
        <v>2789</v>
      </c>
      <c r="C118" s="116"/>
      <c r="D118" s="69"/>
    </row>
    <row r="119" spans="1:4" x14ac:dyDescent="0.25">
      <c r="A119" s="162"/>
      <c r="B119" s="153"/>
      <c r="C119" s="18"/>
      <c r="D119" s="69"/>
    </row>
    <row r="120" spans="1:4" x14ac:dyDescent="0.25">
      <c r="A120" s="162"/>
      <c r="B120" s="179" t="s">
        <v>543</v>
      </c>
      <c r="C120" s="18"/>
      <c r="D120" s="69"/>
    </row>
    <row r="121" spans="1:4" x14ac:dyDescent="0.25">
      <c r="A121" s="162"/>
      <c r="B121" s="153"/>
      <c r="C121" s="18"/>
      <c r="D121" s="69"/>
    </row>
    <row r="122" spans="1:4" x14ac:dyDescent="0.25">
      <c r="A122" s="162" t="s">
        <v>2790</v>
      </c>
      <c r="B122" s="153" t="s">
        <v>2791</v>
      </c>
      <c r="C122" s="116"/>
      <c r="D122" s="69"/>
    </row>
    <row r="123" spans="1:4" ht="22.5" x14ac:dyDescent="0.25">
      <c r="A123" s="162" t="s">
        <v>2792</v>
      </c>
      <c r="B123" s="153" t="s">
        <v>2793</v>
      </c>
      <c r="C123" s="116"/>
      <c r="D123" s="69"/>
    </row>
    <row r="124" spans="1:4" ht="22.5" x14ac:dyDescent="0.25">
      <c r="A124" s="162" t="s">
        <v>2794</v>
      </c>
      <c r="B124" s="153" t="s">
        <v>2795</v>
      </c>
      <c r="C124" s="116"/>
      <c r="D124" s="69"/>
    </row>
    <row r="125" spans="1:4" x14ac:dyDescent="0.25">
      <c r="A125" s="162" t="s">
        <v>2796</v>
      </c>
      <c r="B125" s="153" t="s">
        <v>2797</v>
      </c>
      <c r="C125" s="116"/>
      <c r="D125" s="69"/>
    </row>
    <row r="126" spans="1:4" ht="22.5" x14ac:dyDescent="0.25">
      <c r="A126" s="162" t="s">
        <v>2798</v>
      </c>
      <c r="B126" s="153" t="s">
        <v>2799</v>
      </c>
      <c r="C126" s="116"/>
      <c r="D126" s="69"/>
    </row>
    <row r="127" spans="1:4" ht="22.5" x14ac:dyDescent="0.25">
      <c r="A127" s="162" t="s">
        <v>2800</v>
      </c>
      <c r="B127" s="153" t="s">
        <v>5754</v>
      </c>
      <c r="C127" s="116"/>
      <c r="D127" s="69"/>
    </row>
    <row r="128" spans="1:4" x14ac:dyDescent="0.25">
      <c r="A128" s="162" t="s">
        <v>2801</v>
      </c>
      <c r="B128" s="153" t="s">
        <v>2802</v>
      </c>
      <c r="C128" s="116"/>
      <c r="D128" s="69"/>
    </row>
    <row r="129" spans="1:4" x14ac:dyDescent="0.25">
      <c r="A129" s="162"/>
      <c r="B129" s="153"/>
      <c r="C129" s="18"/>
      <c r="D129" s="69"/>
    </row>
    <row r="130" spans="1:4" ht="22.5" x14ac:dyDescent="0.25">
      <c r="A130" s="162"/>
      <c r="B130" s="179" t="s">
        <v>782</v>
      </c>
      <c r="C130" s="18"/>
      <c r="D130" s="69"/>
    </row>
    <row r="131" spans="1:4" x14ac:dyDescent="0.25">
      <c r="A131" s="162"/>
      <c r="B131" s="153"/>
      <c r="C131" s="20"/>
      <c r="D131" s="69"/>
    </row>
    <row r="132" spans="1:4" x14ac:dyDescent="0.25">
      <c r="A132" s="162" t="s">
        <v>2803</v>
      </c>
      <c r="B132" s="153" t="s">
        <v>2804</v>
      </c>
      <c r="C132" s="116"/>
      <c r="D132" s="69"/>
    </row>
    <row r="133" spans="1:4" ht="22.5" x14ac:dyDescent="0.25">
      <c r="A133" s="162" t="s">
        <v>2805</v>
      </c>
      <c r="B133" s="153" t="s">
        <v>2806</v>
      </c>
      <c r="C133" s="116"/>
      <c r="D133" s="69"/>
    </row>
    <row r="134" spans="1:4" ht="22.5" x14ac:dyDescent="0.25">
      <c r="A134" s="162" t="s">
        <v>2807</v>
      </c>
      <c r="B134" s="153" t="s">
        <v>2808</v>
      </c>
      <c r="C134" s="116"/>
      <c r="D134" s="69"/>
    </row>
    <row r="135" spans="1:4" ht="33.75" x14ac:dyDescent="0.25">
      <c r="A135" s="162" t="s">
        <v>2809</v>
      </c>
      <c r="B135" s="153" t="s">
        <v>2810</v>
      </c>
      <c r="C135" s="91"/>
      <c r="D135" s="69"/>
    </row>
    <row r="136" spans="1:4" ht="22.5" x14ac:dyDescent="0.25">
      <c r="A136" s="162"/>
      <c r="B136" s="153" t="s">
        <v>2811</v>
      </c>
      <c r="C136" s="18"/>
      <c r="D136" s="69"/>
    </row>
    <row r="137" spans="1:4" ht="22.5" x14ac:dyDescent="0.25">
      <c r="A137" s="162" t="s">
        <v>2812</v>
      </c>
      <c r="B137" s="153" t="s">
        <v>2813</v>
      </c>
      <c r="C137" s="117"/>
      <c r="D137" s="69"/>
    </row>
    <row r="138" spans="1:4" ht="22.5" x14ac:dyDescent="0.25">
      <c r="A138" s="162" t="s">
        <v>2814</v>
      </c>
      <c r="B138" s="153" t="s">
        <v>2815</v>
      </c>
      <c r="C138" s="117"/>
      <c r="D138" s="69"/>
    </row>
    <row r="139" spans="1:4" ht="22.5" x14ac:dyDescent="0.25">
      <c r="A139" s="162" t="s">
        <v>2816</v>
      </c>
      <c r="B139" s="153" t="s">
        <v>2817</v>
      </c>
      <c r="C139" s="117"/>
      <c r="D139" s="69"/>
    </row>
    <row r="140" spans="1:4" x14ac:dyDescent="0.25">
      <c r="A140" s="162"/>
      <c r="B140" s="153"/>
      <c r="C140" s="18"/>
      <c r="D140" s="69"/>
    </row>
    <row r="141" spans="1:4" x14ac:dyDescent="0.25">
      <c r="A141" s="162"/>
      <c r="B141" s="179" t="s">
        <v>2818</v>
      </c>
      <c r="C141" s="18"/>
      <c r="D141" s="69"/>
    </row>
    <row r="142" spans="1:4" x14ac:dyDescent="0.25">
      <c r="A142" s="162"/>
      <c r="B142" s="153"/>
      <c r="C142" s="18"/>
      <c r="D142" s="69"/>
    </row>
    <row r="143" spans="1:4" ht="33.75" x14ac:dyDescent="0.25">
      <c r="A143" s="162" t="s">
        <v>2819</v>
      </c>
      <c r="B143" s="153" t="s">
        <v>2820</v>
      </c>
      <c r="C143" s="92"/>
      <c r="D143" s="69"/>
    </row>
    <row r="144" spans="1:4" x14ac:dyDescent="0.25">
      <c r="A144" s="162"/>
      <c r="B144" s="153"/>
      <c r="C144" s="18"/>
      <c r="D144" s="69"/>
    </row>
    <row r="145" spans="1:4" ht="33.75" x14ac:dyDescent="0.25">
      <c r="A145" s="162"/>
      <c r="B145" s="180" t="s">
        <v>2821</v>
      </c>
      <c r="C145" s="18"/>
      <c r="D145" s="69"/>
    </row>
    <row r="146" spans="1:4" x14ac:dyDescent="0.25">
      <c r="A146" s="162"/>
      <c r="B146" s="153"/>
      <c r="C146" s="18"/>
      <c r="D146" s="69"/>
    </row>
    <row r="147" spans="1:4" ht="45" x14ac:dyDescent="0.25">
      <c r="A147" s="162" t="s">
        <v>2822</v>
      </c>
      <c r="B147" s="153" t="s">
        <v>2823</v>
      </c>
      <c r="C147" s="116"/>
      <c r="D147" s="69"/>
    </row>
    <row r="148" spans="1:4" ht="56.25" x14ac:dyDescent="0.25">
      <c r="A148" s="162" t="s">
        <v>2824</v>
      </c>
      <c r="B148" s="153" t="s">
        <v>2825</v>
      </c>
      <c r="C148" s="110"/>
      <c r="D148" s="69"/>
    </row>
    <row r="149" spans="1:4" x14ac:dyDescent="0.25">
      <c r="A149" s="162"/>
      <c r="B149" s="153"/>
      <c r="C149" s="18"/>
      <c r="D149" s="69"/>
    </row>
    <row r="150" spans="1:4" x14ac:dyDescent="0.25">
      <c r="A150" s="162"/>
      <c r="B150" s="179" t="s">
        <v>1618</v>
      </c>
      <c r="C150" s="18"/>
      <c r="D150" s="69"/>
    </row>
    <row r="151" spans="1:4" x14ac:dyDescent="0.25">
      <c r="A151" s="162"/>
      <c r="B151" s="153"/>
      <c r="C151" s="18"/>
      <c r="D151" s="69"/>
    </row>
    <row r="152" spans="1:4" ht="22.5" x14ac:dyDescent="0.25">
      <c r="A152" s="162" t="s">
        <v>2826</v>
      </c>
      <c r="B152" s="153" t="s">
        <v>2827</v>
      </c>
      <c r="C152" s="116"/>
      <c r="D152" s="69"/>
    </row>
    <row r="153" spans="1:4" ht="22.5" x14ac:dyDescent="0.25">
      <c r="A153" s="162" t="s">
        <v>2828</v>
      </c>
      <c r="B153" s="153" t="s">
        <v>2829</v>
      </c>
      <c r="C153" s="116"/>
      <c r="D153" s="69"/>
    </row>
    <row r="154" spans="1:4" ht="8.1" customHeight="1" x14ac:dyDescent="0.25">
      <c r="A154" s="70" t="s">
        <v>0</v>
      </c>
      <c r="B154" s="152"/>
      <c r="C154" s="70"/>
      <c r="D154" s="69"/>
    </row>
  </sheetData>
  <sheetProtection password="C9D6" sheet="1" objects="1" scenarios="1"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C135 C148 C143">
      <formula1>CATALOGCOLUMNFILTERED7</formula1>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3"/>
  <sheetViews>
    <sheetView workbookViewId="0"/>
  </sheetViews>
  <sheetFormatPr defaultColWidth="11.5703125" defaultRowHeight="15" x14ac:dyDescent="0.25"/>
  <cols>
    <col min="1" max="1" width="14.28515625" style="107" customWidth="1"/>
    <col min="2" max="2" width="35.7109375" style="107" customWidth="1"/>
    <col min="3" max="4" width="30.7109375" style="107" customWidth="1"/>
    <col min="5" max="5" width="18.7109375" style="107" customWidth="1"/>
    <col min="6" max="6" width="30.7109375" style="107" customWidth="1"/>
    <col min="7" max="7" width="18.7109375" style="107" customWidth="1"/>
    <col min="8" max="8" width="30.7109375" style="107" customWidth="1"/>
    <col min="9" max="12" width="18.7109375" style="107" customWidth="1"/>
    <col min="13" max="13" width="1.7109375" style="107" customWidth="1"/>
    <col min="14" max="16384" width="11.5703125" style="107"/>
  </cols>
  <sheetData>
    <row r="1" spans="1:13" ht="34.5" x14ac:dyDescent="0.25">
      <c r="A1" s="42" t="s">
        <v>0</v>
      </c>
      <c r="B1" s="122" t="s">
        <v>5617</v>
      </c>
      <c r="C1" s="42"/>
      <c r="D1" s="42"/>
      <c r="E1" s="42" t="s">
        <v>0</v>
      </c>
      <c r="F1" s="42" t="s">
        <v>0</v>
      </c>
      <c r="G1" s="42" t="s">
        <v>0</v>
      </c>
      <c r="H1" s="42" t="s">
        <v>0</v>
      </c>
      <c r="I1" s="42" t="s">
        <v>0</v>
      </c>
      <c r="J1" s="42" t="s">
        <v>0</v>
      </c>
      <c r="K1" s="42" t="s">
        <v>0</v>
      </c>
      <c r="L1" s="42" t="s">
        <v>0</v>
      </c>
      <c r="M1" s="69" t="s">
        <v>0</v>
      </c>
    </row>
    <row r="2" spans="1:13" ht="67.5" x14ac:dyDescent="0.25">
      <c r="A2" s="121" t="s">
        <v>5597</v>
      </c>
      <c r="B2" s="121" t="s">
        <v>5598</v>
      </c>
      <c r="C2" s="45" t="s">
        <v>2237</v>
      </c>
      <c r="D2" s="45" t="s">
        <v>2238</v>
      </c>
      <c r="E2" s="45" t="s">
        <v>2239</v>
      </c>
      <c r="F2" s="45" t="s">
        <v>2240</v>
      </c>
      <c r="G2" s="45" t="s">
        <v>2241</v>
      </c>
      <c r="H2" s="45" t="s">
        <v>2242</v>
      </c>
      <c r="I2" s="45" t="s">
        <v>2243</v>
      </c>
      <c r="J2" s="45" t="s">
        <v>2244</v>
      </c>
      <c r="K2" s="45" t="s">
        <v>2245</v>
      </c>
      <c r="L2" s="45" t="s">
        <v>2246</v>
      </c>
      <c r="M2" s="69" t="s">
        <v>0</v>
      </c>
    </row>
    <row r="3" spans="1:13" x14ac:dyDescent="0.25">
      <c r="A3" s="163"/>
      <c r="B3" s="46" t="s">
        <v>0</v>
      </c>
      <c r="C3" s="47"/>
      <c r="D3" s="47"/>
      <c r="E3" s="47"/>
      <c r="F3" s="47"/>
      <c r="G3" s="47"/>
      <c r="H3" s="47"/>
      <c r="I3" s="47"/>
      <c r="J3" s="47"/>
      <c r="K3" s="47"/>
      <c r="L3" s="47"/>
      <c r="M3" s="69"/>
    </row>
    <row r="4" spans="1:13" x14ac:dyDescent="0.25">
      <c r="A4" s="163"/>
      <c r="B4" s="48" t="s">
        <v>5626</v>
      </c>
      <c r="C4" s="47"/>
      <c r="D4" s="47"/>
      <c r="E4" s="47"/>
      <c r="F4" s="47"/>
      <c r="G4" s="47"/>
      <c r="H4" s="47"/>
      <c r="I4" s="47"/>
      <c r="J4" s="47"/>
      <c r="K4" s="47"/>
      <c r="L4" s="47"/>
      <c r="M4" s="69"/>
    </row>
    <row r="5" spans="1:13" x14ac:dyDescent="0.25">
      <c r="A5" s="163"/>
      <c r="B5" s="27" t="s">
        <v>0</v>
      </c>
      <c r="C5" s="47"/>
      <c r="D5" s="47"/>
      <c r="E5" s="47"/>
      <c r="F5" s="47"/>
      <c r="G5" s="47"/>
      <c r="H5" s="47"/>
      <c r="I5" s="47"/>
      <c r="J5" s="47"/>
      <c r="K5" s="47"/>
      <c r="L5" s="47"/>
      <c r="M5" s="69"/>
    </row>
    <row r="6" spans="1:13" ht="56.25" x14ac:dyDescent="0.25">
      <c r="A6" s="163"/>
      <c r="B6" s="20" t="s">
        <v>5639</v>
      </c>
      <c r="C6" s="71"/>
      <c r="D6" s="47"/>
      <c r="E6" s="47"/>
      <c r="F6" s="47"/>
      <c r="G6" s="47"/>
      <c r="H6" s="47"/>
      <c r="I6" s="47"/>
      <c r="J6" s="47"/>
      <c r="K6" s="47"/>
      <c r="L6" s="47"/>
      <c r="M6" s="69"/>
    </row>
    <row r="7" spans="1:13" x14ac:dyDescent="0.25">
      <c r="A7" s="163"/>
      <c r="B7" s="27" t="s">
        <v>0</v>
      </c>
      <c r="C7" s="47"/>
      <c r="D7" s="47"/>
      <c r="E7" s="47"/>
      <c r="F7" s="47"/>
      <c r="G7" s="47"/>
      <c r="H7" s="47"/>
      <c r="I7" s="47"/>
      <c r="J7" s="47"/>
      <c r="K7" s="47"/>
      <c r="L7" s="47"/>
      <c r="M7" s="69"/>
    </row>
    <row r="8" spans="1:13" ht="22.5" x14ac:dyDescent="0.25">
      <c r="A8" s="163"/>
      <c r="B8" s="136" t="s">
        <v>5640</v>
      </c>
      <c r="C8" s="18"/>
      <c r="D8" s="18"/>
      <c r="E8" s="18"/>
      <c r="F8" s="18"/>
      <c r="G8" s="18"/>
      <c r="H8" s="18"/>
      <c r="I8" s="18"/>
      <c r="J8" s="18"/>
      <c r="K8" s="18"/>
      <c r="L8" s="18"/>
      <c r="M8" s="69"/>
    </row>
    <row r="9" spans="1:13" x14ac:dyDescent="0.25">
      <c r="A9" s="163"/>
      <c r="B9" s="160"/>
      <c r="C9" s="18"/>
      <c r="D9" s="18"/>
      <c r="E9" s="18"/>
      <c r="F9" s="18"/>
      <c r="G9" s="18"/>
      <c r="H9" s="18"/>
      <c r="I9" s="18"/>
      <c r="J9" s="18"/>
      <c r="K9" s="18"/>
      <c r="L9" s="18"/>
      <c r="M9" s="69"/>
    </row>
    <row r="10" spans="1:13" x14ac:dyDescent="0.25">
      <c r="A10" s="184" t="s">
        <v>2247</v>
      </c>
      <c r="B10" s="190" t="s">
        <v>5322</v>
      </c>
      <c r="C10" s="85"/>
      <c r="D10" s="86"/>
      <c r="E10" s="85"/>
      <c r="F10" s="85"/>
      <c r="G10" s="61"/>
      <c r="H10" s="86"/>
      <c r="I10" s="85"/>
      <c r="J10" s="85"/>
      <c r="K10" s="85"/>
      <c r="L10" s="86"/>
      <c r="M10" s="69"/>
    </row>
    <row r="11" spans="1:13" x14ac:dyDescent="0.25">
      <c r="A11" s="162"/>
      <c r="B11" s="153"/>
      <c r="C11" s="18"/>
      <c r="D11" s="18"/>
      <c r="E11" s="18"/>
      <c r="F11" s="18"/>
      <c r="G11" s="18"/>
      <c r="H11" s="18"/>
      <c r="I11" s="18"/>
      <c r="J11" s="18"/>
      <c r="K11" s="18"/>
      <c r="L11" s="18"/>
      <c r="M11" s="69"/>
    </row>
    <row r="12" spans="1:13" x14ac:dyDescent="0.25">
      <c r="A12" s="162" t="s">
        <v>2248</v>
      </c>
      <c r="B12" s="153" t="s">
        <v>905</v>
      </c>
      <c r="C12" s="29"/>
      <c r="D12" s="29"/>
      <c r="E12" s="29"/>
      <c r="F12" s="29"/>
      <c r="G12" s="54">
        <f>SUM(G10:G11)</f>
        <v>0</v>
      </c>
      <c r="H12" s="29"/>
      <c r="I12" s="29"/>
      <c r="J12" s="29"/>
      <c r="K12" s="29"/>
      <c r="L12" s="29"/>
      <c r="M12" s="69"/>
    </row>
    <row r="13" spans="1:13" ht="8.1" customHeight="1" x14ac:dyDescent="0.25">
      <c r="A13" s="70" t="s">
        <v>0</v>
      </c>
      <c r="B13" s="152"/>
      <c r="C13" s="70"/>
      <c r="D13" s="70"/>
      <c r="E13" s="70"/>
      <c r="F13" s="70"/>
      <c r="G13" s="70"/>
      <c r="H13" s="70"/>
      <c r="I13" s="70"/>
      <c r="J13" s="70"/>
      <c r="K13" s="70"/>
      <c r="L13" s="70"/>
      <c r="M13" s="69"/>
    </row>
  </sheetData>
  <sheetProtection password="C9D6" sheet="1" objects="1" scenarios="1" formatCells="0" formatColumns="0" formatRows="0" autoFilter="0"/>
  <dataValidations count="3">
    <dataValidation type="list" allowBlank="1" showInputMessage="1" showErrorMessage="1" errorTitle="SAT" error="El valor seleccionado no existe en la lista, por favor selecione una opción Válida" promptTitle="Seleccione un valor de la lista" prompt="SAT" sqref="L1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13"/>
  <sheetViews>
    <sheetView workbookViewId="0"/>
  </sheetViews>
  <sheetFormatPr defaultColWidth="11.5703125" defaultRowHeight="15" x14ac:dyDescent="0.25"/>
  <cols>
    <col min="1" max="1" width="14.28515625" style="107" customWidth="1"/>
    <col min="2" max="2" width="35.7109375" style="107" customWidth="1"/>
    <col min="3" max="4" width="30.7109375" style="107" customWidth="1"/>
    <col min="5" max="9" width="18.7109375" style="107" customWidth="1"/>
    <col min="10" max="10" width="1.7109375" style="107" customWidth="1"/>
    <col min="11" max="16384" width="11.5703125" style="107"/>
  </cols>
  <sheetData>
    <row r="1" spans="1:10" ht="34.5" x14ac:dyDescent="0.25">
      <c r="A1" s="42" t="s">
        <v>0</v>
      </c>
      <c r="B1" s="122" t="s">
        <v>5618</v>
      </c>
      <c r="C1" s="42"/>
      <c r="D1" s="42"/>
      <c r="E1" s="42" t="s">
        <v>0</v>
      </c>
      <c r="F1" s="42" t="s">
        <v>0</v>
      </c>
      <c r="G1" s="42" t="s">
        <v>0</v>
      </c>
      <c r="H1" s="42" t="s">
        <v>0</v>
      </c>
      <c r="I1" s="42" t="s">
        <v>0</v>
      </c>
      <c r="J1" s="69" t="s">
        <v>0</v>
      </c>
    </row>
    <row r="2" spans="1:10" ht="78.75" x14ac:dyDescent="0.25">
      <c r="A2" s="43" t="s">
        <v>5597</v>
      </c>
      <c r="B2" s="43" t="s">
        <v>5598</v>
      </c>
      <c r="C2" s="45" t="s">
        <v>2249</v>
      </c>
      <c r="D2" s="45" t="s">
        <v>2250</v>
      </c>
      <c r="E2" s="45" t="s">
        <v>2251</v>
      </c>
      <c r="F2" s="45" t="s">
        <v>2252</v>
      </c>
      <c r="G2" s="45" t="s">
        <v>2253</v>
      </c>
      <c r="H2" s="45" t="s">
        <v>2254</v>
      </c>
      <c r="I2" s="45" t="s">
        <v>2255</v>
      </c>
      <c r="J2" s="69" t="s">
        <v>0</v>
      </c>
    </row>
    <row r="3" spans="1:10" x14ac:dyDescent="0.25">
      <c r="A3" s="163"/>
      <c r="B3" s="46" t="s">
        <v>0</v>
      </c>
      <c r="C3" s="47"/>
      <c r="D3" s="47"/>
      <c r="E3" s="47"/>
      <c r="F3" s="47"/>
      <c r="G3" s="47"/>
      <c r="H3" s="47"/>
      <c r="I3" s="47"/>
      <c r="J3" s="69"/>
    </row>
    <row r="4" spans="1:10" x14ac:dyDescent="0.25">
      <c r="A4" s="163"/>
      <c r="B4" s="137" t="s">
        <v>5626</v>
      </c>
      <c r="C4" s="47"/>
      <c r="D4" s="47"/>
      <c r="E4" s="47"/>
      <c r="F4" s="47"/>
      <c r="G4" s="47"/>
      <c r="H4" s="47"/>
      <c r="I4" s="47"/>
      <c r="J4" s="69"/>
    </row>
    <row r="5" spans="1:10" x14ac:dyDescent="0.25">
      <c r="A5" s="163"/>
      <c r="B5" s="50" t="s">
        <v>0</v>
      </c>
      <c r="C5" s="47"/>
      <c r="D5" s="47"/>
      <c r="E5" s="47"/>
      <c r="F5" s="47"/>
      <c r="G5" s="47"/>
      <c r="H5" s="47"/>
      <c r="I5" s="47"/>
      <c r="J5" s="69"/>
    </row>
    <row r="6" spans="1:10" ht="56.25" x14ac:dyDescent="0.25">
      <c r="A6" s="163"/>
      <c r="B6" s="20" t="s">
        <v>5641</v>
      </c>
      <c r="C6" s="47"/>
      <c r="D6" s="47"/>
      <c r="E6" s="47"/>
      <c r="F6" s="47"/>
      <c r="G6" s="47"/>
      <c r="H6" s="47"/>
      <c r="I6" s="47"/>
      <c r="J6" s="69"/>
    </row>
    <row r="7" spans="1:10" x14ac:dyDescent="0.25">
      <c r="A7" s="163"/>
      <c r="B7" s="28" t="s">
        <v>0</v>
      </c>
      <c r="C7" s="18"/>
      <c r="D7" s="18"/>
      <c r="E7" s="18"/>
      <c r="F7" s="18"/>
      <c r="G7" s="18"/>
      <c r="H7" s="18"/>
      <c r="I7" s="18"/>
      <c r="J7" s="69"/>
    </row>
    <row r="8" spans="1:10" ht="22.5" x14ac:dyDescent="0.25">
      <c r="A8" s="163"/>
      <c r="B8" s="129" t="s">
        <v>5642</v>
      </c>
      <c r="C8" s="18"/>
      <c r="D8" s="18"/>
      <c r="E8" s="18"/>
      <c r="F8" s="18"/>
      <c r="G8" s="18"/>
      <c r="H8" s="18"/>
      <c r="I8" s="18"/>
      <c r="J8" s="69"/>
    </row>
    <row r="9" spans="1:10" x14ac:dyDescent="0.25">
      <c r="A9" s="163"/>
      <c r="B9" s="160"/>
      <c r="C9" s="18"/>
      <c r="D9" s="18"/>
      <c r="E9" s="18"/>
      <c r="F9" s="18"/>
      <c r="G9" s="18"/>
      <c r="H9" s="18"/>
      <c r="I9" s="18"/>
      <c r="J9" s="69"/>
    </row>
    <row r="10" spans="1:10" x14ac:dyDescent="0.25">
      <c r="A10" s="184" t="s">
        <v>2256</v>
      </c>
      <c r="B10" s="190" t="s">
        <v>5322</v>
      </c>
      <c r="C10" s="85"/>
      <c r="D10" s="86"/>
      <c r="E10" s="87"/>
      <c r="F10" s="61"/>
      <c r="G10" s="61"/>
      <c r="H10" s="61"/>
      <c r="I10" s="61"/>
      <c r="J10" s="69"/>
    </row>
    <row r="11" spans="1:10" x14ac:dyDescent="0.25">
      <c r="A11" s="162"/>
      <c r="B11" s="153"/>
      <c r="C11" s="18"/>
      <c r="D11" s="18"/>
      <c r="E11" s="18"/>
      <c r="F11" s="18"/>
      <c r="G11" s="18"/>
      <c r="H11" s="18"/>
      <c r="I11" s="18"/>
      <c r="J11" s="69"/>
    </row>
    <row r="12" spans="1:10" x14ac:dyDescent="0.25">
      <c r="A12" s="162" t="s">
        <v>2257</v>
      </c>
      <c r="B12" s="153" t="s">
        <v>905</v>
      </c>
      <c r="C12" s="29"/>
      <c r="D12" s="29"/>
      <c r="E12" s="29"/>
      <c r="F12" s="54">
        <f>ROUND(SUM(F10:F11),0)</f>
        <v>0</v>
      </c>
      <c r="G12" s="54">
        <f>ROUND(SUM(G10:G11),0)</f>
        <v>0</v>
      </c>
      <c r="H12" s="54">
        <f>ROUND(SUM(H10:H11),0)</f>
        <v>0</v>
      </c>
      <c r="I12" s="54">
        <f>ROUND(SUM(I10:I11),0)</f>
        <v>0</v>
      </c>
      <c r="J12" s="69"/>
    </row>
    <row r="13" spans="1:10" ht="8.1" customHeight="1" x14ac:dyDescent="0.25">
      <c r="A13" s="70" t="s">
        <v>0</v>
      </c>
      <c r="B13" s="152"/>
      <c r="C13" s="70"/>
      <c r="D13" s="70"/>
      <c r="E13" s="70"/>
      <c r="F13" s="70"/>
      <c r="G13" s="70"/>
      <c r="H13" s="70"/>
      <c r="I13" s="70"/>
      <c r="J13" s="69"/>
    </row>
  </sheetData>
  <sheetProtection password="C9D6" sheet="1" objects="1" scenarios="1"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K23"/>
  <sheetViews>
    <sheetView workbookViewId="0"/>
  </sheetViews>
  <sheetFormatPr defaultColWidth="11.5703125" defaultRowHeight="15" x14ac:dyDescent="0.25"/>
  <cols>
    <col min="1" max="1" width="14.28515625" style="107" customWidth="1"/>
    <col min="2" max="2" width="35.7109375" style="107" customWidth="1"/>
    <col min="3" max="4" width="30.7109375" style="107" customWidth="1"/>
    <col min="5" max="5" width="42.42578125" style="107" customWidth="1"/>
    <col min="6" max="6" width="30.7109375" style="107" customWidth="1"/>
    <col min="7" max="7" width="18.7109375" style="107" customWidth="1"/>
    <col min="8" max="8" width="30.7109375" style="107" customWidth="1"/>
    <col min="9" max="10" width="18.7109375" style="107" customWidth="1"/>
    <col min="11" max="11" width="1.7109375" style="107" customWidth="1"/>
    <col min="12" max="16384" width="11.5703125" style="107"/>
  </cols>
  <sheetData>
    <row r="1" spans="1:11" ht="22.5" x14ac:dyDescent="0.25">
      <c r="A1" s="42" t="s">
        <v>0</v>
      </c>
      <c r="B1" s="125" t="s">
        <v>5619</v>
      </c>
      <c r="C1" s="42"/>
      <c r="D1" s="42"/>
      <c r="E1" s="42" t="s">
        <v>0</v>
      </c>
      <c r="F1" s="42" t="s">
        <v>0</v>
      </c>
      <c r="G1" s="42" t="s">
        <v>0</v>
      </c>
      <c r="H1" s="42" t="s">
        <v>0</v>
      </c>
      <c r="I1" s="42" t="s">
        <v>0</v>
      </c>
      <c r="J1" s="42" t="s">
        <v>0</v>
      </c>
      <c r="K1" s="69" t="s">
        <v>0</v>
      </c>
    </row>
    <row r="2" spans="1:11" ht="90" x14ac:dyDescent="0.25">
      <c r="A2" s="121" t="s">
        <v>5597</v>
      </c>
      <c r="B2" s="121" t="s">
        <v>5598</v>
      </c>
      <c r="C2" s="45" t="s">
        <v>2381</v>
      </c>
      <c r="D2" s="45" t="s">
        <v>2382</v>
      </c>
      <c r="E2" s="88" t="s">
        <v>2383</v>
      </c>
      <c r="F2" s="45" t="s">
        <v>2384</v>
      </c>
      <c r="G2" s="45" t="s">
        <v>2385</v>
      </c>
      <c r="H2" s="45" t="s">
        <v>2386</v>
      </c>
      <c r="I2" s="45" t="s">
        <v>2387</v>
      </c>
      <c r="J2" s="45" t="s">
        <v>2388</v>
      </c>
      <c r="K2" s="69" t="s">
        <v>0</v>
      </c>
    </row>
    <row r="3" spans="1:11" x14ac:dyDescent="0.25">
      <c r="A3" s="163"/>
      <c r="B3" s="46" t="s">
        <v>0</v>
      </c>
      <c r="C3" s="47"/>
      <c r="D3" s="47"/>
      <c r="E3" s="47"/>
      <c r="F3" s="47"/>
      <c r="G3" s="47"/>
      <c r="H3" s="47"/>
      <c r="I3" s="47"/>
      <c r="J3" s="47"/>
      <c r="K3" s="69"/>
    </row>
    <row r="4" spans="1:11" x14ac:dyDescent="0.25">
      <c r="A4" s="163"/>
      <c r="B4" s="51" t="s">
        <v>5626</v>
      </c>
      <c r="C4" s="47"/>
      <c r="D4" s="47"/>
      <c r="E4" s="47"/>
      <c r="F4" s="47"/>
      <c r="G4" s="47"/>
      <c r="H4" s="47"/>
      <c r="I4" s="47"/>
      <c r="J4" s="47"/>
      <c r="K4" s="69"/>
    </row>
    <row r="5" spans="1:11" x14ac:dyDescent="0.25">
      <c r="A5" s="163"/>
      <c r="B5" s="18" t="s">
        <v>0</v>
      </c>
      <c r="C5" s="47"/>
      <c r="D5" s="47"/>
      <c r="E5" s="47"/>
      <c r="F5" s="47"/>
      <c r="G5" s="47"/>
      <c r="H5" s="47"/>
      <c r="I5" s="47"/>
      <c r="J5" s="47"/>
      <c r="K5" s="69"/>
    </row>
    <row r="6" spans="1:11" ht="56.25" x14ac:dyDescent="0.25">
      <c r="A6" s="163"/>
      <c r="B6" s="20" t="s">
        <v>5643</v>
      </c>
      <c r="C6" s="71"/>
      <c r="D6" s="47"/>
      <c r="E6" s="47"/>
      <c r="F6" s="47"/>
      <c r="G6" s="47"/>
      <c r="H6" s="47"/>
      <c r="I6" s="47"/>
      <c r="J6" s="47"/>
      <c r="K6" s="69"/>
    </row>
    <row r="7" spans="1:11" x14ac:dyDescent="0.25">
      <c r="A7" s="163"/>
      <c r="B7" s="20" t="s">
        <v>0</v>
      </c>
      <c r="C7" s="71"/>
      <c r="D7" s="47"/>
      <c r="E7" s="47"/>
      <c r="F7" s="47"/>
      <c r="G7" s="47"/>
      <c r="H7" s="47"/>
      <c r="I7" s="47"/>
      <c r="J7" s="47"/>
      <c r="K7" s="69"/>
    </row>
    <row r="8" spans="1:11" x14ac:dyDescent="0.25">
      <c r="A8" s="163"/>
      <c r="B8" s="129" t="s">
        <v>775</v>
      </c>
      <c r="C8" s="47"/>
      <c r="D8" s="47"/>
      <c r="E8" s="47"/>
      <c r="F8" s="47"/>
      <c r="G8" s="47"/>
      <c r="H8" s="47"/>
      <c r="I8" s="47"/>
      <c r="J8" s="47"/>
      <c r="K8" s="69"/>
    </row>
    <row r="9" spans="1:11" x14ac:dyDescent="0.25">
      <c r="A9" s="163"/>
      <c r="B9" s="20" t="s">
        <v>0</v>
      </c>
      <c r="C9" s="47"/>
      <c r="D9" s="47"/>
      <c r="E9" s="47"/>
      <c r="F9" s="47"/>
      <c r="G9" s="47"/>
      <c r="H9" s="47"/>
      <c r="I9" s="47"/>
      <c r="J9" s="47"/>
      <c r="K9" s="69"/>
    </row>
    <row r="10" spans="1:11" ht="22.5" x14ac:dyDescent="0.25">
      <c r="A10" s="163"/>
      <c r="B10" s="132" t="s">
        <v>5644</v>
      </c>
      <c r="C10" s="47"/>
      <c r="D10" s="47"/>
      <c r="E10" s="47"/>
      <c r="F10" s="47"/>
      <c r="G10" s="47"/>
      <c r="H10" s="47"/>
      <c r="I10" s="47"/>
      <c r="J10" s="47"/>
      <c r="K10" s="69"/>
    </row>
    <row r="11" spans="1:11" x14ac:dyDescent="0.25">
      <c r="A11" s="163"/>
      <c r="B11" s="18" t="s">
        <v>0</v>
      </c>
      <c r="C11" s="47"/>
      <c r="D11" s="47"/>
      <c r="E11" s="47"/>
      <c r="F11" s="47"/>
      <c r="G11" s="47"/>
      <c r="H11" s="47"/>
      <c r="I11" s="47"/>
      <c r="J11" s="47"/>
      <c r="K11" s="69"/>
    </row>
    <row r="12" spans="1:11" x14ac:dyDescent="0.25">
      <c r="A12" s="163"/>
      <c r="B12" s="51" t="s">
        <v>5645</v>
      </c>
      <c r="C12" s="47"/>
      <c r="D12" s="47"/>
      <c r="E12" s="47"/>
      <c r="F12" s="47"/>
      <c r="G12" s="47"/>
      <c r="H12" s="47"/>
      <c r="I12" s="47"/>
      <c r="J12" s="47"/>
      <c r="K12" s="69"/>
    </row>
    <row r="13" spans="1:11" x14ac:dyDescent="0.25">
      <c r="A13" s="163"/>
      <c r="B13" s="160"/>
      <c r="C13" s="47"/>
      <c r="D13" s="47"/>
      <c r="E13" s="47"/>
      <c r="F13" s="47"/>
      <c r="G13" s="47"/>
      <c r="H13" s="47"/>
      <c r="I13" s="47"/>
      <c r="J13" s="47"/>
      <c r="K13" s="69"/>
    </row>
    <row r="14" spans="1:11" x14ac:dyDescent="0.25">
      <c r="A14" s="184" t="s">
        <v>2389</v>
      </c>
      <c r="B14" s="190" t="s">
        <v>5322</v>
      </c>
      <c r="C14" s="85"/>
      <c r="D14" s="86"/>
      <c r="E14" s="85"/>
      <c r="F14" s="86"/>
      <c r="G14" s="61"/>
      <c r="H14" s="86"/>
      <c r="I14" s="86"/>
      <c r="J14" s="61"/>
      <c r="K14" s="69"/>
    </row>
    <row r="15" spans="1:11" x14ac:dyDescent="0.25">
      <c r="A15" s="162"/>
      <c r="B15" s="153"/>
      <c r="C15" s="18"/>
      <c r="D15" s="18"/>
      <c r="E15" s="18"/>
      <c r="F15" s="18"/>
      <c r="G15" s="18"/>
      <c r="H15" s="18"/>
      <c r="I15" s="18"/>
      <c r="J15" s="18"/>
      <c r="K15" s="69"/>
    </row>
    <row r="16" spans="1:11" x14ac:dyDescent="0.25">
      <c r="A16" s="162" t="s">
        <v>2390</v>
      </c>
      <c r="B16" s="153" t="s">
        <v>2391</v>
      </c>
      <c r="C16" s="29"/>
      <c r="D16" s="29"/>
      <c r="E16" s="29"/>
      <c r="F16" s="29"/>
      <c r="G16" s="54">
        <f>ROUND(SUM(G14:G15),0)</f>
        <v>0</v>
      </c>
      <c r="H16" s="29"/>
      <c r="I16" s="29"/>
      <c r="J16" s="54">
        <f>ROUND(SUM(J14:J15),0)</f>
        <v>0</v>
      </c>
      <c r="K16" s="69"/>
    </row>
    <row r="17" spans="1:11" x14ac:dyDescent="0.25">
      <c r="A17" s="162"/>
      <c r="B17" s="153"/>
      <c r="C17" s="18"/>
      <c r="D17" s="18"/>
      <c r="E17" s="18"/>
      <c r="F17" s="18"/>
      <c r="G17" s="18"/>
      <c r="H17" s="18"/>
      <c r="I17" s="18"/>
      <c r="J17" s="18"/>
      <c r="K17" s="69"/>
    </row>
    <row r="18" spans="1:11" x14ac:dyDescent="0.25">
      <c r="A18" s="162"/>
      <c r="B18" s="153" t="s">
        <v>2392</v>
      </c>
      <c r="C18" s="18"/>
      <c r="D18" s="18"/>
      <c r="E18" s="18"/>
      <c r="F18" s="18"/>
      <c r="G18" s="18"/>
      <c r="H18" s="18"/>
      <c r="I18" s="18"/>
      <c r="J18" s="18"/>
      <c r="K18" s="69"/>
    </row>
    <row r="19" spans="1:11" x14ac:dyDescent="0.25">
      <c r="A19" s="162"/>
      <c r="B19" s="153"/>
      <c r="C19" s="18"/>
      <c r="D19" s="18"/>
      <c r="E19" s="18"/>
      <c r="F19" s="18"/>
      <c r="G19" s="18"/>
      <c r="H19" s="18"/>
      <c r="I19" s="18"/>
      <c r="J19" s="18"/>
      <c r="K19" s="69"/>
    </row>
    <row r="20" spans="1:11" x14ac:dyDescent="0.25">
      <c r="A20" s="184" t="s">
        <v>2393</v>
      </c>
      <c r="B20" s="190" t="s">
        <v>5322</v>
      </c>
      <c r="C20" s="85"/>
      <c r="D20" s="86"/>
      <c r="E20" s="85"/>
      <c r="F20" s="86"/>
      <c r="G20" s="61"/>
      <c r="H20" s="86"/>
      <c r="I20" s="86"/>
      <c r="J20" s="61"/>
      <c r="K20" s="69"/>
    </row>
    <row r="21" spans="1:11" x14ac:dyDescent="0.25">
      <c r="A21" s="162"/>
      <c r="B21" s="153"/>
      <c r="C21" s="18"/>
      <c r="D21" s="18"/>
      <c r="E21" s="18"/>
      <c r="F21" s="18"/>
      <c r="G21" s="18"/>
      <c r="H21" s="18"/>
      <c r="I21" s="18"/>
      <c r="J21" s="18"/>
      <c r="K21" s="69"/>
    </row>
    <row r="22" spans="1:11" x14ac:dyDescent="0.25">
      <c r="A22" s="162" t="s">
        <v>2394</v>
      </c>
      <c r="B22" s="153" t="s">
        <v>2395</v>
      </c>
      <c r="C22" s="29"/>
      <c r="D22" s="29"/>
      <c r="E22" s="29"/>
      <c r="F22" s="29"/>
      <c r="G22" s="54">
        <f>ROUND(SUM(G20:G21),0)</f>
        <v>0</v>
      </c>
      <c r="H22" s="29"/>
      <c r="I22" s="29"/>
      <c r="J22" s="54">
        <f>ROUND(SUM(J20:J21),0)</f>
        <v>0</v>
      </c>
      <c r="K22" s="69"/>
    </row>
    <row r="23" spans="1:11" ht="8.1" customHeight="1" x14ac:dyDescent="0.25">
      <c r="A23" s="70" t="s">
        <v>0</v>
      </c>
      <c r="B23" s="152"/>
      <c r="C23" s="70"/>
      <c r="D23" s="70"/>
      <c r="E23" s="70"/>
      <c r="F23" s="70"/>
      <c r="G23" s="70"/>
      <c r="H23" s="70"/>
      <c r="I23" s="70"/>
      <c r="J23" s="70"/>
      <c r="K23" s="69"/>
    </row>
  </sheetData>
  <sheetProtection password="C9D6" sheet="1" objects="1" scenarios="1" formatCells="0" formatColumns="0" formatRows="0" autoFilter="0"/>
  <dataValidations count="5">
    <dataValidation type="list" allowBlank="1" showInputMessage="1" showErrorMessage="1" errorTitle="SAT" error="El valor seleccionado no existe en la lista, por favor selecione una opción Válida" promptTitle="Seleccione un valor de la lista" prompt="SAT" sqref="D20">
      <formula1>CATALOGCOLUMNFILTERED44</formula1>
    </dataValidation>
    <dataValidation type="list" allowBlank="1" showInputMessage="1" showErrorMessage="1" errorTitle="SAT" error="El valor seleccionado no existe en la lista, por favor selecione una opción Válida" promptTitle="Seleccione un valor de la lista" prompt="SAT" sqref="I14 I2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4 H20">
      <formula1>CATALOGCOLUMNFILTERED42</formula1>
    </dataValidation>
    <dataValidation type="list" allowBlank="1" showInputMessage="1" showErrorMessage="1" errorTitle="SAT" error="El valor seleccionado no existe en la lista, por favor selecione una opción Válida" promptTitle="Seleccione un valor de la lista" prompt="SAT" sqref="F14 F20">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D14">
      <formula1>CATALOGCOLUMNFILTERED43</formula1>
    </dataValidation>
  </dataValidations>
  <pageMargins left="0.7" right="0.7" top="0.75" bottom="0.75" header="0.3" footer="0.3"/>
  <pageSetup paperSize="9"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289"/>
  <sheetViews>
    <sheetView zoomScaleNormal="100" workbookViewId="0"/>
  </sheetViews>
  <sheetFormatPr defaultColWidth="11.5703125" defaultRowHeight="15" x14ac:dyDescent="0.25"/>
  <cols>
    <col min="1" max="1" width="14.28515625" style="107" customWidth="1"/>
    <col min="2" max="2" width="41.140625" style="107" customWidth="1"/>
    <col min="3" max="3" width="30.7109375" style="107" customWidth="1"/>
    <col min="4" max="4" width="1.7109375" style="107" customWidth="1"/>
    <col min="5" max="16384" width="11.5703125" style="107"/>
  </cols>
  <sheetData>
    <row r="1" spans="1:4" ht="22.5" x14ac:dyDescent="0.25">
      <c r="A1" s="42" t="s">
        <v>0</v>
      </c>
      <c r="B1" s="76" t="s">
        <v>5620</v>
      </c>
      <c r="C1" s="42"/>
      <c r="D1" s="69"/>
    </row>
    <row r="2" spans="1:4" ht="23.25" x14ac:dyDescent="0.25">
      <c r="A2" s="126" t="s">
        <v>5597</v>
      </c>
      <c r="B2" s="126" t="s">
        <v>5598</v>
      </c>
      <c r="C2" s="89" t="s">
        <v>2396</v>
      </c>
      <c r="D2" s="69" t="s">
        <v>0</v>
      </c>
    </row>
    <row r="3" spans="1:4" x14ac:dyDescent="0.25">
      <c r="A3" s="163"/>
      <c r="B3" s="53" t="s">
        <v>0</v>
      </c>
      <c r="C3" s="47"/>
      <c r="D3" s="69"/>
    </row>
    <row r="4" spans="1:4" x14ac:dyDescent="0.25">
      <c r="A4" s="163"/>
      <c r="B4" s="51" t="s">
        <v>5626</v>
      </c>
      <c r="C4" s="47"/>
      <c r="D4" s="69"/>
    </row>
    <row r="5" spans="1:4" x14ac:dyDescent="0.25">
      <c r="A5" s="163"/>
      <c r="B5" s="27" t="s">
        <v>0</v>
      </c>
      <c r="C5" s="47"/>
      <c r="D5" s="69"/>
    </row>
    <row r="6" spans="1:4" ht="45" x14ac:dyDescent="0.25">
      <c r="A6" s="163"/>
      <c r="B6" s="20" t="s">
        <v>5643</v>
      </c>
      <c r="C6" s="18"/>
      <c r="D6" s="69"/>
    </row>
    <row r="7" spans="1:4" ht="22.5" x14ac:dyDescent="0.25">
      <c r="A7" s="163"/>
      <c r="B7" s="129" t="s">
        <v>5646</v>
      </c>
      <c r="C7" s="18"/>
      <c r="D7" s="69"/>
    </row>
    <row r="8" spans="1:4" x14ac:dyDescent="0.25">
      <c r="A8" s="163"/>
      <c r="B8" s="20" t="s">
        <v>0</v>
      </c>
      <c r="C8" s="18"/>
      <c r="D8" s="69"/>
    </row>
    <row r="9" spans="1:4" ht="22.5" x14ac:dyDescent="0.25">
      <c r="A9" s="163"/>
      <c r="B9" s="129" t="s">
        <v>5647</v>
      </c>
      <c r="C9" s="18"/>
      <c r="D9" s="69"/>
    </row>
    <row r="10" spans="1:4" x14ac:dyDescent="0.25">
      <c r="A10" s="163"/>
      <c r="B10" s="160"/>
      <c r="C10" s="18"/>
      <c r="D10" s="69"/>
    </row>
    <row r="11" spans="1:4" x14ac:dyDescent="0.25">
      <c r="A11" s="162" t="s">
        <v>2397</v>
      </c>
      <c r="B11" s="153" t="s">
        <v>5743</v>
      </c>
      <c r="C11" s="110"/>
      <c r="D11" s="69"/>
    </row>
    <row r="12" spans="1:4" x14ac:dyDescent="0.25">
      <c r="A12" s="162" t="s">
        <v>2398</v>
      </c>
      <c r="B12" s="153" t="s">
        <v>2399</v>
      </c>
      <c r="C12" s="110"/>
      <c r="D12" s="69"/>
    </row>
    <row r="13" spans="1:4" x14ac:dyDescent="0.25">
      <c r="A13" s="162" t="s">
        <v>2400</v>
      </c>
      <c r="B13" s="153" t="s">
        <v>2401</v>
      </c>
      <c r="C13" s="110"/>
      <c r="D13" s="69"/>
    </row>
    <row r="14" spans="1:4" ht="22.5" x14ac:dyDescent="0.25">
      <c r="A14" s="162" t="s">
        <v>2402</v>
      </c>
      <c r="B14" s="153" t="s">
        <v>2403</v>
      </c>
      <c r="C14" s="110"/>
      <c r="D14" s="69"/>
    </row>
    <row r="15" spans="1:4" x14ac:dyDescent="0.25">
      <c r="A15" s="162" t="s">
        <v>2404</v>
      </c>
      <c r="B15" s="153" t="s">
        <v>2405</v>
      </c>
      <c r="C15" s="110"/>
      <c r="D15" s="69"/>
    </row>
    <row r="16" spans="1:4" x14ac:dyDescent="0.25">
      <c r="A16" s="162" t="s">
        <v>2406</v>
      </c>
      <c r="B16" s="153" t="s">
        <v>2407</v>
      </c>
      <c r="C16" s="85"/>
      <c r="D16" s="69"/>
    </row>
    <row r="17" spans="1:4" x14ac:dyDescent="0.25">
      <c r="A17" s="162"/>
      <c r="B17" s="153"/>
      <c r="C17" s="18"/>
      <c r="D17" s="69"/>
    </row>
    <row r="18" spans="1:4" ht="45" x14ac:dyDescent="0.25">
      <c r="A18" s="162" t="s">
        <v>2408</v>
      </c>
      <c r="B18" s="153" t="s">
        <v>2409</v>
      </c>
      <c r="C18" s="110"/>
      <c r="D18" s="69"/>
    </row>
    <row r="19" spans="1:4" x14ac:dyDescent="0.25">
      <c r="A19" s="162"/>
      <c r="B19" s="153"/>
      <c r="C19" s="18"/>
      <c r="D19" s="69"/>
    </row>
    <row r="20" spans="1:4" ht="33.75" x14ac:dyDescent="0.25">
      <c r="A20" s="162" t="s">
        <v>2410</v>
      </c>
      <c r="B20" s="153" t="s">
        <v>2411</v>
      </c>
      <c r="C20" s="110"/>
      <c r="D20" s="69"/>
    </row>
    <row r="21" spans="1:4" x14ac:dyDescent="0.25">
      <c r="A21" s="162"/>
      <c r="B21" s="153"/>
      <c r="C21" s="18"/>
      <c r="D21" s="69"/>
    </row>
    <row r="22" spans="1:4" ht="45" x14ac:dyDescent="0.25">
      <c r="A22" s="162"/>
      <c r="B22" s="153" t="s">
        <v>2412</v>
      </c>
      <c r="C22" s="18"/>
      <c r="D22" s="69"/>
    </row>
    <row r="23" spans="1:4" x14ac:dyDescent="0.25">
      <c r="A23" s="162" t="s">
        <v>2413</v>
      </c>
      <c r="B23" s="153" t="s">
        <v>2414</v>
      </c>
      <c r="C23" s="110"/>
      <c r="D23" s="69"/>
    </row>
    <row r="24" spans="1:4" x14ac:dyDescent="0.25">
      <c r="A24" s="162" t="s">
        <v>2415</v>
      </c>
      <c r="B24" s="153" t="s">
        <v>2416</v>
      </c>
      <c r="C24" s="110"/>
      <c r="D24" s="69"/>
    </row>
    <row r="25" spans="1:4" x14ac:dyDescent="0.25">
      <c r="A25" s="162" t="s">
        <v>2417</v>
      </c>
      <c r="B25" s="153" t="s">
        <v>2418</v>
      </c>
      <c r="C25" s="110"/>
      <c r="D25" s="69"/>
    </row>
    <row r="26" spans="1:4" x14ac:dyDescent="0.25">
      <c r="A26" s="162" t="s">
        <v>2419</v>
      </c>
      <c r="B26" s="153" t="s">
        <v>2420</v>
      </c>
      <c r="C26" s="110"/>
      <c r="D26" s="69"/>
    </row>
    <row r="27" spans="1:4" x14ac:dyDescent="0.25">
      <c r="A27" s="162" t="s">
        <v>2421</v>
      </c>
      <c r="B27" s="153" t="s">
        <v>2422</v>
      </c>
      <c r="C27" s="110"/>
      <c r="D27" s="69"/>
    </row>
    <row r="28" spans="1:4" ht="22.5" x14ac:dyDescent="0.25">
      <c r="A28" s="162" t="s">
        <v>2423</v>
      </c>
      <c r="B28" s="153" t="s">
        <v>2424</v>
      </c>
      <c r="C28" s="116"/>
      <c r="D28" s="69"/>
    </row>
    <row r="29" spans="1:4" x14ac:dyDescent="0.25">
      <c r="A29" s="162"/>
      <c r="B29" s="153"/>
      <c r="C29" s="18"/>
      <c r="D29" s="69"/>
    </row>
    <row r="30" spans="1:4" ht="33.75" x14ac:dyDescent="0.25">
      <c r="A30" s="162"/>
      <c r="B30" s="153" t="s">
        <v>2425</v>
      </c>
      <c r="C30" s="18"/>
      <c r="D30" s="69"/>
    </row>
    <row r="31" spans="1:4" x14ac:dyDescent="0.25">
      <c r="A31" s="162" t="s">
        <v>2426</v>
      </c>
      <c r="B31" s="153" t="s">
        <v>2414</v>
      </c>
      <c r="C31" s="110"/>
      <c r="D31" s="69"/>
    </row>
    <row r="32" spans="1:4" x14ac:dyDescent="0.25">
      <c r="A32" s="162" t="s">
        <v>2427</v>
      </c>
      <c r="B32" s="153" t="s">
        <v>2416</v>
      </c>
      <c r="C32" s="110"/>
      <c r="D32" s="69"/>
    </row>
    <row r="33" spans="1:4" x14ac:dyDescent="0.25">
      <c r="A33" s="162" t="s">
        <v>2428</v>
      </c>
      <c r="B33" s="153" t="s">
        <v>2418</v>
      </c>
      <c r="C33" s="110"/>
      <c r="D33" s="69"/>
    </row>
    <row r="34" spans="1:4" x14ac:dyDescent="0.25">
      <c r="A34" s="162" t="s">
        <v>2429</v>
      </c>
      <c r="B34" s="153" t="s">
        <v>2420</v>
      </c>
      <c r="C34" s="110"/>
      <c r="D34" s="69"/>
    </row>
    <row r="35" spans="1:4" x14ac:dyDescent="0.25">
      <c r="A35" s="162" t="s">
        <v>2430</v>
      </c>
      <c r="B35" s="153" t="s">
        <v>2422</v>
      </c>
      <c r="C35" s="110"/>
      <c r="D35" s="69"/>
    </row>
    <row r="36" spans="1:4" ht="22.5" x14ac:dyDescent="0.25">
      <c r="A36" s="162" t="s">
        <v>2431</v>
      </c>
      <c r="B36" s="153" t="s">
        <v>2432</v>
      </c>
      <c r="C36" s="116"/>
      <c r="D36" s="69"/>
    </row>
    <row r="37" spans="1:4" x14ac:dyDescent="0.25">
      <c r="A37" s="162"/>
      <c r="B37" s="153"/>
      <c r="C37" s="18"/>
      <c r="D37" s="69"/>
    </row>
    <row r="38" spans="1:4" ht="45" x14ac:dyDescent="0.25">
      <c r="A38" s="162"/>
      <c r="B38" s="153" t="s">
        <v>2433</v>
      </c>
      <c r="C38" s="18"/>
      <c r="D38" s="69"/>
    </row>
    <row r="39" spans="1:4" x14ac:dyDescent="0.25">
      <c r="A39" s="162" t="s">
        <v>2434</v>
      </c>
      <c r="B39" s="153" t="s">
        <v>2414</v>
      </c>
      <c r="C39" s="110"/>
      <c r="D39" s="69"/>
    </row>
    <row r="40" spans="1:4" x14ac:dyDescent="0.25">
      <c r="A40" s="162" t="s">
        <v>2435</v>
      </c>
      <c r="B40" s="153" t="s">
        <v>2416</v>
      </c>
      <c r="C40" s="110"/>
      <c r="D40" s="69"/>
    </row>
    <row r="41" spans="1:4" x14ac:dyDescent="0.25">
      <c r="A41" s="162" t="s">
        <v>2436</v>
      </c>
      <c r="B41" s="153" t="s">
        <v>2418</v>
      </c>
      <c r="C41" s="110"/>
      <c r="D41" s="69"/>
    </row>
    <row r="42" spans="1:4" x14ac:dyDescent="0.25">
      <c r="A42" s="162" t="s">
        <v>2437</v>
      </c>
      <c r="B42" s="153" t="s">
        <v>2420</v>
      </c>
      <c r="C42" s="110"/>
      <c r="D42" s="69"/>
    </row>
    <row r="43" spans="1:4" x14ac:dyDescent="0.25">
      <c r="A43" s="162" t="s">
        <v>2438</v>
      </c>
      <c r="B43" s="153" t="s">
        <v>2422</v>
      </c>
      <c r="C43" s="110"/>
      <c r="D43" s="69"/>
    </row>
    <row r="44" spans="1:4" ht="22.5" x14ac:dyDescent="0.25">
      <c r="A44" s="162" t="s">
        <v>2439</v>
      </c>
      <c r="B44" s="153" t="s">
        <v>2440</v>
      </c>
      <c r="C44" s="116"/>
      <c r="D44" s="69"/>
    </row>
    <row r="45" spans="1:4" x14ac:dyDescent="0.25">
      <c r="A45" s="162"/>
      <c r="B45" s="153"/>
      <c r="C45" s="18"/>
      <c r="D45" s="69"/>
    </row>
    <row r="46" spans="1:4" ht="33.75" x14ac:dyDescent="0.25">
      <c r="A46" s="162" t="s">
        <v>2441</v>
      </c>
      <c r="B46" s="153" t="s">
        <v>2442</v>
      </c>
      <c r="C46" s="199"/>
      <c r="D46" s="69"/>
    </row>
    <row r="47" spans="1:4" x14ac:dyDescent="0.25">
      <c r="A47" s="162" t="s">
        <v>2443</v>
      </c>
      <c r="B47" s="153" t="s">
        <v>2444</v>
      </c>
      <c r="C47" s="109"/>
      <c r="D47" s="69"/>
    </row>
    <row r="48" spans="1:4" x14ac:dyDescent="0.25">
      <c r="A48" s="162" t="s">
        <v>2445</v>
      </c>
      <c r="B48" s="153" t="s">
        <v>2446</v>
      </c>
      <c r="C48" s="109"/>
      <c r="D48" s="69"/>
    </row>
    <row r="49" spans="1:4" ht="33.75" x14ac:dyDescent="0.25">
      <c r="A49" s="162" t="s">
        <v>2447</v>
      </c>
      <c r="B49" s="153" t="s">
        <v>2448</v>
      </c>
      <c r="C49" s="110"/>
      <c r="D49" s="69"/>
    </row>
    <row r="50" spans="1:4" x14ac:dyDescent="0.25">
      <c r="A50" s="162" t="s">
        <v>2449</v>
      </c>
      <c r="B50" s="153" t="s">
        <v>2450</v>
      </c>
      <c r="C50" s="109"/>
      <c r="D50" s="69"/>
    </row>
    <row r="51" spans="1:4" ht="33.75" x14ac:dyDescent="0.25">
      <c r="A51" s="162" t="s">
        <v>2451</v>
      </c>
      <c r="B51" s="153" t="s">
        <v>2452</v>
      </c>
      <c r="C51" s="110"/>
      <c r="D51" s="69"/>
    </row>
    <row r="52" spans="1:4" x14ac:dyDescent="0.25">
      <c r="A52" s="162" t="s">
        <v>2453</v>
      </c>
      <c r="B52" s="153" t="s">
        <v>2454</v>
      </c>
      <c r="C52" s="109"/>
      <c r="D52" s="69"/>
    </row>
    <row r="53" spans="1:4" x14ac:dyDescent="0.25">
      <c r="A53" s="162" t="s">
        <v>2455</v>
      </c>
      <c r="B53" s="153" t="s">
        <v>2446</v>
      </c>
      <c r="C53" s="109"/>
      <c r="D53" s="69"/>
    </row>
    <row r="54" spans="1:4" x14ac:dyDescent="0.25">
      <c r="A54" s="162"/>
      <c r="B54" s="153"/>
      <c r="C54" s="18"/>
      <c r="D54" s="69"/>
    </row>
    <row r="55" spans="1:4" ht="45" x14ac:dyDescent="0.25">
      <c r="A55" s="162" t="s">
        <v>2456</v>
      </c>
      <c r="B55" s="153" t="s">
        <v>2457</v>
      </c>
      <c r="C55" s="110"/>
      <c r="D55" s="69"/>
    </row>
    <row r="56" spans="1:4" ht="45" x14ac:dyDescent="0.25">
      <c r="A56" s="162" t="s">
        <v>2458</v>
      </c>
      <c r="B56" s="153" t="s">
        <v>2459</v>
      </c>
      <c r="C56" s="110"/>
      <c r="D56" s="69"/>
    </row>
    <row r="57" spans="1:4" x14ac:dyDescent="0.25">
      <c r="A57" s="162"/>
      <c r="B57" s="153"/>
      <c r="C57" s="18"/>
      <c r="D57" s="69"/>
    </row>
    <row r="58" spans="1:4" ht="45" x14ac:dyDescent="0.25">
      <c r="A58" s="162" t="s">
        <v>2460</v>
      </c>
      <c r="B58" s="153" t="s">
        <v>2461</v>
      </c>
      <c r="C58" s="110"/>
      <c r="D58" s="69"/>
    </row>
    <row r="59" spans="1:4" ht="45" x14ac:dyDescent="0.25">
      <c r="A59" s="162" t="s">
        <v>2462</v>
      </c>
      <c r="B59" s="153" t="s">
        <v>2463</v>
      </c>
      <c r="C59" s="110"/>
      <c r="D59" s="69"/>
    </row>
    <row r="60" spans="1:4" x14ac:dyDescent="0.25">
      <c r="A60" s="162" t="s">
        <v>2464</v>
      </c>
      <c r="B60" s="153" t="s">
        <v>2465</v>
      </c>
      <c r="C60" s="109"/>
      <c r="D60" s="69"/>
    </row>
    <row r="61" spans="1:4" ht="56.25" x14ac:dyDescent="0.25">
      <c r="A61" s="162" t="s">
        <v>2466</v>
      </c>
      <c r="B61" s="153" t="s">
        <v>2467</v>
      </c>
      <c r="C61" s="110"/>
      <c r="D61" s="69"/>
    </row>
    <row r="62" spans="1:4" x14ac:dyDescent="0.25">
      <c r="A62" s="162"/>
      <c r="B62" s="153"/>
      <c r="C62" s="18"/>
      <c r="D62" s="69"/>
    </row>
    <row r="63" spans="1:4" ht="56.25" x14ac:dyDescent="0.25">
      <c r="A63" s="162"/>
      <c r="B63" s="179" t="s">
        <v>2468</v>
      </c>
      <c r="C63" s="18"/>
      <c r="D63" s="69"/>
    </row>
    <row r="64" spans="1:4" x14ac:dyDescent="0.25">
      <c r="A64" s="162"/>
      <c r="B64" s="153"/>
      <c r="C64" s="18"/>
      <c r="D64" s="69"/>
    </row>
    <row r="65" spans="1:4" x14ac:dyDescent="0.25">
      <c r="A65" s="162"/>
      <c r="B65" s="153" t="s">
        <v>2469</v>
      </c>
      <c r="C65" s="18"/>
      <c r="D65" s="69"/>
    </row>
    <row r="66" spans="1:4" x14ac:dyDescent="0.25">
      <c r="A66" s="162" t="s">
        <v>2470</v>
      </c>
      <c r="B66" s="153" t="s">
        <v>2471</v>
      </c>
      <c r="C66" s="109"/>
      <c r="D66" s="69"/>
    </row>
    <row r="67" spans="1:4" x14ac:dyDescent="0.25">
      <c r="A67" s="162" t="s">
        <v>2472</v>
      </c>
      <c r="B67" s="153" t="s">
        <v>2473</v>
      </c>
      <c r="C67" s="109"/>
      <c r="D67" s="69"/>
    </row>
    <row r="68" spans="1:4" x14ac:dyDescent="0.25">
      <c r="A68" s="162" t="s">
        <v>2474</v>
      </c>
      <c r="B68" s="153" t="s">
        <v>2475</v>
      </c>
      <c r="C68" s="109"/>
      <c r="D68" s="69"/>
    </row>
    <row r="69" spans="1:4" x14ac:dyDescent="0.25">
      <c r="A69" s="162"/>
      <c r="B69" s="153"/>
      <c r="C69" s="18"/>
      <c r="D69" s="69"/>
    </row>
    <row r="70" spans="1:4" x14ac:dyDescent="0.25">
      <c r="A70" s="162"/>
      <c r="B70" s="153" t="s">
        <v>2476</v>
      </c>
      <c r="C70" s="18"/>
      <c r="D70" s="69"/>
    </row>
    <row r="71" spans="1:4" x14ac:dyDescent="0.25">
      <c r="A71" s="162" t="s">
        <v>2477</v>
      </c>
      <c r="B71" s="153" t="s">
        <v>2471</v>
      </c>
      <c r="C71" s="109"/>
      <c r="D71" s="69"/>
    </row>
    <row r="72" spans="1:4" x14ac:dyDescent="0.25">
      <c r="A72" s="162" t="s">
        <v>2478</v>
      </c>
      <c r="B72" s="153" t="s">
        <v>2473</v>
      </c>
      <c r="C72" s="109"/>
      <c r="D72" s="69"/>
    </row>
    <row r="73" spans="1:4" x14ac:dyDescent="0.25">
      <c r="A73" s="162" t="s">
        <v>2479</v>
      </c>
      <c r="B73" s="153" t="s">
        <v>2475</v>
      </c>
      <c r="C73" s="109"/>
      <c r="D73" s="69"/>
    </row>
    <row r="74" spans="1:4" x14ac:dyDescent="0.25">
      <c r="A74" s="162"/>
      <c r="B74" s="153"/>
      <c r="C74" s="18"/>
      <c r="D74" s="69"/>
    </row>
    <row r="75" spans="1:4" ht="22.5" x14ac:dyDescent="0.25">
      <c r="A75" s="162"/>
      <c r="B75" s="179" t="s">
        <v>2480</v>
      </c>
      <c r="C75" s="18"/>
      <c r="D75" s="69"/>
    </row>
    <row r="76" spans="1:4" x14ac:dyDescent="0.25">
      <c r="A76" s="162"/>
      <c r="B76" s="153"/>
      <c r="C76" s="18"/>
      <c r="D76" s="69"/>
    </row>
    <row r="77" spans="1:4" ht="78.75" x14ac:dyDescent="0.25">
      <c r="A77" s="162" t="s">
        <v>2481</v>
      </c>
      <c r="B77" s="153" t="s">
        <v>2482</v>
      </c>
      <c r="C77" s="110"/>
      <c r="D77" s="69"/>
    </row>
    <row r="78" spans="1:4" x14ac:dyDescent="0.25">
      <c r="A78" s="162" t="s">
        <v>2483</v>
      </c>
      <c r="B78" s="153" t="s">
        <v>2489</v>
      </c>
      <c r="C78" s="109"/>
      <c r="D78" s="69"/>
    </row>
    <row r="79" spans="1:4" ht="67.5" x14ac:dyDescent="0.25">
      <c r="A79" s="162" t="s">
        <v>2484</v>
      </c>
      <c r="B79" s="153" t="s">
        <v>5499</v>
      </c>
      <c r="C79" s="110"/>
      <c r="D79" s="69"/>
    </row>
    <row r="80" spans="1:4" x14ac:dyDescent="0.25">
      <c r="A80" s="162" t="s">
        <v>2485</v>
      </c>
      <c r="B80" s="153" t="s">
        <v>2489</v>
      </c>
      <c r="C80" s="109"/>
      <c r="D80" s="69"/>
    </row>
    <row r="81" spans="1:4" x14ac:dyDescent="0.25">
      <c r="A81" s="162"/>
      <c r="B81" s="153"/>
      <c r="C81" s="18"/>
      <c r="D81" s="69"/>
    </row>
    <row r="82" spans="1:4" ht="67.5" x14ac:dyDescent="0.25">
      <c r="A82" s="162" t="s">
        <v>2486</v>
      </c>
      <c r="B82" s="153" t="s">
        <v>2487</v>
      </c>
      <c r="C82" s="110"/>
      <c r="D82" s="69"/>
    </row>
    <row r="83" spans="1:4" x14ac:dyDescent="0.25">
      <c r="A83" s="162" t="s">
        <v>2488</v>
      </c>
      <c r="B83" s="153" t="s">
        <v>2489</v>
      </c>
      <c r="C83" s="109"/>
      <c r="D83" s="69"/>
    </row>
    <row r="84" spans="1:4" x14ac:dyDescent="0.25">
      <c r="A84" s="162"/>
      <c r="B84" s="153"/>
      <c r="C84" s="18"/>
      <c r="D84" s="69"/>
    </row>
    <row r="85" spans="1:4" ht="56.25" x14ac:dyDescent="0.25">
      <c r="A85" s="162" t="s">
        <v>2490</v>
      </c>
      <c r="B85" s="153" t="s">
        <v>2491</v>
      </c>
      <c r="C85" s="110"/>
      <c r="D85" s="69"/>
    </row>
    <row r="86" spans="1:4" x14ac:dyDescent="0.25">
      <c r="A86" s="162" t="s">
        <v>2492</v>
      </c>
      <c r="B86" s="153" t="s">
        <v>2493</v>
      </c>
      <c r="C86" s="109"/>
      <c r="D86" s="69"/>
    </row>
    <row r="87" spans="1:4" x14ac:dyDescent="0.25">
      <c r="A87" s="162" t="s">
        <v>2494</v>
      </c>
      <c r="B87" s="153" t="s">
        <v>5744</v>
      </c>
      <c r="C87" s="116"/>
      <c r="D87" s="69"/>
    </row>
    <row r="88" spans="1:4" ht="90" x14ac:dyDescent="0.25">
      <c r="A88" s="162" t="s">
        <v>2495</v>
      </c>
      <c r="B88" s="153" t="s">
        <v>2496</v>
      </c>
      <c r="C88" s="110"/>
      <c r="D88" s="69"/>
    </row>
    <row r="89" spans="1:4" x14ac:dyDescent="0.25">
      <c r="A89" s="162"/>
      <c r="B89" s="153"/>
      <c r="C89" s="18"/>
      <c r="D89" s="69"/>
    </row>
    <row r="90" spans="1:4" x14ac:dyDescent="0.25">
      <c r="A90" s="162"/>
      <c r="B90" s="179" t="s">
        <v>2497</v>
      </c>
      <c r="C90" s="18"/>
      <c r="D90" s="69"/>
    </row>
    <row r="91" spans="1:4" x14ac:dyDescent="0.25">
      <c r="A91" s="162"/>
      <c r="B91" s="153"/>
      <c r="C91" s="18"/>
      <c r="D91" s="69"/>
    </row>
    <row r="92" spans="1:4" ht="78.75" x14ac:dyDescent="0.25">
      <c r="A92" s="162" t="s">
        <v>2498</v>
      </c>
      <c r="B92" s="153" t="s">
        <v>2499</v>
      </c>
      <c r="C92" s="110"/>
      <c r="D92" s="69"/>
    </row>
    <row r="93" spans="1:4" x14ac:dyDescent="0.25">
      <c r="A93" s="162"/>
      <c r="B93" s="153"/>
      <c r="C93" s="18"/>
      <c r="D93" s="69"/>
    </row>
    <row r="94" spans="1:4" ht="78.75" x14ac:dyDescent="0.25">
      <c r="A94" s="162"/>
      <c r="B94" s="153" t="s">
        <v>2500</v>
      </c>
      <c r="C94" s="18"/>
      <c r="D94" s="69"/>
    </row>
    <row r="95" spans="1:4" x14ac:dyDescent="0.25">
      <c r="A95" s="162"/>
      <c r="B95" s="153"/>
      <c r="C95" s="18"/>
      <c r="D95" s="69"/>
    </row>
    <row r="96" spans="1:4" ht="22.5" x14ac:dyDescent="0.25">
      <c r="A96" s="162" t="s">
        <v>2501</v>
      </c>
      <c r="B96" s="153" t="s">
        <v>2502</v>
      </c>
      <c r="C96" s="116"/>
      <c r="D96" s="69"/>
    </row>
    <row r="97" spans="1:4" ht="22.5" x14ac:dyDescent="0.25">
      <c r="A97" s="162" t="s">
        <v>2503</v>
      </c>
      <c r="B97" s="153" t="s">
        <v>2504</v>
      </c>
      <c r="C97" s="116"/>
      <c r="D97" s="69"/>
    </row>
    <row r="98" spans="1:4" ht="22.5" x14ac:dyDescent="0.25">
      <c r="A98" s="162" t="s">
        <v>2505</v>
      </c>
      <c r="B98" s="153" t="s">
        <v>2506</v>
      </c>
      <c r="C98" s="116"/>
      <c r="D98" s="69"/>
    </row>
    <row r="99" spans="1:4" ht="22.5" x14ac:dyDescent="0.25">
      <c r="A99" s="162" t="s">
        <v>2507</v>
      </c>
      <c r="B99" s="153" t="s">
        <v>2508</v>
      </c>
      <c r="C99" s="116"/>
      <c r="D99" s="69"/>
    </row>
    <row r="100" spans="1:4" x14ac:dyDescent="0.25">
      <c r="A100" s="162"/>
      <c r="B100" s="153"/>
      <c r="C100" s="18"/>
      <c r="D100" s="69"/>
    </row>
    <row r="101" spans="1:4" ht="22.5" x14ac:dyDescent="0.25">
      <c r="A101" s="162" t="s">
        <v>2509</v>
      </c>
      <c r="B101" s="153" t="s">
        <v>5745</v>
      </c>
      <c r="C101" s="110"/>
      <c r="D101" s="69"/>
    </row>
    <row r="102" spans="1:4" x14ac:dyDescent="0.25">
      <c r="A102" s="162"/>
      <c r="B102" s="153"/>
      <c r="C102" s="18"/>
      <c r="D102" s="69"/>
    </row>
    <row r="103" spans="1:4" ht="22.5" x14ac:dyDescent="0.25">
      <c r="A103" s="162" t="s">
        <v>2511</v>
      </c>
      <c r="B103" s="153" t="s">
        <v>5500</v>
      </c>
      <c r="C103" s="185"/>
      <c r="D103" s="149"/>
    </row>
    <row r="104" spans="1:4" ht="45" x14ac:dyDescent="0.25">
      <c r="A104" s="162" t="s">
        <v>2513</v>
      </c>
      <c r="B104" s="153" t="s">
        <v>5501</v>
      </c>
      <c r="C104" s="110"/>
      <c r="D104" s="149"/>
    </row>
    <row r="105" spans="1:4" x14ac:dyDescent="0.25">
      <c r="A105" s="162"/>
      <c r="B105" s="153"/>
      <c r="C105" s="160"/>
      <c r="D105" s="149"/>
    </row>
    <row r="106" spans="1:4" ht="22.5" x14ac:dyDescent="0.25">
      <c r="A106" s="162"/>
      <c r="B106" s="179" t="s">
        <v>2510</v>
      </c>
      <c r="C106" s="18"/>
      <c r="D106" s="69"/>
    </row>
    <row r="107" spans="1:4" x14ac:dyDescent="0.25">
      <c r="A107" s="162"/>
      <c r="B107" s="153"/>
      <c r="C107" s="18"/>
      <c r="D107" s="69"/>
    </row>
    <row r="108" spans="1:4" ht="33.75" x14ac:dyDescent="0.25">
      <c r="A108" s="162" t="s">
        <v>2516</v>
      </c>
      <c r="B108" s="153" t="s">
        <v>2512</v>
      </c>
      <c r="C108" s="110"/>
      <c r="D108" s="69"/>
    </row>
    <row r="109" spans="1:4" ht="22.5" x14ac:dyDescent="0.25">
      <c r="A109" s="162" t="s">
        <v>2518</v>
      </c>
      <c r="B109" s="153" t="s">
        <v>2514</v>
      </c>
      <c r="C109" s="116"/>
      <c r="D109" s="69"/>
    </row>
    <row r="110" spans="1:4" x14ac:dyDescent="0.25">
      <c r="A110" s="162"/>
      <c r="B110" s="153"/>
      <c r="C110" s="18"/>
      <c r="D110" s="69"/>
    </row>
    <row r="111" spans="1:4" x14ac:dyDescent="0.25">
      <c r="A111" s="162"/>
      <c r="B111" s="179" t="s">
        <v>2515</v>
      </c>
      <c r="C111" s="18"/>
      <c r="D111" s="69"/>
    </row>
    <row r="112" spans="1:4" x14ac:dyDescent="0.25">
      <c r="A112" s="162"/>
      <c r="B112" s="153"/>
      <c r="C112" s="18"/>
      <c r="D112" s="69"/>
    </row>
    <row r="113" spans="1:4" ht="56.25" x14ac:dyDescent="0.25">
      <c r="A113" s="162" t="s">
        <v>2520</v>
      </c>
      <c r="B113" s="153" t="s">
        <v>2517</v>
      </c>
      <c r="C113" s="110"/>
      <c r="D113" s="69"/>
    </row>
    <row r="114" spans="1:4" ht="45" x14ac:dyDescent="0.25">
      <c r="A114" s="162"/>
      <c r="B114" s="153" t="s">
        <v>5502</v>
      </c>
      <c r="C114" s="18"/>
      <c r="D114" s="69"/>
    </row>
    <row r="115" spans="1:4" x14ac:dyDescent="0.25">
      <c r="A115" s="162" t="s">
        <v>2522</v>
      </c>
      <c r="B115" s="153" t="s">
        <v>2519</v>
      </c>
      <c r="C115" s="110"/>
      <c r="D115" s="69"/>
    </row>
    <row r="116" spans="1:4" x14ac:dyDescent="0.25">
      <c r="A116" s="162" t="s">
        <v>2524</v>
      </c>
      <c r="B116" s="153" t="s">
        <v>2521</v>
      </c>
      <c r="C116" s="110"/>
      <c r="D116" s="69"/>
    </row>
    <row r="117" spans="1:4" x14ac:dyDescent="0.25">
      <c r="A117" s="162" t="s">
        <v>2526</v>
      </c>
      <c r="B117" s="153" t="s">
        <v>2523</v>
      </c>
      <c r="C117" s="110"/>
      <c r="D117" s="69"/>
    </row>
    <row r="118" spans="1:4" x14ac:dyDescent="0.25">
      <c r="A118" s="162"/>
      <c r="B118" s="153"/>
      <c r="C118" s="18"/>
      <c r="D118" s="69"/>
    </row>
    <row r="119" spans="1:4" ht="33.75" x14ac:dyDescent="0.25">
      <c r="A119" s="162" t="s">
        <v>2528</v>
      </c>
      <c r="B119" s="153" t="s">
        <v>5503</v>
      </c>
      <c r="C119" s="116"/>
      <c r="D119" s="69"/>
    </row>
    <row r="120" spans="1:4" x14ac:dyDescent="0.25">
      <c r="A120" s="162"/>
      <c r="B120" s="153"/>
      <c r="C120" s="18"/>
      <c r="D120" s="69"/>
    </row>
    <row r="121" spans="1:4" x14ac:dyDescent="0.25">
      <c r="A121" s="162"/>
      <c r="B121" s="179" t="s">
        <v>2525</v>
      </c>
      <c r="C121" s="18"/>
      <c r="D121" s="69"/>
    </row>
    <row r="122" spans="1:4" x14ac:dyDescent="0.25">
      <c r="A122" s="162"/>
      <c r="B122" s="153"/>
      <c r="C122" s="18"/>
      <c r="D122" s="69"/>
    </row>
    <row r="123" spans="1:4" ht="33.75" x14ac:dyDescent="0.25">
      <c r="A123" s="162" t="s">
        <v>2530</v>
      </c>
      <c r="B123" s="153" t="s">
        <v>2527</v>
      </c>
      <c r="C123" s="110"/>
      <c r="D123" s="69"/>
    </row>
    <row r="124" spans="1:4" x14ac:dyDescent="0.25">
      <c r="A124" s="162" t="s">
        <v>2532</v>
      </c>
      <c r="B124" s="153" t="s">
        <v>2529</v>
      </c>
      <c r="C124" s="116"/>
      <c r="D124" s="69"/>
    </row>
    <row r="125" spans="1:4" ht="45" x14ac:dyDescent="0.25">
      <c r="A125" s="162" t="s">
        <v>2534</v>
      </c>
      <c r="B125" s="153" t="s">
        <v>2531</v>
      </c>
      <c r="C125" s="110"/>
      <c r="D125" s="69"/>
    </row>
    <row r="126" spans="1:4" ht="22.5" x14ac:dyDescent="0.25">
      <c r="A126" s="162" t="s">
        <v>2536</v>
      </c>
      <c r="B126" s="153" t="s">
        <v>2533</v>
      </c>
      <c r="C126" s="116"/>
      <c r="D126" s="69"/>
    </row>
    <row r="127" spans="1:4" ht="33.75" x14ac:dyDescent="0.25">
      <c r="A127" s="162" t="s">
        <v>2537</v>
      </c>
      <c r="B127" s="153" t="s">
        <v>2535</v>
      </c>
      <c r="C127" s="110"/>
      <c r="D127" s="69"/>
    </row>
    <row r="128" spans="1:4" x14ac:dyDescent="0.25">
      <c r="A128" s="162" t="s">
        <v>2539</v>
      </c>
      <c r="B128" s="153" t="s">
        <v>2529</v>
      </c>
      <c r="C128" s="116"/>
      <c r="D128" s="69"/>
    </row>
    <row r="129" spans="1:4" ht="33.75" x14ac:dyDescent="0.25">
      <c r="A129" s="162" t="s">
        <v>2541</v>
      </c>
      <c r="B129" s="153" t="s">
        <v>2538</v>
      </c>
      <c r="C129" s="110"/>
      <c r="D129" s="69"/>
    </row>
    <row r="130" spans="1:4" ht="22.5" x14ac:dyDescent="0.25">
      <c r="A130" s="162" t="s">
        <v>2543</v>
      </c>
      <c r="B130" s="153" t="s">
        <v>2533</v>
      </c>
      <c r="C130" s="116"/>
      <c r="D130" s="69"/>
    </row>
    <row r="131" spans="1:4" x14ac:dyDescent="0.25">
      <c r="A131" s="162"/>
      <c r="B131" s="153"/>
      <c r="C131" s="18"/>
      <c r="D131" s="69"/>
    </row>
    <row r="132" spans="1:4" x14ac:dyDescent="0.25">
      <c r="A132" s="162"/>
      <c r="B132" s="153" t="s">
        <v>5504</v>
      </c>
      <c r="C132" s="160"/>
      <c r="D132" s="149"/>
    </row>
    <row r="133" spans="1:4" x14ac:dyDescent="0.25">
      <c r="A133" s="162"/>
      <c r="B133" s="153"/>
      <c r="C133" s="160"/>
      <c r="D133" s="149"/>
    </row>
    <row r="134" spans="1:4" ht="22.5" x14ac:dyDescent="0.25">
      <c r="A134" s="162" t="s">
        <v>2544</v>
      </c>
      <c r="B134" s="153" t="s">
        <v>5505</v>
      </c>
      <c r="C134" s="199"/>
      <c r="D134" s="149"/>
    </row>
    <row r="135" spans="1:4" x14ac:dyDescent="0.25">
      <c r="A135" s="162"/>
      <c r="B135" s="153" t="s">
        <v>5506</v>
      </c>
      <c r="C135" s="160"/>
      <c r="D135" s="149"/>
    </row>
    <row r="136" spans="1:4" ht="67.5" x14ac:dyDescent="0.25">
      <c r="A136" s="162" t="s">
        <v>2546</v>
      </c>
      <c r="B136" s="153" t="s">
        <v>5507</v>
      </c>
      <c r="C136" s="110"/>
      <c r="D136" s="149"/>
    </row>
    <row r="137" spans="1:4" x14ac:dyDescent="0.25">
      <c r="A137" s="162"/>
      <c r="B137" s="153"/>
      <c r="C137" s="160"/>
      <c r="D137" s="149"/>
    </row>
    <row r="138" spans="1:4" x14ac:dyDescent="0.25">
      <c r="A138" s="162"/>
      <c r="B138" s="179" t="s">
        <v>2540</v>
      </c>
      <c r="C138" s="18"/>
      <c r="D138" s="69"/>
    </row>
    <row r="139" spans="1:4" x14ac:dyDescent="0.25">
      <c r="A139" s="162"/>
      <c r="B139" s="153"/>
      <c r="C139" s="18"/>
      <c r="D139" s="69"/>
    </row>
    <row r="140" spans="1:4" ht="22.5" x14ac:dyDescent="0.25">
      <c r="A140" s="162" t="s">
        <v>2548</v>
      </c>
      <c r="B140" s="153" t="s">
        <v>2542</v>
      </c>
      <c r="C140" s="110"/>
      <c r="D140" s="69"/>
    </row>
    <row r="141" spans="1:4" ht="22.5" x14ac:dyDescent="0.25">
      <c r="A141" s="162" t="s">
        <v>2550</v>
      </c>
      <c r="B141" s="153" t="s">
        <v>5508</v>
      </c>
      <c r="C141" s="116"/>
      <c r="D141" s="69"/>
    </row>
    <row r="142" spans="1:4" ht="22.5" x14ac:dyDescent="0.25">
      <c r="A142" s="162" t="s">
        <v>2552</v>
      </c>
      <c r="B142" s="153" t="s">
        <v>5746</v>
      </c>
      <c r="C142" s="116"/>
      <c r="D142" s="69"/>
    </row>
    <row r="143" spans="1:4" x14ac:dyDescent="0.25">
      <c r="A143" s="162"/>
      <c r="B143" s="153"/>
      <c r="C143" s="18"/>
      <c r="D143" s="69"/>
    </row>
    <row r="144" spans="1:4" x14ac:dyDescent="0.25">
      <c r="A144" s="162"/>
      <c r="B144" s="179" t="s">
        <v>2545</v>
      </c>
      <c r="C144" s="18"/>
      <c r="D144" s="69"/>
    </row>
    <row r="145" spans="1:4" x14ac:dyDescent="0.25">
      <c r="A145" s="162"/>
      <c r="B145" s="153"/>
      <c r="C145" s="18"/>
      <c r="D145" s="69"/>
    </row>
    <row r="146" spans="1:4" ht="33.75" x14ac:dyDescent="0.25">
      <c r="A146" s="162" t="s">
        <v>2554</v>
      </c>
      <c r="B146" s="153" t="s">
        <v>2547</v>
      </c>
      <c r="C146" s="110"/>
      <c r="D146" s="69"/>
    </row>
    <row r="147" spans="1:4" ht="22.5" x14ac:dyDescent="0.25">
      <c r="A147" s="162" t="s">
        <v>2556</v>
      </c>
      <c r="B147" s="153" t="s">
        <v>2549</v>
      </c>
      <c r="C147" s="116"/>
      <c r="D147" s="69"/>
    </row>
    <row r="148" spans="1:4" ht="22.5" x14ac:dyDescent="0.25">
      <c r="A148" s="162" t="s">
        <v>2558</v>
      </c>
      <c r="B148" s="153" t="s">
        <v>2551</v>
      </c>
      <c r="C148" s="116"/>
      <c r="D148" s="69"/>
    </row>
    <row r="149" spans="1:4" ht="101.25" x14ac:dyDescent="0.25">
      <c r="A149" s="162" t="s">
        <v>2560</v>
      </c>
      <c r="B149" s="153" t="s">
        <v>5747</v>
      </c>
      <c r="C149" s="110"/>
      <c r="D149" s="69"/>
    </row>
    <row r="150" spans="1:4" x14ac:dyDescent="0.25">
      <c r="A150" s="162"/>
      <c r="B150" s="153"/>
      <c r="C150" s="18"/>
      <c r="D150" s="69"/>
    </row>
    <row r="151" spans="1:4" ht="22.5" x14ac:dyDescent="0.25">
      <c r="A151" s="162"/>
      <c r="B151" s="179" t="s">
        <v>2553</v>
      </c>
      <c r="C151" s="18"/>
      <c r="D151" s="69"/>
    </row>
    <row r="152" spans="1:4" x14ac:dyDescent="0.25">
      <c r="A152" s="162"/>
      <c r="B152" s="153"/>
      <c r="C152" s="18"/>
      <c r="D152" s="69"/>
    </row>
    <row r="153" spans="1:4" ht="22.5" x14ac:dyDescent="0.25">
      <c r="A153" s="162" t="s">
        <v>2562</v>
      </c>
      <c r="B153" s="153" t="s">
        <v>2555</v>
      </c>
      <c r="C153" s="110"/>
      <c r="D153" s="69"/>
    </row>
    <row r="154" spans="1:4" ht="22.5" x14ac:dyDescent="0.25">
      <c r="A154" s="162" t="s">
        <v>2564</v>
      </c>
      <c r="B154" s="153" t="s">
        <v>2557</v>
      </c>
      <c r="C154" s="116"/>
      <c r="D154" s="69"/>
    </row>
    <row r="155" spans="1:4" ht="22.5" x14ac:dyDescent="0.25">
      <c r="A155" s="162" t="s">
        <v>2565</v>
      </c>
      <c r="B155" s="153" t="s">
        <v>2559</v>
      </c>
      <c r="C155" s="110"/>
      <c r="D155" s="69"/>
    </row>
    <row r="156" spans="1:4" ht="22.5" x14ac:dyDescent="0.25">
      <c r="A156" s="162" t="s">
        <v>2567</v>
      </c>
      <c r="B156" s="153" t="s">
        <v>2561</v>
      </c>
      <c r="C156" s="116"/>
      <c r="D156" s="69"/>
    </row>
    <row r="157" spans="1:4" ht="45" x14ac:dyDescent="0.25">
      <c r="A157" s="162" t="s">
        <v>2569</v>
      </c>
      <c r="B157" s="153" t="s">
        <v>2563</v>
      </c>
      <c r="C157" s="110"/>
      <c r="D157" s="69"/>
    </row>
    <row r="158" spans="1:4" x14ac:dyDescent="0.25">
      <c r="A158" s="162" t="s">
        <v>2571</v>
      </c>
      <c r="B158" s="153" t="s">
        <v>5509</v>
      </c>
      <c r="C158" s="116"/>
      <c r="D158" s="69"/>
    </row>
    <row r="159" spans="1:4" ht="67.5" x14ac:dyDescent="0.25">
      <c r="A159" s="162" t="s">
        <v>2573</v>
      </c>
      <c r="B159" s="153" t="s">
        <v>2566</v>
      </c>
      <c r="C159" s="110"/>
      <c r="D159" s="69"/>
    </row>
    <row r="160" spans="1:4" x14ac:dyDescent="0.25">
      <c r="A160" s="162" t="s">
        <v>2575</v>
      </c>
      <c r="B160" s="153" t="s">
        <v>5509</v>
      </c>
      <c r="C160" s="116"/>
      <c r="D160" s="69"/>
    </row>
    <row r="161" spans="1:4" x14ac:dyDescent="0.25">
      <c r="A161" s="162"/>
      <c r="B161" s="153"/>
      <c r="C161" s="18"/>
      <c r="D161" s="69"/>
    </row>
    <row r="162" spans="1:4" x14ac:dyDescent="0.25">
      <c r="A162" s="162"/>
      <c r="B162" s="179" t="s">
        <v>2568</v>
      </c>
      <c r="C162" s="18"/>
      <c r="D162" s="69"/>
    </row>
    <row r="163" spans="1:4" x14ac:dyDescent="0.25">
      <c r="A163" s="162"/>
      <c r="B163" s="153"/>
      <c r="C163" s="18"/>
      <c r="D163" s="69"/>
    </row>
    <row r="164" spans="1:4" ht="33.75" x14ac:dyDescent="0.25">
      <c r="A164" s="162" t="s">
        <v>2577</v>
      </c>
      <c r="B164" s="153" t="s">
        <v>2570</v>
      </c>
      <c r="C164" s="110"/>
      <c r="D164" s="69"/>
    </row>
    <row r="165" spans="1:4" ht="45" x14ac:dyDescent="0.25">
      <c r="A165" s="162" t="s">
        <v>2579</v>
      </c>
      <c r="B165" s="153" t="s">
        <v>2572</v>
      </c>
      <c r="C165" s="116"/>
      <c r="D165" s="69"/>
    </row>
    <row r="166" spans="1:4" ht="33.75" x14ac:dyDescent="0.25">
      <c r="A166" s="162" t="s">
        <v>2581</v>
      </c>
      <c r="B166" s="153" t="s">
        <v>2574</v>
      </c>
      <c r="C166" s="116"/>
      <c r="D166" s="69"/>
    </row>
    <row r="167" spans="1:4" ht="33.75" x14ac:dyDescent="0.25">
      <c r="A167" s="162" t="s">
        <v>2583</v>
      </c>
      <c r="B167" s="153" t="s">
        <v>2576</v>
      </c>
      <c r="C167" s="116"/>
      <c r="D167" s="69"/>
    </row>
    <row r="168" spans="1:4" x14ac:dyDescent="0.25">
      <c r="A168" s="162" t="s">
        <v>2585</v>
      </c>
      <c r="B168" s="153" t="s">
        <v>2578</v>
      </c>
      <c r="C168" s="116"/>
      <c r="D168" s="69"/>
    </row>
    <row r="169" spans="1:4" x14ac:dyDescent="0.25">
      <c r="A169" s="162" t="s">
        <v>2588</v>
      </c>
      <c r="B169" s="153" t="s">
        <v>2580</v>
      </c>
      <c r="C169" s="116"/>
      <c r="D169" s="69"/>
    </row>
    <row r="170" spans="1:4" ht="56.25" x14ac:dyDescent="0.25">
      <c r="A170" s="162" t="s">
        <v>2589</v>
      </c>
      <c r="B170" s="153" t="s">
        <v>2582</v>
      </c>
      <c r="C170" s="116"/>
      <c r="D170" s="69"/>
    </row>
    <row r="171" spans="1:4" ht="33.75" x14ac:dyDescent="0.25">
      <c r="A171" s="162" t="s">
        <v>2591</v>
      </c>
      <c r="B171" s="153" t="s">
        <v>2584</v>
      </c>
      <c r="C171" s="116"/>
      <c r="D171" s="69"/>
    </row>
    <row r="172" spans="1:4" x14ac:dyDescent="0.25">
      <c r="A172" s="162"/>
      <c r="B172" s="153"/>
      <c r="C172" s="18"/>
      <c r="D172" s="69"/>
    </row>
    <row r="173" spans="1:4" ht="56.25" x14ac:dyDescent="0.25">
      <c r="A173" s="162" t="s">
        <v>2593</v>
      </c>
      <c r="B173" s="153" t="s">
        <v>2586</v>
      </c>
      <c r="C173" s="110"/>
      <c r="D173" s="69"/>
    </row>
    <row r="174" spans="1:4" x14ac:dyDescent="0.25">
      <c r="A174" s="162"/>
      <c r="B174" s="153"/>
      <c r="C174" s="18"/>
      <c r="D174" s="69"/>
    </row>
    <row r="175" spans="1:4" x14ac:dyDescent="0.25">
      <c r="A175" s="162"/>
      <c r="B175" s="179" t="s">
        <v>2587</v>
      </c>
      <c r="C175" s="18"/>
      <c r="D175" s="69"/>
    </row>
    <row r="176" spans="1:4" x14ac:dyDescent="0.25">
      <c r="A176" s="162"/>
      <c r="B176" s="153"/>
      <c r="C176" s="18"/>
      <c r="D176" s="69"/>
    </row>
    <row r="177" spans="1:4" ht="90" x14ac:dyDescent="0.25">
      <c r="A177" s="162" t="s">
        <v>2595</v>
      </c>
      <c r="B177" s="153" t="s">
        <v>5748</v>
      </c>
      <c r="C177" s="110"/>
      <c r="D177" s="69"/>
    </row>
    <row r="178" spans="1:4" ht="22.5" x14ac:dyDescent="0.25">
      <c r="A178" s="162" t="s">
        <v>2597</v>
      </c>
      <c r="B178" s="153" t="s">
        <v>2590</v>
      </c>
      <c r="C178" s="116"/>
      <c r="D178" s="69"/>
    </row>
    <row r="179" spans="1:4" x14ac:dyDescent="0.25">
      <c r="A179" s="162" t="s">
        <v>2598</v>
      </c>
      <c r="B179" s="153" t="s">
        <v>2592</v>
      </c>
      <c r="C179" s="30"/>
      <c r="D179" s="69"/>
    </row>
    <row r="180" spans="1:4" x14ac:dyDescent="0.25">
      <c r="A180" s="162" t="s">
        <v>2599</v>
      </c>
      <c r="B180" s="153" t="s">
        <v>2594</v>
      </c>
      <c r="C180" s="30"/>
      <c r="D180" s="69"/>
    </row>
    <row r="181" spans="1:4" x14ac:dyDescent="0.25">
      <c r="A181" s="162" t="s">
        <v>2600</v>
      </c>
      <c r="B181" s="153" t="s">
        <v>2596</v>
      </c>
      <c r="C181" s="30"/>
      <c r="D181" s="69"/>
    </row>
    <row r="182" spans="1:4" x14ac:dyDescent="0.25">
      <c r="A182" s="162"/>
      <c r="B182" s="153"/>
      <c r="C182" s="18"/>
      <c r="D182" s="69"/>
    </row>
    <row r="183" spans="1:4" ht="67.5" x14ac:dyDescent="0.25">
      <c r="A183" s="162" t="s">
        <v>2601</v>
      </c>
      <c r="B183" s="153" t="s">
        <v>5749</v>
      </c>
      <c r="C183" s="110"/>
      <c r="D183" s="69"/>
    </row>
    <row r="184" spans="1:4" ht="22.5" x14ac:dyDescent="0.25">
      <c r="A184" s="162" t="s">
        <v>2602</v>
      </c>
      <c r="B184" s="153" t="s">
        <v>2590</v>
      </c>
      <c r="C184" s="116"/>
      <c r="D184" s="69"/>
    </row>
    <row r="185" spans="1:4" x14ac:dyDescent="0.25">
      <c r="A185" s="162" t="s">
        <v>2604</v>
      </c>
      <c r="B185" s="153" t="s">
        <v>2592</v>
      </c>
      <c r="C185" s="30"/>
      <c r="D185" s="69"/>
    </row>
    <row r="186" spans="1:4" x14ac:dyDescent="0.25">
      <c r="A186" s="162" t="s">
        <v>2605</v>
      </c>
      <c r="B186" s="153" t="s">
        <v>2594</v>
      </c>
      <c r="C186" s="30"/>
      <c r="D186" s="69"/>
    </row>
    <row r="187" spans="1:4" x14ac:dyDescent="0.25">
      <c r="A187" s="162" t="s">
        <v>2606</v>
      </c>
      <c r="B187" s="153" t="s">
        <v>2596</v>
      </c>
      <c r="C187" s="30"/>
      <c r="D187" s="69"/>
    </row>
    <row r="188" spans="1:4" x14ac:dyDescent="0.25">
      <c r="A188" s="162"/>
      <c r="B188" s="153"/>
      <c r="C188" s="18"/>
      <c r="D188" s="69"/>
    </row>
    <row r="189" spans="1:4" ht="112.5" x14ac:dyDescent="0.25">
      <c r="A189" s="162" t="s">
        <v>2607</v>
      </c>
      <c r="B189" s="153" t="s">
        <v>2603</v>
      </c>
      <c r="C189" s="110"/>
      <c r="D189" s="69"/>
    </row>
    <row r="190" spans="1:4" ht="22.5" x14ac:dyDescent="0.25">
      <c r="A190" s="162" t="s">
        <v>2608</v>
      </c>
      <c r="B190" s="153" t="s">
        <v>2590</v>
      </c>
      <c r="C190" s="116"/>
      <c r="D190" s="69"/>
    </row>
    <row r="191" spans="1:4" x14ac:dyDescent="0.25">
      <c r="A191" s="162" t="s">
        <v>2610</v>
      </c>
      <c r="B191" s="153" t="s">
        <v>2592</v>
      </c>
      <c r="C191" s="30"/>
      <c r="D191" s="69"/>
    </row>
    <row r="192" spans="1:4" x14ac:dyDescent="0.25">
      <c r="A192" s="162" t="s">
        <v>2612</v>
      </c>
      <c r="B192" s="153" t="s">
        <v>2594</v>
      </c>
      <c r="C192" s="30"/>
      <c r="D192" s="69"/>
    </row>
    <row r="193" spans="1:4" x14ac:dyDescent="0.25">
      <c r="A193" s="162" t="s">
        <v>2615</v>
      </c>
      <c r="B193" s="153" t="s">
        <v>2596</v>
      </c>
      <c r="C193" s="30"/>
      <c r="D193" s="69"/>
    </row>
    <row r="194" spans="1:4" x14ac:dyDescent="0.25">
      <c r="A194" s="162"/>
      <c r="B194" s="153"/>
      <c r="C194" s="18"/>
      <c r="D194" s="69"/>
    </row>
    <row r="195" spans="1:4" x14ac:dyDescent="0.25">
      <c r="A195" s="162"/>
      <c r="B195" s="179" t="s">
        <v>5510</v>
      </c>
      <c r="C195" s="18"/>
      <c r="D195" s="69"/>
    </row>
    <row r="196" spans="1:4" x14ac:dyDescent="0.25">
      <c r="A196" s="162"/>
      <c r="B196" s="153"/>
      <c r="C196" s="18"/>
      <c r="D196" s="69"/>
    </row>
    <row r="197" spans="1:4" ht="33.75" x14ac:dyDescent="0.25">
      <c r="A197" s="162" t="s">
        <v>2617</v>
      </c>
      <c r="B197" s="153" t="s">
        <v>2609</v>
      </c>
      <c r="C197" s="110"/>
      <c r="D197" s="69"/>
    </row>
    <row r="198" spans="1:4" ht="33.75" x14ac:dyDescent="0.25">
      <c r="A198" s="162" t="s">
        <v>2620</v>
      </c>
      <c r="B198" s="153" t="s">
        <v>2611</v>
      </c>
      <c r="C198" s="110"/>
      <c r="D198" s="69"/>
    </row>
    <row r="199" spans="1:4" ht="33.75" x14ac:dyDescent="0.25">
      <c r="A199" s="162" t="s">
        <v>2622</v>
      </c>
      <c r="B199" s="153" t="s">
        <v>2613</v>
      </c>
      <c r="C199" s="110"/>
      <c r="D199" s="69"/>
    </row>
    <row r="200" spans="1:4" ht="22.5" x14ac:dyDescent="0.25">
      <c r="A200" s="162"/>
      <c r="B200" s="153" t="s">
        <v>2614</v>
      </c>
      <c r="C200" s="18"/>
      <c r="D200" s="69"/>
    </row>
    <row r="201" spans="1:4" ht="22.5" x14ac:dyDescent="0.25">
      <c r="A201" s="162" t="s">
        <v>2624</v>
      </c>
      <c r="B201" s="153" t="s">
        <v>2616</v>
      </c>
      <c r="C201" s="110"/>
      <c r="D201" s="69"/>
    </row>
    <row r="202" spans="1:4" x14ac:dyDescent="0.25">
      <c r="A202" s="162" t="s">
        <v>2626</v>
      </c>
      <c r="B202" s="153" t="s">
        <v>2618</v>
      </c>
      <c r="C202" s="110"/>
      <c r="D202" s="69"/>
    </row>
    <row r="203" spans="1:4" ht="67.5" x14ac:dyDescent="0.25">
      <c r="A203" s="162"/>
      <c r="B203" s="153" t="s">
        <v>2619</v>
      </c>
      <c r="C203" s="18"/>
      <c r="D203" s="69"/>
    </row>
    <row r="204" spans="1:4" ht="22.5" x14ac:dyDescent="0.25">
      <c r="A204" s="162" t="s">
        <v>2628</v>
      </c>
      <c r="B204" s="153" t="s">
        <v>2621</v>
      </c>
      <c r="C204" s="110"/>
      <c r="D204" s="69"/>
    </row>
    <row r="205" spans="1:4" ht="22.5" x14ac:dyDescent="0.25">
      <c r="A205" s="162" t="s">
        <v>2630</v>
      </c>
      <c r="B205" s="153" t="s">
        <v>2623</v>
      </c>
      <c r="C205" s="110"/>
      <c r="D205" s="69"/>
    </row>
    <row r="206" spans="1:4" x14ac:dyDescent="0.25">
      <c r="A206" s="162"/>
      <c r="B206" s="153"/>
      <c r="C206" s="18"/>
      <c r="D206" s="69"/>
    </row>
    <row r="207" spans="1:4" ht="33.75" x14ac:dyDescent="0.25">
      <c r="A207" s="162"/>
      <c r="B207" s="179" t="s">
        <v>5511</v>
      </c>
      <c r="C207" s="160"/>
      <c r="D207" s="149"/>
    </row>
    <row r="208" spans="1:4" x14ac:dyDescent="0.25">
      <c r="A208" s="162"/>
      <c r="B208" s="153"/>
      <c r="C208" s="160"/>
      <c r="D208" s="149"/>
    </row>
    <row r="209" spans="1:4" ht="45" x14ac:dyDescent="0.25">
      <c r="A209" s="162" t="s">
        <v>2632</v>
      </c>
      <c r="B209" s="153" t="s">
        <v>5512</v>
      </c>
      <c r="C209" s="110"/>
      <c r="D209" s="149"/>
    </row>
    <row r="210" spans="1:4" x14ac:dyDescent="0.25">
      <c r="A210" s="162" t="s">
        <v>2634</v>
      </c>
      <c r="B210" s="153" t="s">
        <v>2465</v>
      </c>
      <c r="C210" s="203"/>
      <c r="D210" s="149"/>
    </row>
    <row r="211" spans="1:4" x14ac:dyDescent="0.25">
      <c r="A211" s="162"/>
      <c r="B211" s="153"/>
      <c r="C211" s="160"/>
      <c r="D211" s="149"/>
    </row>
    <row r="212" spans="1:4" ht="33.75" x14ac:dyDescent="0.25">
      <c r="A212" s="162" t="s">
        <v>2635</v>
      </c>
      <c r="B212" s="153" t="s">
        <v>5513</v>
      </c>
      <c r="C212" s="110"/>
      <c r="D212" s="149"/>
    </row>
    <row r="213" spans="1:4" ht="33.75" x14ac:dyDescent="0.25">
      <c r="A213" s="162" t="s">
        <v>2636</v>
      </c>
      <c r="B213" s="153" t="s">
        <v>5750</v>
      </c>
      <c r="C213" s="203"/>
      <c r="D213" s="149"/>
    </row>
    <row r="214" spans="1:4" x14ac:dyDescent="0.25">
      <c r="A214" s="162" t="s">
        <v>2637</v>
      </c>
      <c r="B214" s="153" t="s">
        <v>2465</v>
      </c>
      <c r="C214" s="203"/>
      <c r="D214" s="149"/>
    </row>
    <row r="215" spans="1:4" x14ac:dyDescent="0.25">
      <c r="A215" s="162"/>
      <c r="B215" s="153"/>
      <c r="C215" s="160"/>
      <c r="D215" s="149"/>
    </row>
    <row r="216" spans="1:4" ht="45" x14ac:dyDescent="0.25">
      <c r="A216" s="162" t="s">
        <v>2638</v>
      </c>
      <c r="B216" s="153" t="s">
        <v>5514</v>
      </c>
      <c r="C216" s="110"/>
      <c r="D216" s="149"/>
    </row>
    <row r="217" spans="1:4" x14ac:dyDescent="0.25">
      <c r="A217" s="162" t="s">
        <v>2641</v>
      </c>
      <c r="B217" s="153" t="s">
        <v>2465</v>
      </c>
      <c r="C217" s="203"/>
      <c r="D217" s="149"/>
    </row>
    <row r="218" spans="1:4" x14ac:dyDescent="0.25">
      <c r="A218" s="162"/>
      <c r="B218" s="153"/>
      <c r="C218" s="160"/>
      <c r="D218" s="149"/>
    </row>
    <row r="219" spans="1:4" ht="56.25" x14ac:dyDescent="0.25">
      <c r="A219" s="162"/>
      <c r="B219" s="179" t="s">
        <v>5515</v>
      </c>
      <c r="C219" s="18"/>
      <c r="D219" s="69"/>
    </row>
    <row r="220" spans="1:4" x14ac:dyDescent="0.25">
      <c r="A220" s="162"/>
      <c r="B220" s="153"/>
      <c r="C220" s="18"/>
      <c r="D220" s="69"/>
    </row>
    <row r="221" spans="1:4" ht="78.75" x14ac:dyDescent="0.25">
      <c r="A221" s="162" t="s">
        <v>2643</v>
      </c>
      <c r="B221" s="153" t="s">
        <v>5516</v>
      </c>
      <c r="C221" s="110"/>
      <c r="D221" s="69"/>
    </row>
    <row r="222" spans="1:4" x14ac:dyDescent="0.25">
      <c r="A222" s="162"/>
      <c r="B222" s="153"/>
      <c r="C222" s="18"/>
      <c r="D222" s="69"/>
    </row>
    <row r="223" spans="1:4" ht="22.5" x14ac:dyDescent="0.25">
      <c r="A223" s="162"/>
      <c r="B223" s="153" t="s">
        <v>2625</v>
      </c>
      <c r="C223" s="18"/>
      <c r="D223" s="69"/>
    </row>
    <row r="224" spans="1:4" x14ac:dyDescent="0.25">
      <c r="A224" s="162"/>
      <c r="B224" s="153"/>
      <c r="C224" s="18"/>
      <c r="D224" s="69"/>
    </row>
    <row r="225" spans="1:4" x14ac:dyDescent="0.25">
      <c r="A225" s="162" t="s">
        <v>2644</v>
      </c>
      <c r="B225" s="153" t="s">
        <v>889</v>
      </c>
      <c r="C225" s="68">
        <f>IF(Generales!C57="SI",'ANEXO 2'!C7,0)</f>
        <v>0</v>
      </c>
      <c r="D225" s="69"/>
    </row>
    <row r="226" spans="1:4" x14ac:dyDescent="0.25">
      <c r="A226" s="162"/>
      <c r="B226" s="153"/>
      <c r="C226" s="18"/>
      <c r="D226" s="69"/>
    </row>
    <row r="227" spans="1:4" x14ac:dyDescent="0.25">
      <c r="A227" s="162"/>
      <c r="B227" s="153" t="s">
        <v>2627</v>
      </c>
      <c r="C227" s="18"/>
      <c r="D227" s="69"/>
    </row>
    <row r="228" spans="1:4" x14ac:dyDescent="0.25">
      <c r="A228" s="162" t="s">
        <v>2645</v>
      </c>
      <c r="B228" s="153" t="s">
        <v>2629</v>
      </c>
      <c r="C228" s="193">
        <f>IF(Generales!C57="SI",'ANEXO 5'!C30+'ANEXO 5'!C31,0)</f>
        <v>0</v>
      </c>
      <c r="D228" s="69"/>
    </row>
    <row r="229" spans="1:4" x14ac:dyDescent="0.25">
      <c r="A229" s="162" t="s">
        <v>2647</v>
      </c>
      <c r="B229" s="153" t="s">
        <v>2631</v>
      </c>
      <c r="C229" s="193">
        <f>IF(Generales!C57="SI",'ANEXO 5'!C32,0)</f>
        <v>0</v>
      </c>
      <c r="D229" s="69"/>
    </row>
    <row r="230" spans="1:4" x14ac:dyDescent="0.25">
      <c r="A230" s="162" t="s">
        <v>2649</v>
      </c>
      <c r="B230" s="153" t="s">
        <v>2633</v>
      </c>
      <c r="C230" s="193">
        <f>IF(Generales!C57="SI",'ANEXO 5'!C34+'ANEXO 5'!C35,0)</f>
        <v>0</v>
      </c>
      <c r="D230" s="69"/>
    </row>
    <row r="231" spans="1:4" x14ac:dyDescent="0.25">
      <c r="A231" s="162" t="s">
        <v>2650</v>
      </c>
      <c r="B231" s="153" t="s">
        <v>1246</v>
      </c>
      <c r="C231" s="193">
        <f>IF(Generales!C57="SI",'ANEXO 5'!C29,0)</f>
        <v>0</v>
      </c>
      <c r="D231" s="69"/>
    </row>
    <row r="232" spans="1:4" x14ac:dyDescent="0.25">
      <c r="A232" s="162" t="s">
        <v>2653</v>
      </c>
      <c r="B232" s="153" t="s">
        <v>2405</v>
      </c>
      <c r="C232" s="116"/>
      <c r="D232" s="69"/>
    </row>
    <row r="233" spans="1:4" x14ac:dyDescent="0.25">
      <c r="A233" s="162" t="s">
        <v>2655</v>
      </c>
      <c r="B233" s="153" t="s">
        <v>1238</v>
      </c>
      <c r="C233" s="193">
        <f>IF(Generales!C57="SI",'ANEXO 5'!C25,0)</f>
        <v>0</v>
      </c>
      <c r="D233" s="69"/>
    </row>
    <row r="234" spans="1:4" x14ac:dyDescent="0.25">
      <c r="A234" s="162" t="s">
        <v>2657</v>
      </c>
      <c r="B234" s="153" t="s">
        <v>638</v>
      </c>
      <c r="C234" s="52"/>
      <c r="D234" s="69"/>
    </row>
    <row r="235" spans="1:4" x14ac:dyDescent="0.25">
      <c r="A235" s="162" t="s">
        <v>2660</v>
      </c>
      <c r="B235" s="153" t="s">
        <v>2639</v>
      </c>
      <c r="C235" s="54">
        <f>TRUNC(SUM(C228:C234),0)</f>
        <v>0</v>
      </c>
      <c r="D235" s="69"/>
    </row>
    <row r="236" spans="1:4" x14ac:dyDescent="0.25">
      <c r="A236" s="162"/>
      <c r="B236" s="153"/>
      <c r="C236" s="18"/>
      <c r="D236" s="69"/>
    </row>
    <row r="237" spans="1:4" x14ac:dyDescent="0.25">
      <c r="A237" s="162"/>
      <c r="B237" s="153" t="s">
        <v>2640</v>
      </c>
      <c r="C237" s="18"/>
      <c r="D237" s="69"/>
    </row>
    <row r="238" spans="1:4" ht="22.5" x14ac:dyDescent="0.25">
      <c r="A238" s="162" t="s">
        <v>2662</v>
      </c>
      <c r="B238" s="153" t="s">
        <v>2642</v>
      </c>
      <c r="C238" s="54">
        <f>TRUNC(C225-C235,0)</f>
        <v>0</v>
      </c>
      <c r="D238" s="69"/>
    </row>
    <row r="239" spans="1:4" x14ac:dyDescent="0.25">
      <c r="A239" s="162" t="s">
        <v>2664</v>
      </c>
      <c r="B239" s="153" t="s">
        <v>892</v>
      </c>
      <c r="C239" s="192">
        <f>IF(Generales!C57="SI",'ANEXO 2'!C11,0)</f>
        <v>0</v>
      </c>
      <c r="D239" s="69"/>
    </row>
    <row r="240" spans="1:4" x14ac:dyDescent="0.25">
      <c r="A240" s="162" t="s">
        <v>2666</v>
      </c>
      <c r="B240" s="153" t="s">
        <v>897</v>
      </c>
      <c r="C240" s="192">
        <f>IF(Generales!C57="SI",'ANEXO 2'!C23,0)</f>
        <v>0</v>
      </c>
      <c r="D240" s="69"/>
    </row>
    <row r="241" spans="1:4" x14ac:dyDescent="0.25">
      <c r="A241" s="162"/>
      <c r="B241" s="153"/>
      <c r="C241" s="18"/>
      <c r="D241" s="69"/>
    </row>
    <row r="242" spans="1:4" x14ac:dyDescent="0.25">
      <c r="A242" s="162"/>
      <c r="B242" s="153" t="s">
        <v>2627</v>
      </c>
      <c r="C242" s="18"/>
      <c r="D242" s="69"/>
    </row>
    <row r="243" spans="1:4" x14ac:dyDescent="0.25">
      <c r="A243" s="162" t="s">
        <v>2668</v>
      </c>
      <c r="B243" s="153" t="s">
        <v>2646</v>
      </c>
      <c r="C243" s="52"/>
      <c r="D243" s="69"/>
    </row>
    <row r="244" spans="1:4" x14ac:dyDescent="0.25">
      <c r="A244" s="162"/>
      <c r="B244" s="153"/>
      <c r="C244" s="18"/>
      <c r="D244" s="69"/>
    </row>
    <row r="245" spans="1:4" x14ac:dyDescent="0.25">
      <c r="A245" s="162"/>
      <c r="B245" s="153" t="s">
        <v>2640</v>
      </c>
      <c r="C245" s="18"/>
      <c r="D245" s="69"/>
    </row>
    <row r="246" spans="1:4" ht="22.5" x14ac:dyDescent="0.25">
      <c r="A246" s="162" t="s">
        <v>2670</v>
      </c>
      <c r="B246" s="153" t="s">
        <v>2648</v>
      </c>
      <c r="C246" s="54">
        <f>TRUNC(C240-C243,0)</f>
        <v>0</v>
      </c>
      <c r="D246" s="69"/>
    </row>
    <row r="247" spans="1:4" x14ac:dyDescent="0.25">
      <c r="A247" s="162"/>
      <c r="B247" s="153"/>
      <c r="C247" s="20"/>
      <c r="D247" s="69"/>
    </row>
    <row r="248" spans="1:4" ht="45" x14ac:dyDescent="0.25">
      <c r="A248" s="162" t="s">
        <v>2671</v>
      </c>
      <c r="B248" s="153" t="s">
        <v>5517</v>
      </c>
      <c r="C248" s="54">
        <f>TRUNC(C238-C239-C246,0)</f>
        <v>0</v>
      </c>
      <c r="D248" s="69"/>
    </row>
    <row r="249" spans="1:4" x14ac:dyDescent="0.25">
      <c r="A249" s="162"/>
      <c r="B249" s="153"/>
      <c r="C249" s="18"/>
      <c r="D249" s="69"/>
    </row>
    <row r="250" spans="1:4" x14ac:dyDescent="0.25">
      <c r="A250" s="200"/>
      <c r="B250" s="201"/>
      <c r="C250" s="202"/>
      <c r="D250" s="69"/>
    </row>
    <row r="251" spans="1:4" x14ac:dyDescent="0.25">
      <c r="A251" s="162"/>
      <c r="B251" s="153"/>
      <c r="C251" s="18"/>
      <c r="D251" s="69"/>
    </row>
    <row r="252" spans="1:4" ht="22.5" x14ac:dyDescent="0.25">
      <c r="A252" s="162" t="s">
        <v>2673</v>
      </c>
      <c r="B252" s="153" t="s">
        <v>2651</v>
      </c>
      <c r="C252" s="199"/>
      <c r="D252" s="69"/>
    </row>
    <row r="253" spans="1:4" x14ac:dyDescent="0.25">
      <c r="A253" s="162"/>
      <c r="B253" s="153"/>
      <c r="C253" s="18"/>
      <c r="D253" s="69"/>
    </row>
    <row r="254" spans="1:4" ht="22.5" x14ac:dyDescent="0.25">
      <c r="A254" s="162"/>
      <c r="B254" s="153" t="s">
        <v>2652</v>
      </c>
      <c r="C254" s="18"/>
      <c r="D254" s="69"/>
    </row>
    <row r="255" spans="1:4" x14ac:dyDescent="0.25">
      <c r="A255" s="162"/>
      <c r="B255" s="153"/>
      <c r="C255" s="18"/>
      <c r="D255" s="69"/>
    </row>
    <row r="256" spans="1:4" ht="45" x14ac:dyDescent="0.25">
      <c r="A256" s="162" t="s">
        <v>2674</v>
      </c>
      <c r="B256" s="153" t="s">
        <v>2654</v>
      </c>
      <c r="C256" s="110"/>
      <c r="D256" s="69"/>
    </row>
    <row r="257" spans="1:4" ht="22.5" x14ac:dyDescent="0.25">
      <c r="A257" s="162" t="s">
        <v>2675</v>
      </c>
      <c r="B257" s="153" t="s">
        <v>2656</v>
      </c>
      <c r="C257" s="110"/>
      <c r="D257" s="69"/>
    </row>
    <row r="258" spans="1:4" ht="56.25" x14ac:dyDescent="0.25">
      <c r="A258" s="162" t="s">
        <v>2677</v>
      </c>
      <c r="B258" s="153" t="s">
        <v>2658</v>
      </c>
      <c r="C258" s="110"/>
      <c r="D258" s="69"/>
    </row>
    <row r="259" spans="1:4" x14ac:dyDescent="0.25">
      <c r="A259" s="162"/>
      <c r="B259" s="153"/>
      <c r="C259" s="18"/>
      <c r="D259" s="69"/>
    </row>
    <row r="260" spans="1:4" ht="22.5" x14ac:dyDescent="0.25">
      <c r="A260" s="162"/>
      <c r="B260" s="179" t="s">
        <v>2659</v>
      </c>
      <c r="C260" s="18"/>
      <c r="D260" s="69"/>
    </row>
    <row r="261" spans="1:4" x14ac:dyDescent="0.25">
      <c r="A261" s="162"/>
      <c r="B261" s="153"/>
      <c r="C261" s="18"/>
      <c r="D261" s="69"/>
    </row>
    <row r="262" spans="1:4" x14ac:dyDescent="0.25">
      <c r="A262" s="162" t="s">
        <v>2681</v>
      </c>
      <c r="B262" s="153" t="s">
        <v>2661</v>
      </c>
      <c r="C262" s="110"/>
      <c r="D262" s="69"/>
    </row>
    <row r="263" spans="1:4" ht="22.5" x14ac:dyDescent="0.25">
      <c r="A263" s="162" t="s">
        <v>2683</v>
      </c>
      <c r="B263" s="153" t="s">
        <v>2663</v>
      </c>
      <c r="C263" s="110"/>
      <c r="D263" s="69"/>
    </row>
    <row r="264" spans="1:4" ht="22.5" x14ac:dyDescent="0.25">
      <c r="A264" s="162" t="s">
        <v>2684</v>
      </c>
      <c r="B264" s="153" t="s">
        <v>2665</v>
      </c>
      <c r="C264" s="110"/>
      <c r="D264" s="69"/>
    </row>
    <row r="265" spans="1:4" x14ac:dyDescent="0.25">
      <c r="A265" s="162"/>
      <c r="B265" s="153"/>
      <c r="C265" s="18"/>
      <c r="D265" s="69"/>
    </row>
    <row r="266" spans="1:4" ht="45" x14ac:dyDescent="0.25">
      <c r="A266" s="162" t="s">
        <v>2686</v>
      </c>
      <c r="B266" s="153" t="s">
        <v>2667</v>
      </c>
      <c r="C266" s="109"/>
      <c r="D266" s="69"/>
    </row>
    <row r="267" spans="1:4" ht="33.75" x14ac:dyDescent="0.25">
      <c r="A267" s="162" t="s">
        <v>2687</v>
      </c>
      <c r="B267" s="153" t="s">
        <v>2669</v>
      </c>
      <c r="C267" s="109"/>
      <c r="D267" s="69"/>
    </row>
    <row r="268" spans="1:4" ht="22.5" x14ac:dyDescent="0.25">
      <c r="A268" s="162" t="s">
        <v>2688</v>
      </c>
      <c r="B268" s="153" t="s">
        <v>5751</v>
      </c>
      <c r="C268" s="110"/>
      <c r="D268" s="69"/>
    </row>
    <row r="269" spans="1:4" ht="33.75" x14ac:dyDescent="0.25">
      <c r="A269" s="162" t="s">
        <v>5518</v>
      </c>
      <c r="B269" s="153" t="s">
        <v>2672</v>
      </c>
      <c r="C269" s="116"/>
      <c r="D269" s="69"/>
    </row>
    <row r="270" spans="1:4" x14ac:dyDescent="0.25">
      <c r="A270" s="162"/>
      <c r="B270" s="153"/>
      <c r="C270" s="18"/>
      <c r="D270" s="69"/>
    </row>
    <row r="271" spans="1:4" ht="56.25" x14ac:dyDescent="0.25">
      <c r="A271" s="162" t="s">
        <v>5519</v>
      </c>
      <c r="B271" s="153" t="s">
        <v>5520</v>
      </c>
      <c r="C271" s="116"/>
      <c r="D271" s="69"/>
    </row>
    <row r="272" spans="1:4" x14ac:dyDescent="0.25">
      <c r="A272" s="162"/>
      <c r="B272" s="153"/>
      <c r="C272" s="18"/>
      <c r="D272" s="69"/>
    </row>
    <row r="273" spans="1:4" ht="56.25" x14ac:dyDescent="0.25">
      <c r="A273" s="162" t="s">
        <v>5521</v>
      </c>
      <c r="B273" s="153" t="s">
        <v>5752</v>
      </c>
      <c r="C273" s="110"/>
      <c r="D273" s="69"/>
    </row>
    <row r="274" spans="1:4" x14ac:dyDescent="0.25">
      <c r="A274" s="162" t="s">
        <v>5522</v>
      </c>
      <c r="B274" s="153" t="s">
        <v>2676</v>
      </c>
      <c r="C274" s="116"/>
      <c r="D274" s="69"/>
    </row>
    <row r="275" spans="1:4" x14ac:dyDescent="0.25">
      <c r="A275" s="162"/>
      <c r="B275" s="153"/>
      <c r="C275" s="18"/>
      <c r="D275" s="69"/>
    </row>
    <row r="276" spans="1:4" ht="33.75" x14ac:dyDescent="0.25">
      <c r="A276" s="162" t="s">
        <v>5523</v>
      </c>
      <c r="B276" s="153" t="s">
        <v>2678</v>
      </c>
      <c r="C276" s="110"/>
      <c r="D276" s="69"/>
    </row>
    <row r="277" spans="1:4" x14ac:dyDescent="0.25">
      <c r="A277" s="162"/>
      <c r="B277" s="153"/>
      <c r="C277" s="18"/>
      <c r="D277" s="69"/>
    </row>
    <row r="278" spans="1:4" ht="22.5" x14ac:dyDescent="0.25">
      <c r="A278" s="162"/>
      <c r="B278" s="179" t="s">
        <v>2679</v>
      </c>
      <c r="C278" s="18"/>
      <c r="D278" s="69"/>
    </row>
    <row r="279" spans="1:4" x14ac:dyDescent="0.25">
      <c r="A279" s="162"/>
      <c r="B279" s="153"/>
      <c r="C279" s="18"/>
      <c r="D279" s="69"/>
    </row>
    <row r="280" spans="1:4" ht="33.75" x14ac:dyDescent="0.25">
      <c r="A280" s="162"/>
      <c r="B280" s="153" t="s">
        <v>2680</v>
      </c>
      <c r="C280" s="18"/>
      <c r="D280" s="69"/>
    </row>
    <row r="281" spans="1:4" x14ac:dyDescent="0.25">
      <c r="A281" s="162"/>
      <c r="B281" s="153"/>
      <c r="C281" s="18"/>
      <c r="D281" s="69"/>
    </row>
    <row r="282" spans="1:4" ht="33.75" x14ac:dyDescent="0.25">
      <c r="A282" s="162" t="s">
        <v>5524</v>
      </c>
      <c r="B282" s="153" t="s">
        <v>2682</v>
      </c>
      <c r="C282" s="116"/>
      <c r="D282" s="69"/>
    </row>
    <row r="283" spans="1:4" ht="33.75" x14ac:dyDescent="0.25">
      <c r="A283" s="162" t="s">
        <v>5525</v>
      </c>
      <c r="B283" s="153" t="s">
        <v>5526</v>
      </c>
      <c r="C283" s="116"/>
      <c r="D283" s="69"/>
    </row>
    <row r="284" spans="1:4" ht="33.75" x14ac:dyDescent="0.25">
      <c r="A284" s="162" t="s">
        <v>5527</v>
      </c>
      <c r="B284" s="153" t="s">
        <v>2685</v>
      </c>
      <c r="C284" s="116"/>
      <c r="D284" s="69"/>
    </row>
    <row r="285" spans="1:4" ht="33.75" x14ac:dyDescent="0.25">
      <c r="A285" s="162" t="s">
        <v>5528</v>
      </c>
      <c r="B285" s="153" t="s">
        <v>5529</v>
      </c>
      <c r="C285" s="116"/>
      <c r="D285" s="69"/>
    </row>
    <row r="286" spans="1:4" ht="33.75" x14ac:dyDescent="0.25">
      <c r="A286" s="162" t="s">
        <v>5530</v>
      </c>
      <c r="B286" s="153" t="s">
        <v>5531</v>
      </c>
      <c r="C286" s="116"/>
      <c r="D286" s="69"/>
    </row>
    <row r="287" spans="1:4" ht="22.5" x14ac:dyDescent="0.25">
      <c r="A287" s="162" t="s">
        <v>5532</v>
      </c>
      <c r="B287" s="153" t="s">
        <v>5533</v>
      </c>
      <c r="C287" s="116"/>
      <c r="D287" s="69"/>
    </row>
    <row r="288" spans="1:4" x14ac:dyDescent="0.25">
      <c r="A288" s="163"/>
      <c r="B288" s="160"/>
      <c r="C288" s="18"/>
      <c r="D288" s="69"/>
    </row>
    <row r="289" spans="1:4" ht="8.1" customHeight="1" x14ac:dyDescent="0.25">
      <c r="A289" s="70" t="s">
        <v>0</v>
      </c>
      <c r="B289" s="152"/>
      <c r="C289" s="70"/>
      <c r="D289" s="69"/>
    </row>
  </sheetData>
  <sheetProtection password="C9D6" sheet="1" objects="1" scenarios="1" formatCells="0" formatColumns="0" formatRows="0" autoFilter="0"/>
  <dataValidations disablePrompts="1" count="4">
    <dataValidation type="list" allowBlank="1" showInputMessage="1" showErrorMessage="1" errorTitle="SAT" error="El valor seleccionado no existe en la lista, por favor selecione una opción Válida" promptTitle="Seleccione un valor de la lista" prompt="SAT" sqref="C26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C204:C205 C173 C164 C159 C157 C155 C153 C113 C108 C88 C85 C79 C77 C61 C58:C59 C209 C212 C216">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39:C43 C31:C35 C23:C27">
      <formula1>CATALOGCOLUMNFILTERED46</formula1>
    </dataValidation>
    <dataValidation type="list" allowBlank="1" showInputMessage="1" showErrorMessage="1" errorTitle="SAT" error="El valor seleccionado no existe en la lista, por favor selecione una opción Válida" promptTitle="Seleccione un valor de la lista" prompt="SAT" sqref="C276 C273 C262:C264 C256:C258 C252 C221 C201:C202 C197:C199 C189 C183 C177 C149 C146 C140 C129 C127 C125 C123 C115:C117 C101 C92 C82 C55:C56 C51 C49 C46 C20 C18 C11:C15 C104 C134 C136">
      <formula1>CATALOGCOLUMNFILTERED7</formula1>
    </dataValidation>
  </dataValidation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6"/>
  <sheetViews>
    <sheetView workbookViewId="0"/>
  </sheetViews>
  <sheetFormatPr defaultColWidth="11.5703125" defaultRowHeight="15" x14ac:dyDescent="0.25"/>
  <cols>
    <col min="1" max="1" width="14.28515625" style="107" customWidth="1"/>
    <col min="2" max="2" width="35.7109375" style="107" customWidth="1"/>
    <col min="3" max="6" width="18.7109375" style="107" customWidth="1"/>
    <col min="7" max="7" width="1.7109375" style="107" customWidth="1"/>
    <col min="8" max="16384" width="11.5703125" style="107"/>
  </cols>
  <sheetData>
    <row r="1" spans="1:7" ht="68.25" x14ac:dyDescent="0.25">
      <c r="A1" s="42" t="s">
        <v>0</v>
      </c>
      <c r="B1" s="122" t="s">
        <v>5688</v>
      </c>
      <c r="C1" s="42"/>
      <c r="D1" s="42"/>
      <c r="E1" s="42" t="s">
        <v>0</v>
      </c>
      <c r="F1" s="42" t="s">
        <v>0</v>
      </c>
      <c r="G1" s="69" t="s">
        <v>0</v>
      </c>
    </row>
    <row r="2" spans="1:7" ht="67.5" x14ac:dyDescent="0.25">
      <c r="A2" s="44" t="s">
        <v>5597</v>
      </c>
      <c r="B2" s="44" t="s">
        <v>5598</v>
      </c>
      <c r="C2" s="44" t="s">
        <v>2830</v>
      </c>
      <c r="D2" s="44" t="s">
        <v>2831</v>
      </c>
      <c r="E2" s="44" t="s">
        <v>2832</v>
      </c>
      <c r="F2" s="44" t="s">
        <v>2833</v>
      </c>
      <c r="G2" s="69" t="s">
        <v>0</v>
      </c>
    </row>
    <row r="3" spans="1:7" x14ac:dyDescent="0.25">
      <c r="A3" s="163"/>
      <c r="B3" s="46" t="s">
        <v>0</v>
      </c>
      <c r="C3" s="51"/>
      <c r="D3" s="51"/>
      <c r="E3" s="51"/>
      <c r="F3" s="51"/>
      <c r="G3" s="69"/>
    </row>
    <row r="4" spans="1:7" x14ac:dyDescent="0.25">
      <c r="A4" s="163"/>
      <c r="B4" s="51" t="s">
        <v>5626</v>
      </c>
      <c r="C4" s="49"/>
      <c r="D4" s="49"/>
      <c r="E4" s="49"/>
      <c r="F4" s="49"/>
      <c r="G4" s="69"/>
    </row>
    <row r="5" spans="1:7" x14ac:dyDescent="0.25">
      <c r="A5" s="163"/>
      <c r="B5" s="47" t="s">
        <v>0</v>
      </c>
      <c r="C5" s="49"/>
      <c r="D5" s="49"/>
      <c r="E5" s="49"/>
      <c r="F5" s="49"/>
      <c r="G5" s="69"/>
    </row>
    <row r="6" spans="1:7" ht="57" x14ac:dyDescent="0.25">
      <c r="A6" s="163"/>
      <c r="B6" s="71" t="s">
        <v>5648</v>
      </c>
      <c r="C6" s="53"/>
      <c r="D6" s="46"/>
      <c r="E6" s="46"/>
      <c r="F6" s="46"/>
      <c r="G6" s="69"/>
    </row>
    <row r="7" spans="1:7" x14ac:dyDescent="0.25">
      <c r="A7" s="163"/>
      <c r="B7" s="160"/>
      <c r="C7" s="46"/>
      <c r="D7" s="46"/>
      <c r="E7" s="46"/>
      <c r="F7" s="46"/>
      <c r="G7" s="69"/>
    </row>
    <row r="8" spans="1:7" ht="22.5" x14ac:dyDescent="0.25">
      <c r="A8" s="162" t="s">
        <v>2834</v>
      </c>
      <c r="B8" s="153" t="s">
        <v>2835</v>
      </c>
      <c r="C8" s="117"/>
      <c r="D8" s="117"/>
      <c r="E8" s="117"/>
      <c r="F8" s="117"/>
      <c r="G8" s="69"/>
    </row>
    <row r="9" spans="1:7" x14ac:dyDescent="0.25">
      <c r="A9" s="162"/>
      <c r="B9" s="153"/>
      <c r="C9" s="46"/>
      <c r="D9" s="46"/>
      <c r="E9" s="46"/>
      <c r="F9" s="46"/>
      <c r="G9" s="69"/>
    </row>
    <row r="10" spans="1:7" x14ac:dyDescent="0.25">
      <c r="A10" s="162" t="s">
        <v>2836</v>
      </c>
      <c r="B10" s="153" t="s">
        <v>2837</v>
      </c>
      <c r="C10" s="116">
        <f>C8*0.25</f>
        <v>0</v>
      </c>
      <c r="D10" s="116">
        <f>D8*0.25</f>
        <v>0</v>
      </c>
      <c r="E10" s="116">
        <f>E8*0.25</f>
        <v>0</v>
      </c>
      <c r="F10" s="116">
        <f>F8*0.25</f>
        <v>0</v>
      </c>
      <c r="G10" s="69"/>
    </row>
    <row r="11" spans="1:7" x14ac:dyDescent="0.25">
      <c r="A11" s="162"/>
      <c r="B11" s="153"/>
      <c r="C11" s="46"/>
      <c r="D11" s="46"/>
      <c r="E11" s="46"/>
      <c r="F11" s="46"/>
      <c r="G11" s="69"/>
    </row>
    <row r="12" spans="1:7" ht="22.5" x14ac:dyDescent="0.25">
      <c r="A12" s="162" t="s">
        <v>2838</v>
      </c>
      <c r="B12" s="153" t="s">
        <v>2839</v>
      </c>
      <c r="C12" s="193">
        <f>IF(Generales!C98="SI",5,0)</f>
        <v>0</v>
      </c>
      <c r="D12" s="193">
        <f>IF(Generales!C98="SI",5,0)</f>
        <v>0</v>
      </c>
      <c r="E12" s="193">
        <f>IF(Generales!C98="SI",5,0)</f>
        <v>0</v>
      </c>
      <c r="F12" s="193">
        <f>IF(Generales!C98="SI",5,0)</f>
        <v>0</v>
      </c>
      <c r="G12" s="69"/>
    </row>
    <row r="13" spans="1:7" x14ac:dyDescent="0.25">
      <c r="A13" s="162"/>
      <c r="B13" s="153"/>
      <c r="C13" s="46"/>
      <c r="D13" s="46"/>
      <c r="E13" s="46"/>
      <c r="F13" s="46"/>
      <c r="G13" s="69"/>
    </row>
    <row r="14" spans="1:7" ht="22.5" x14ac:dyDescent="0.25">
      <c r="A14" s="162" t="s">
        <v>2840</v>
      </c>
      <c r="B14" s="153" t="s">
        <v>5755</v>
      </c>
      <c r="C14" s="116">
        <f>C8-C10</f>
        <v>0</v>
      </c>
      <c r="D14" s="116">
        <f>D8-D10</f>
        <v>0</v>
      </c>
      <c r="E14" s="116">
        <f>E8-E10</f>
        <v>0</v>
      </c>
      <c r="F14" s="116">
        <f>F8-F10</f>
        <v>0</v>
      </c>
      <c r="G14" s="69"/>
    </row>
    <row r="15" spans="1:7" x14ac:dyDescent="0.25">
      <c r="A15" s="162"/>
      <c r="B15" s="153"/>
      <c r="C15" s="46"/>
      <c r="D15" s="46"/>
      <c r="E15" s="46"/>
      <c r="F15" s="46"/>
      <c r="G15" s="69"/>
    </row>
    <row r="16" spans="1:7" x14ac:dyDescent="0.25">
      <c r="A16" s="162" t="s">
        <v>2841</v>
      </c>
      <c r="B16" s="153" t="s">
        <v>2842</v>
      </c>
      <c r="C16" s="116">
        <f>C8*0.25</f>
        <v>0</v>
      </c>
      <c r="D16" s="116">
        <f>D8*0.25</f>
        <v>0</v>
      </c>
      <c r="E16" s="116">
        <f>E8*0.25</f>
        <v>0</v>
      </c>
      <c r="F16" s="116">
        <f>F8*0.25</f>
        <v>0</v>
      </c>
      <c r="G16" s="69"/>
    </row>
    <row r="17" spans="1:7" x14ac:dyDescent="0.25">
      <c r="A17" s="162"/>
      <c r="B17" s="153" t="s">
        <v>2843</v>
      </c>
      <c r="C17" s="46"/>
      <c r="D17" s="46"/>
      <c r="E17" s="46"/>
      <c r="F17" s="46"/>
      <c r="G17" s="69"/>
    </row>
    <row r="18" spans="1:7" x14ac:dyDescent="0.25">
      <c r="A18" s="162" t="s">
        <v>2844</v>
      </c>
      <c r="B18" s="153" t="s">
        <v>2845</v>
      </c>
      <c r="C18" s="93"/>
      <c r="D18" s="93"/>
      <c r="E18" s="93"/>
      <c r="F18" s="93"/>
      <c r="G18" s="69"/>
    </row>
    <row r="19" spans="1:7" ht="22.5" x14ac:dyDescent="0.25">
      <c r="A19" s="162" t="s">
        <v>2846</v>
      </c>
      <c r="B19" s="153" t="s">
        <v>2847</v>
      </c>
      <c r="C19" s="116">
        <f>C16*C18</f>
        <v>0</v>
      </c>
      <c r="D19" s="116">
        <f>D16*D18</f>
        <v>0</v>
      </c>
      <c r="E19" s="116">
        <f>E16*E18</f>
        <v>0</v>
      </c>
      <c r="F19" s="116">
        <f>F16*F18</f>
        <v>0</v>
      </c>
      <c r="G19" s="69"/>
    </row>
    <row r="20" spans="1:7" x14ac:dyDescent="0.25">
      <c r="A20" s="162"/>
      <c r="B20" s="153"/>
      <c r="C20" s="46"/>
      <c r="D20" s="46"/>
      <c r="E20" s="46"/>
      <c r="F20" s="46"/>
      <c r="G20" s="69"/>
    </row>
    <row r="21" spans="1:7" x14ac:dyDescent="0.25">
      <c r="A21" s="162" t="s">
        <v>2848</v>
      </c>
      <c r="B21" s="153" t="s">
        <v>2849</v>
      </c>
      <c r="C21" s="117">
        <f>C8*0.2</f>
        <v>0</v>
      </c>
      <c r="D21" s="117">
        <f>D8*0.2</f>
        <v>0</v>
      </c>
      <c r="E21" s="117">
        <f>E8*0.2</f>
        <v>0</v>
      </c>
      <c r="F21" s="117">
        <f>F8*0.2</f>
        <v>0</v>
      </c>
      <c r="G21" s="69"/>
    </row>
    <row r="22" spans="1:7" x14ac:dyDescent="0.25">
      <c r="A22" s="162"/>
      <c r="B22" s="153" t="s">
        <v>2843</v>
      </c>
      <c r="C22" s="53"/>
      <c r="D22" s="53"/>
      <c r="E22" s="53"/>
      <c r="F22" s="53"/>
      <c r="G22" s="69"/>
    </row>
    <row r="23" spans="1:7" x14ac:dyDescent="0.25">
      <c r="A23" s="162" t="s">
        <v>2850</v>
      </c>
      <c r="B23" s="153" t="s">
        <v>2845</v>
      </c>
      <c r="C23" s="90"/>
      <c r="D23" s="90"/>
      <c r="E23" s="90"/>
      <c r="F23" s="90"/>
      <c r="G23" s="69"/>
    </row>
    <row r="24" spans="1:7" ht="22.5" x14ac:dyDescent="0.25">
      <c r="A24" s="162" t="s">
        <v>2851</v>
      </c>
      <c r="B24" s="153" t="s">
        <v>2852</v>
      </c>
      <c r="C24" s="117">
        <f>C21*C23</f>
        <v>0</v>
      </c>
      <c r="D24" s="117">
        <f>D21*D23</f>
        <v>0</v>
      </c>
      <c r="E24" s="117">
        <f>E21*E23</f>
        <v>0</v>
      </c>
      <c r="F24" s="117">
        <f>F21*F23</f>
        <v>0</v>
      </c>
      <c r="G24" s="69"/>
    </row>
    <row r="25" spans="1:7" x14ac:dyDescent="0.25">
      <c r="A25" s="162"/>
      <c r="B25" s="153"/>
      <c r="C25" s="46"/>
      <c r="D25" s="46"/>
      <c r="E25" s="46"/>
      <c r="F25" s="46"/>
      <c r="G25" s="69"/>
    </row>
    <row r="26" spans="1:7" x14ac:dyDescent="0.25">
      <c r="A26" s="162" t="s">
        <v>2853</v>
      </c>
      <c r="B26" s="153" t="s">
        <v>2854</v>
      </c>
      <c r="C26" s="116">
        <f>C8*0.15</f>
        <v>0</v>
      </c>
      <c r="D26" s="116">
        <f>D8*0.15</f>
        <v>0</v>
      </c>
      <c r="E26" s="116">
        <f>E8*0.15</f>
        <v>0</v>
      </c>
      <c r="F26" s="116">
        <f>F8*0.15</f>
        <v>0</v>
      </c>
      <c r="G26" s="69"/>
    </row>
    <row r="27" spans="1:7" x14ac:dyDescent="0.25">
      <c r="A27" s="162"/>
      <c r="B27" s="153" t="s">
        <v>2843</v>
      </c>
      <c r="C27" s="46"/>
      <c r="D27" s="46"/>
      <c r="E27" s="46"/>
      <c r="F27" s="46"/>
      <c r="G27" s="69"/>
    </row>
    <row r="28" spans="1:7" x14ac:dyDescent="0.25">
      <c r="A28" s="162" t="s">
        <v>2855</v>
      </c>
      <c r="B28" s="153" t="s">
        <v>2845</v>
      </c>
      <c r="C28" s="93"/>
      <c r="D28" s="93"/>
      <c r="E28" s="93"/>
      <c r="F28" s="93"/>
      <c r="G28" s="69"/>
    </row>
    <row r="29" spans="1:7" ht="22.5" x14ac:dyDescent="0.25">
      <c r="A29" s="162" t="s">
        <v>2856</v>
      </c>
      <c r="B29" s="153" t="s">
        <v>2857</v>
      </c>
      <c r="C29" s="116">
        <f>C26*C28</f>
        <v>0</v>
      </c>
      <c r="D29" s="116">
        <f>D26*D28</f>
        <v>0</v>
      </c>
      <c r="E29" s="116">
        <f>E26*E28</f>
        <v>0</v>
      </c>
      <c r="F29" s="116">
        <f>F26*F28</f>
        <v>0</v>
      </c>
      <c r="G29" s="69"/>
    </row>
    <row r="30" spans="1:7" x14ac:dyDescent="0.25">
      <c r="A30" s="162"/>
      <c r="B30" s="153"/>
      <c r="C30" s="53"/>
      <c r="D30" s="53"/>
      <c r="E30" s="53"/>
      <c r="F30" s="53"/>
      <c r="G30" s="69"/>
    </row>
    <row r="31" spans="1:7" x14ac:dyDescent="0.25">
      <c r="A31" s="162" t="s">
        <v>2858</v>
      </c>
      <c r="B31" s="153" t="s">
        <v>5534</v>
      </c>
      <c r="C31" s="185">
        <f>C8*0.15</f>
        <v>0</v>
      </c>
      <c r="D31" s="185">
        <f>D8*0.15</f>
        <v>0</v>
      </c>
      <c r="E31" s="185">
        <f>E8*0.15</f>
        <v>0</v>
      </c>
      <c r="F31" s="185">
        <f>F8*0.15</f>
        <v>0</v>
      </c>
      <c r="G31" s="149"/>
    </row>
    <row r="32" spans="1:7" x14ac:dyDescent="0.25">
      <c r="A32" s="162"/>
      <c r="B32" s="153" t="s">
        <v>2843</v>
      </c>
      <c r="C32" s="160"/>
      <c r="D32" s="160"/>
      <c r="E32" s="160"/>
      <c r="F32" s="160"/>
      <c r="G32" s="149"/>
    </row>
    <row r="33" spans="1:7" x14ac:dyDescent="0.25">
      <c r="A33" s="162" t="s">
        <v>2859</v>
      </c>
      <c r="B33" s="153" t="s">
        <v>2845</v>
      </c>
      <c r="C33" s="188"/>
      <c r="D33" s="188"/>
      <c r="E33" s="188"/>
      <c r="F33" s="188"/>
      <c r="G33" s="149"/>
    </row>
    <row r="34" spans="1:7" x14ac:dyDescent="0.25">
      <c r="A34" s="162" t="s">
        <v>2861</v>
      </c>
      <c r="B34" s="153" t="s">
        <v>5535</v>
      </c>
      <c r="C34" s="185">
        <f>C31*C33</f>
        <v>0</v>
      </c>
      <c r="D34" s="185">
        <f>D31*D33</f>
        <v>0</v>
      </c>
      <c r="E34" s="185">
        <f>E31*E33</f>
        <v>0</v>
      </c>
      <c r="F34" s="185">
        <f>F31*F33</f>
        <v>0</v>
      </c>
      <c r="G34" s="149"/>
    </row>
    <row r="35" spans="1:7" x14ac:dyDescent="0.25">
      <c r="A35" s="162"/>
      <c r="B35" s="153"/>
      <c r="C35" s="160"/>
      <c r="D35" s="160"/>
      <c r="E35" s="160"/>
      <c r="F35" s="160"/>
      <c r="G35" s="149"/>
    </row>
    <row r="36" spans="1:7" ht="22.5" x14ac:dyDescent="0.25">
      <c r="A36" s="162" t="s">
        <v>2863</v>
      </c>
      <c r="B36" s="153" t="s">
        <v>5755</v>
      </c>
      <c r="C36" s="116">
        <f>C8-C10-C16-C21</f>
        <v>0</v>
      </c>
      <c r="D36" s="116">
        <f>D8-D10-D16-D21</f>
        <v>0</v>
      </c>
      <c r="E36" s="116">
        <f>E8-E10-E16-E21</f>
        <v>0</v>
      </c>
      <c r="F36" s="116">
        <f>F8-F10-F16-F21</f>
        <v>0</v>
      </c>
      <c r="G36" s="69"/>
    </row>
    <row r="37" spans="1:7" x14ac:dyDescent="0.25">
      <c r="A37" s="162"/>
      <c r="B37" s="153"/>
      <c r="C37" s="46"/>
      <c r="D37" s="46"/>
      <c r="E37" s="46"/>
      <c r="F37" s="46"/>
      <c r="G37" s="69"/>
    </row>
    <row r="38" spans="1:7" x14ac:dyDescent="0.25">
      <c r="A38" s="162"/>
      <c r="B38" s="179" t="s">
        <v>777</v>
      </c>
      <c r="C38" s="46"/>
      <c r="D38" s="46"/>
      <c r="E38" s="46"/>
      <c r="F38" s="46"/>
      <c r="G38" s="69"/>
    </row>
    <row r="39" spans="1:7" x14ac:dyDescent="0.25">
      <c r="A39" s="162"/>
      <c r="B39" s="153"/>
      <c r="C39" s="46"/>
      <c r="D39" s="46"/>
      <c r="E39" s="46"/>
      <c r="F39" s="46"/>
      <c r="G39" s="69"/>
    </row>
    <row r="40" spans="1:7" x14ac:dyDescent="0.25">
      <c r="A40" s="162" t="s">
        <v>2865</v>
      </c>
      <c r="B40" s="153" t="s">
        <v>2860</v>
      </c>
      <c r="C40" s="117"/>
      <c r="D40" s="117"/>
      <c r="E40" s="117"/>
      <c r="F40" s="117"/>
      <c r="G40" s="69"/>
    </row>
    <row r="41" spans="1:7" x14ac:dyDescent="0.25">
      <c r="A41" s="162"/>
      <c r="B41" s="153"/>
      <c r="C41" s="46"/>
      <c r="D41" s="46"/>
      <c r="E41" s="46"/>
      <c r="F41" s="46"/>
      <c r="G41" s="69"/>
    </row>
    <row r="42" spans="1:7" ht="22.5" x14ac:dyDescent="0.25">
      <c r="A42" s="162" t="s">
        <v>2866</v>
      </c>
      <c r="B42" s="153" t="s">
        <v>2862</v>
      </c>
      <c r="C42" s="116">
        <f>C40*0.25</f>
        <v>0</v>
      </c>
      <c r="D42" s="116">
        <f>D40*0.25</f>
        <v>0</v>
      </c>
      <c r="E42" s="116">
        <f>E40*0.25</f>
        <v>0</v>
      </c>
      <c r="F42" s="116">
        <f>F40*0.25</f>
        <v>0</v>
      </c>
      <c r="G42" s="69"/>
    </row>
    <row r="43" spans="1:7" x14ac:dyDescent="0.25">
      <c r="A43" s="162"/>
      <c r="B43" s="153"/>
      <c r="C43" s="46"/>
      <c r="D43" s="46"/>
      <c r="E43" s="46"/>
      <c r="F43" s="46"/>
      <c r="G43" s="69"/>
    </row>
    <row r="44" spans="1:7" ht="22.5" x14ac:dyDescent="0.25">
      <c r="A44" s="162" t="s">
        <v>2868</v>
      </c>
      <c r="B44" s="153" t="s">
        <v>2864</v>
      </c>
      <c r="C44" s="192">
        <f>IF(Generales!C98="SI",5,0)</f>
        <v>0</v>
      </c>
      <c r="D44" s="192">
        <f>IF(Generales!C98="SI",5,0)</f>
        <v>0</v>
      </c>
      <c r="E44" s="192">
        <f>IF(Generales!C98="SI",5,0)</f>
        <v>0</v>
      </c>
      <c r="F44" s="192">
        <f>IF(Generales!C98="SI",5,0)</f>
        <v>0</v>
      </c>
      <c r="G44" s="69"/>
    </row>
    <row r="45" spans="1:7" x14ac:dyDescent="0.25">
      <c r="A45" s="162"/>
      <c r="B45" s="153"/>
      <c r="C45" s="53"/>
      <c r="D45" s="53"/>
      <c r="E45" s="53"/>
      <c r="F45" s="53"/>
      <c r="G45" s="69"/>
    </row>
    <row r="46" spans="1:7" ht="22.5" x14ac:dyDescent="0.25">
      <c r="A46" s="162" t="s">
        <v>2869</v>
      </c>
      <c r="B46" s="153" t="s">
        <v>5756</v>
      </c>
      <c r="C46" s="116">
        <f>C40-C42</f>
        <v>0</v>
      </c>
      <c r="D46" s="116">
        <f>D40-D42</f>
        <v>0</v>
      </c>
      <c r="E46" s="116">
        <f>E40-E42</f>
        <v>0</v>
      </c>
      <c r="F46" s="116">
        <f>F40-F42</f>
        <v>0</v>
      </c>
      <c r="G46" s="69"/>
    </row>
    <row r="47" spans="1:7" x14ac:dyDescent="0.25">
      <c r="A47" s="162"/>
      <c r="B47" s="153"/>
      <c r="C47" s="46"/>
      <c r="D47" s="46"/>
      <c r="E47" s="46"/>
      <c r="F47" s="46"/>
      <c r="G47" s="69"/>
    </row>
    <row r="48" spans="1:7" ht="22.5" x14ac:dyDescent="0.25">
      <c r="A48" s="162" t="s">
        <v>2871</v>
      </c>
      <c r="B48" s="153" t="s">
        <v>2867</v>
      </c>
      <c r="C48" s="116">
        <f>C40*0.25</f>
        <v>0</v>
      </c>
      <c r="D48" s="116">
        <f>D40*0.25</f>
        <v>0</v>
      </c>
      <c r="E48" s="116">
        <f>E40*0.25</f>
        <v>0</v>
      </c>
      <c r="F48" s="116">
        <f>F40*0.25</f>
        <v>0</v>
      </c>
      <c r="G48" s="69"/>
    </row>
    <row r="49" spans="1:7" x14ac:dyDescent="0.25">
      <c r="A49" s="162"/>
      <c r="B49" s="153" t="s">
        <v>2843</v>
      </c>
      <c r="C49" s="46"/>
      <c r="D49" s="46"/>
      <c r="E49" s="46"/>
      <c r="F49" s="46"/>
      <c r="G49" s="69"/>
    </row>
    <row r="50" spans="1:7" x14ac:dyDescent="0.25">
      <c r="A50" s="162" t="s">
        <v>2874</v>
      </c>
      <c r="B50" s="153" t="s">
        <v>2845</v>
      </c>
      <c r="C50" s="93"/>
      <c r="D50" s="93"/>
      <c r="E50" s="93"/>
      <c r="F50" s="93"/>
      <c r="G50" s="69"/>
    </row>
    <row r="51" spans="1:7" ht="22.5" x14ac:dyDescent="0.25">
      <c r="A51" s="162" t="s">
        <v>2875</v>
      </c>
      <c r="B51" s="153" t="s">
        <v>2870</v>
      </c>
      <c r="C51" s="116">
        <f>C48*C50</f>
        <v>0</v>
      </c>
      <c r="D51" s="116">
        <f>D48*D50</f>
        <v>0</v>
      </c>
      <c r="E51" s="116">
        <f>E48*E50</f>
        <v>0</v>
      </c>
      <c r="F51" s="116">
        <f>F48*F50</f>
        <v>0</v>
      </c>
      <c r="G51" s="69"/>
    </row>
    <row r="52" spans="1:7" x14ac:dyDescent="0.25">
      <c r="A52" s="162"/>
      <c r="B52" s="153"/>
      <c r="C52" s="46"/>
      <c r="D52" s="46"/>
      <c r="E52" s="46"/>
      <c r="F52" s="46"/>
      <c r="G52" s="69"/>
    </row>
    <row r="53" spans="1:7" ht="22.5" x14ac:dyDescent="0.25">
      <c r="A53" s="162" t="s">
        <v>2877</v>
      </c>
      <c r="B53" s="153" t="s">
        <v>2872</v>
      </c>
      <c r="C53" s="117">
        <f>C40*0.2</f>
        <v>0</v>
      </c>
      <c r="D53" s="117">
        <f>D40*0.2</f>
        <v>0</v>
      </c>
      <c r="E53" s="117">
        <f>E40*0.2</f>
        <v>0</v>
      </c>
      <c r="F53" s="117">
        <f>F40*0.2</f>
        <v>0</v>
      </c>
      <c r="G53" s="69"/>
    </row>
    <row r="54" spans="1:7" x14ac:dyDescent="0.25">
      <c r="A54" s="162"/>
      <c r="B54" s="153" t="s">
        <v>2873</v>
      </c>
      <c r="C54" s="53"/>
      <c r="D54" s="53"/>
      <c r="E54" s="53"/>
      <c r="F54" s="53"/>
      <c r="G54" s="69"/>
    </row>
    <row r="55" spans="1:7" x14ac:dyDescent="0.25">
      <c r="A55" s="162" t="s">
        <v>2879</v>
      </c>
      <c r="B55" s="153" t="s">
        <v>2845</v>
      </c>
      <c r="C55" s="90"/>
      <c r="D55" s="90"/>
      <c r="E55" s="90"/>
      <c r="F55" s="90"/>
      <c r="G55" s="69"/>
    </row>
    <row r="56" spans="1:7" ht="22.5" x14ac:dyDescent="0.25">
      <c r="A56" s="162" t="s">
        <v>2880</v>
      </c>
      <c r="B56" s="153" t="s">
        <v>2876</v>
      </c>
      <c r="C56" s="117">
        <f>C53*C55</f>
        <v>0</v>
      </c>
      <c r="D56" s="117">
        <f>D53*D55</f>
        <v>0</v>
      </c>
      <c r="E56" s="117">
        <f>E53*E55</f>
        <v>0</v>
      </c>
      <c r="F56" s="117">
        <f>F53*F55</f>
        <v>0</v>
      </c>
      <c r="G56" s="69"/>
    </row>
    <row r="57" spans="1:7" x14ac:dyDescent="0.25">
      <c r="A57" s="162"/>
      <c r="B57" s="153"/>
      <c r="C57" s="53"/>
      <c r="D57" s="53"/>
      <c r="E57" s="53"/>
      <c r="F57" s="53"/>
      <c r="G57" s="69"/>
    </row>
    <row r="58" spans="1:7" ht="22.5" x14ac:dyDescent="0.25">
      <c r="A58" s="162" t="s">
        <v>2882</v>
      </c>
      <c r="B58" s="153" t="s">
        <v>2878</v>
      </c>
      <c r="C58" s="116">
        <f>C40*0.15</f>
        <v>0</v>
      </c>
      <c r="D58" s="116">
        <f>D40*0.15</f>
        <v>0</v>
      </c>
      <c r="E58" s="116">
        <f>E40*0.15</f>
        <v>0</v>
      </c>
      <c r="F58" s="116">
        <f>F40*0.15</f>
        <v>0</v>
      </c>
      <c r="G58" s="69"/>
    </row>
    <row r="59" spans="1:7" x14ac:dyDescent="0.25">
      <c r="A59" s="162"/>
      <c r="B59" s="153" t="s">
        <v>2843</v>
      </c>
      <c r="C59" s="46"/>
      <c r="D59" s="46"/>
      <c r="E59" s="46"/>
      <c r="F59" s="46"/>
      <c r="G59" s="69"/>
    </row>
    <row r="60" spans="1:7" x14ac:dyDescent="0.25">
      <c r="A60" s="162" t="s">
        <v>2884</v>
      </c>
      <c r="B60" s="153" t="s">
        <v>2845</v>
      </c>
      <c r="C60" s="93"/>
      <c r="D60" s="93"/>
      <c r="E60" s="93"/>
      <c r="F60" s="93"/>
      <c r="G60" s="69"/>
    </row>
    <row r="61" spans="1:7" ht="22.5" x14ac:dyDescent="0.25">
      <c r="A61" s="162" t="s">
        <v>5536</v>
      </c>
      <c r="B61" s="153" t="s">
        <v>2881</v>
      </c>
      <c r="C61" s="116">
        <f>C58*C60</f>
        <v>0</v>
      </c>
      <c r="D61" s="116">
        <f>D58*D60</f>
        <v>0</v>
      </c>
      <c r="E61" s="116">
        <f>E58*E60</f>
        <v>0</v>
      </c>
      <c r="F61" s="116">
        <f>F58*F60</f>
        <v>0</v>
      </c>
      <c r="G61" s="69"/>
    </row>
    <row r="62" spans="1:7" x14ac:dyDescent="0.25">
      <c r="A62" s="162"/>
      <c r="B62" s="153"/>
      <c r="C62" s="46"/>
      <c r="D62" s="46"/>
      <c r="E62" s="46"/>
      <c r="F62" s="46"/>
      <c r="G62" s="69"/>
    </row>
    <row r="63" spans="1:7" ht="22.5" x14ac:dyDescent="0.25">
      <c r="A63" s="162" t="s">
        <v>5537</v>
      </c>
      <c r="B63" s="153" t="s">
        <v>5538</v>
      </c>
      <c r="C63" s="185">
        <f>C40*0.15</f>
        <v>0</v>
      </c>
      <c r="D63" s="185">
        <f>D40*0.15</f>
        <v>0</v>
      </c>
      <c r="E63" s="185">
        <f>E40*0.15</f>
        <v>0</v>
      </c>
      <c r="F63" s="185">
        <f>F40*0.15</f>
        <v>0</v>
      </c>
      <c r="G63" s="149"/>
    </row>
    <row r="64" spans="1:7" x14ac:dyDescent="0.25">
      <c r="A64" s="162"/>
      <c r="B64" s="153" t="s">
        <v>2843</v>
      </c>
      <c r="C64" s="160"/>
      <c r="D64" s="160"/>
      <c r="E64" s="160"/>
      <c r="F64" s="160"/>
      <c r="G64" s="149"/>
    </row>
    <row r="65" spans="1:7" x14ac:dyDescent="0.25">
      <c r="A65" s="162" t="s">
        <v>5539</v>
      </c>
      <c r="B65" s="153" t="s">
        <v>2845</v>
      </c>
      <c r="C65" s="188"/>
      <c r="D65" s="188"/>
      <c r="E65" s="188"/>
      <c r="F65" s="188"/>
      <c r="G65" s="149"/>
    </row>
    <row r="66" spans="1:7" ht="22.5" x14ac:dyDescent="0.25">
      <c r="A66" s="162" t="s">
        <v>5540</v>
      </c>
      <c r="B66" s="153" t="s">
        <v>5541</v>
      </c>
      <c r="C66" s="185">
        <f>C63*C65</f>
        <v>0</v>
      </c>
      <c r="D66" s="185">
        <f>D63*D65</f>
        <v>0</v>
      </c>
      <c r="E66" s="185">
        <f>E63*E65</f>
        <v>0</v>
      </c>
      <c r="F66" s="185">
        <f>F63*F65</f>
        <v>0</v>
      </c>
      <c r="G66" s="149"/>
    </row>
    <row r="67" spans="1:7" x14ac:dyDescent="0.25">
      <c r="A67" s="162"/>
      <c r="B67" s="153"/>
      <c r="C67" s="160"/>
      <c r="D67" s="160"/>
      <c r="E67" s="160"/>
      <c r="F67" s="160"/>
      <c r="G67" s="149"/>
    </row>
    <row r="68" spans="1:7" ht="22.5" x14ac:dyDescent="0.25">
      <c r="A68" s="162" t="s">
        <v>5542</v>
      </c>
      <c r="B68" s="153" t="s">
        <v>5756</v>
      </c>
      <c r="C68" s="117">
        <f>C40-C42-C48-C53</f>
        <v>0</v>
      </c>
      <c r="D68" s="117">
        <f>D40-D42-D48-D53</f>
        <v>0</v>
      </c>
      <c r="E68" s="117">
        <f>E40-E42-E48-E53</f>
        <v>0</v>
      </c>
      <c r="F68" s="117">
        <f>F40-F42-F48-F53</f>
        <v>0</v>
      </c>
      <c r="G68" s="69"/>
    </row>
    <row r="69" spans="1:7" x14ac:dyDescent="0.25">
      <c r="A69" s="162"/>
      <c r="B69" s="153"/>
      <c r="C69" s="46"/>
      <c r="D69" s="46"/>
      <c r="E69" s="46"/>
      <c r="F69" s="46"/>
      <c r="G69" s="69"/>
    </row>
    <row r="70" spans="1:7" ht="22.5" x14ac:dyDescent="0.25">
      <c r="A70" s="162"/>
      <c r="B70" s="153" t="s">
        <v>5543</v>
      </c>
      <c r="C70" s="46"/>
      <c r="D70" s="46"/>
      <c r="E70" s="46"/>
      <c r="F70" s="46"/>
      <c r="G70" s="69"/>
    </row>
    <row r="71" spans="1:7" x14ac:dyDescent="0.25">
      <c r="A71" s="162"/>
      <c r="B71" s="153"/>
      <c r="C71" s="46"/>
      <c r="D71" s="46"/>
      <c r="E71" s="46"/>
      <c r="F71" s="46"/>
      <c r="G71" s="69"/>
    </row>
    <row r="72" spans="1:7" x14ac:dyDescent="0.25">
      <c r="A72" s="162"/>
      <c r="B72" s="179" t="s">
        <v>2883</v>
      </c>
      <c r="C72" s="46"/>
      <c r="D72" s="46"/>
      <c r="E72" s="46"/>
      <c r="F72" s="46"/>
      <c r="G72" s="69"/>
    </row>
    <row r="73" spans="1:7" x14ac:dyDescent="0.25">
      <c r="A73" s="162"/>
      <c r="B73" s="153"/>
      <c r="C73" s="46"/>
      <c r="D73" s="46"/>
      <c r="E73" s="46"/>
      <c r="F73" s="46"/>
      <c r="G73" s="69"/>
    </row>
    <row r="74" spans="1:7" x14ac:dyDescent="0.25">
      <c r="A74" s="184" t="s">
        <v>5544</v>
      </c>
      <c r="B74" s="190" t="s">
        <v>5322</v>
      </c>
      <c r="C74" s="94"/>
      <c r="D74" s="61"/>
      <c r="E74" s="95"/>
      <c r="F74" s="95"/>
      <c r="G74" s="69"/>
    </row>
    <row r="75" spans="1:7" x14ac:dyDescent="0.25">
      <c r="A75" s="163"/>
      <c r="B75" s="160"/>
      <c r="C75" s="46"/>
      <c r="D75" s="46"/>
      <c r="E75" s="46"/>
      <c r="F75" s="46"/>
      <c r="G75" s="69"/>
    </row>
    <row r="76" spans="1:7" ht="8.1" customHeight="1" x14ac:dyDescent="0.25">
      <c r="A76" s="70" t="s">
        <v>0</v>
      </c>
      <c r="B76" s="152"/>
      <c r="C76" s="70"/>
      <c r="D76" s="70"/>
      <c r="E76" s="70"/>
      <c r="F76" s="70"/>
      <c r="G76" s="69"/>
    </row>
  </sheetData>
  <sheetProtection password="C9D6" sheet="1" objects="1" scenarios="1" formatCells="0" formatColumns="0" formatRows="0" autoFilter="0"/>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23"/>
  <sheetViews>
    <sheetView workbookViewId="0"/>
  </sheetViews>
  <sheetFormatPr defaultColWidth="11.5703125" defaultRowHeight="15" x14ac:dyDescent="0.25"/>
  <cols>
    <col min="1" max="1" width="14.28515625" style="107" customWidth="1"/>
    <col min="2" max="2" width="35.7109375" style="107" customWidth="1"/>
    <col min="3" max="5" width="30.7109375" style="107" customWidth="1"/>
    <col min="6" max="7" width="18.7109375" style="107" customWidth="1"/>
    <col min="8" max="8" width="30.7109375" style="107" customWidth="1"/>
    <col min="9" max="9" width="40.7109375" style="107" customWidth="1"/>
    <col min="10" max="11" width="18.7109375" style="107" customWidth="1"/>
    <col min="12" max="12" width="1.7109375" style="107" customWidth="1"/>
    <col min="13" max="16384" width="11.5703125" style="107"/>
  </cols>
  <sheetData>
    <row r="1" spans="1:12" ht="22.5" x14ac:dyDescent="0.25">
      <c r="A1" s="42" t="s">
        <v>0</v>
      </c>
      <c r="B1" s="127" t="s">
        <v>5621</v>
      </c>
      <c r="C1" s="42"/>
      <c r="D1" s="42"/>
      <c r="E1" s="42" t="s">
        <v>0</v>
      </c>
      <c r="F1" s="42" t="s">
        <v>0</v>
      </c>
      <c r="G1" s="42" t="s">
        <v>0</v>
      </c>
      <c r="H1" s="42" t="s">
        <v>0</v>
      </c>
      <c r="I1" s="42" t="s">
        <v>0</v>
      </c>
      <c r="J1" s="42" t="s">
        <v>0</v>
      </c>
      <c r="K1" s="42" t="s">
        <v>0</v>
      </c>
      <c r="L1" s="69" t="s">
        <v>0</v>
      </c>
    </row>
    <row r="2" spans="1:12" ht="90" x14ac:dyDescent="0.25">
      <c r="A2" s="121" t="s">
        <v>5597</v>
      </c>
      <c r="B2" s="121" t="s">
        <v>5598</v>
      </c>
      <c r="C2" s="44" t="s">
        <v>2945</v>
      </c>
      <c r="D2" s="44" t="s">
        <v>2946</v>
      </c>
      <c r="E2" s="44" t="s">
        <v>2947</v>
      </c>
      <c r="F2" s="44" t="s">
        <v>2948</v>
      </c>
      <c r="G2" s="44" t="s">
        <v>2949</v>
      </c>
      <c r="H2" s="44" t="s">
        <v>2950</v>
      </c>
      <c r="I2" s="96" t="s">
        <v>2951</v>
      </c>
      <c r="J2" s="44" t="s">
        <v>2952</v>
      </c>
      <c r="K2" s="44" t="s">
        <v>2953</v>
      </c>
      <c r="L2" s="69" t="s">
        <v>0</v>
      </c>
    </row>
    <row r="3" spans="1:12" x14ac:dyDescent="0.25">
      <c r="A3" s="163"/>
      <c r="B3" s="46" t="s">
        <v>0</v>
      </c>
      <c r="C3" s="137"/>
      <c r="D3" s="137"/>
      <c r="E3" s="137"/>
      <c r="F3" s="137"/>
      <c r="G3" s="137"/>
      <c r="H3" s="137"/>
      <c r="I3" s="137"/>
      <c r="J3" s="137"/>
      <c r="K3" s="137"/>
      <c r="L3" s="69"/>
    </row>
    <row r="4" spans="1:12" x14ac:dyDescent="0.25">
      <c r="A4" s="163"/>
      <c r="B4" s="138" t="s">
        <v>5626</v>
      </c>
      <c r="C4" s="177"/>
      <c r="D4" s="177"/>
      <c r="E4" s="177"/>
      <c r="F4" s="177"/>
      <c r="G4" s="177"/>
      <c r="H4" s="177"/>
      <c r="I4" s="137"/>
      <c r="J4" s="137"/>
      <c r="K4" s="137"/>
      <c r="L4" s="69"/>
    </row>
    <row r="5" spans="1:12" x14ac:dyDescent="0.25">
      <c r="A5" s="163"/>
      <c r="B5" s="47" t="s">
        <v>0</v>
      </c>
      <c r="C5" s="177"/>
      <c r="D5" s="177"/>
      <c r="E5" s="177"/>
      <c r="F5" s="177"/>
      <c r="G5" s="177"/>
      <c r="H5" s="177"/>
      <c r="I5" s="137"/>
      <c r="J5" s="137"/>
      <c r="K5" s="137"/>
      <c r="L5" s="69"/>
    </row>
    <row r="6" spans="1:12" ht="57" x14ac:dyDescent="0.25">
      <c r="A6" s="163"/>
      <c r="B6" s="71" t="s">
        <v>5649</v>
      </c>
      <c r="C6" s="83"/>
      <c r="D6" s="177"/>
      <c r="E6" s="177"/>
      <c r="F6" s="177"/>
      <c r="G6" s="177"/>
      <c r="H6" s="177"/>
      <c r="I6" s="137"/>
      <c r="J6" s="137"/>
      <c r="K6" s="137"/>
      <c r="L6" s="69"/>
    </row>
    <row r="7" spans="1:12" x14ac:dyDescent="0.25">
      <c r="A7" s="163"/>
      <c r="B7" s="47" t="s">
        <v>0</v>
      </c>
      <c r="C7" s="177"/>
      <c r="D7" s="177"/>
      <c r="E7" s="177"/>
      <c r="F7" s="177"/>
      <c r="G7" s="177"/>
      <c r="H7" s="177"/>
      <c r="I7" s="137"/>
      <c r="J7" s="137"/>
      <c r="K7" s="137"/>
      <c r="L7" s="69"/>
    </row>
    <row r="8" spans="1:12" x14ac:dyDescent="0.25">
      <c r="A8" s="163"/>
      <c r="B8" s="139" t="s">
        <v>603</v>
      </c>
      <c r="C8" s="177"/>
      <c r="D8" s="177"/>
      <c r="E8" s="177"/>
      <c r="F8" s="177"/>
      <c r="G8" s="177"/>
      <c r="H8" s="177"/>
      <c r="I8" s="137"/>
      <c r="J8" s="137"/>
      <c r="K8" s="137"/>
      <c r="L8" s="69"/>
    </row>
    <row r="9" spans="1:12" x14ac:dyDescent="0.25">
      <c r="A9" s="163"/>
      <c r="B9" s="47" t="s">
        <v>0</v>
      </c>
      <c r="C9" s="177"/>
      <c r="D9" s="177"/>
      <c r="E9" s="177"/>
      <c r="F9" s="177"/>
      <c r="G9" s="177"/>
      <c r="H9" s="177"/>
      <c r="I9" s="137"/>
      <c r="J9" s="137"/>
      <c r="K9" s="137"/>
      <c r="L9" s="69"/>
    </row>
    <row r="10" spans="1:12" ht="22.5" x14ac:dyDescent="0.25">
      <c r="A10" s="163"/>
      <c r="B10" s="138" t="s">
        <v>5650</v>
      </c>
      <c r="C10" s="177"/>
      <c r="D10" s="177"/>
      <c r="E10" s="177"/>
      <c r="F10" s="177"/>
      <c r="G10" s="177"/>
      <c r="H10" s="177"/>
      <c r="I10" s="137"/>
      <c r="J10" s="137"/>
      <c r="K10" s="137"/>
      <c r="L10" s="69"/>
    </row>
    <row r="11" spans="1:12" x14ac:dyDescent="0.25">
      <c r="A11" s="163"/>
      <c r="B11" s="160"/>
      <c r="C11" s="177"/>
      <c r="D11" s="177"/>
      <c r="E11" s="177"/>
      <c r="F11" s="177"/>
      <c r="G11" s="177"/>
      <c r="H11" s="177"/>
      <c r="I11" s="137"/>
      <c r="J11" s="137"/>
      <c r="K11" s="137"/>
      <c r="L11" s="69"/>
    </row>
    <row r="12" spans="1:12" x14ac:dyDescent="0.25">
      <c r="A12" s="184" t="s">
        <v>2954</v>
      </c>
      <c r="B12" s="190" t="s">
        <v>5322</v>
      </c>
      <c r="C12" s="94"/>
      <c r="D12" s="97"/>
      <c r="E12" s="97"/>
      <c r="F12" s="61"/>
      <c r="G12" s="61"/>
      <c r="H12" s="97"/>
      <c r="I12" s="94"/>
      <c r="J12" s="97"/>
      <c r="K12" s="97"/>
      <c r="L12" s="69"/>
    </row>
    <row r="13" spans="1:12" x14ac:dyDescent="0.25">
      <c r="A13" s="162"/>
      <c r="B13" s="153"/>
      <c r="C13" s="53"/>
      <c r="D13" s="53"/>
      <c r="E13" s="53"/>
      <c r="F13" s="53"/>
      <c r="G13" s="53"/>
      <c r="H13" s="53"/>
      <c r="I13" s="46"/>
      <c r="J13" s="46"/>
      <c r="K13" s="46"/>
      <c r="L13" s="69"/>
    </row>
    <row r="14" spans="1:12" x14ac:dyDescent="0.25">
      <c r="A14" s="162" t="s">
        <v>2955</v>
      </c>
      <c r="B14" s="153" t="s">
        <v>625</v>
      </c>
      <c r="C14" s="67"/>
      <c r="D14" s="67"/>
      <c r="E14" s="67"/>
      <c r="F14" s="54">
        <f>ROUND(SUM(F12:F13),0)</f>
        <v>0</v>
      </c>
      <c r="G14" s="54">
        <f>ROUND(SUM(G12:G13),0)</f>
        <v>0</v>
      </c>
      <c r="H14" s="67"/>
      <c r="I14" s="67"/>
      <c r="J14" s="67"/>
      <c r="K14" s="67"/>
      <c r="L14" s="69"/>
    </row>
    <row r="15" spans="1:12" x14ac:dyDescent="0.25">
      <c r="A15" s="162"/>
      <c r="B15" s="153"/>
      <c r="C15" s="53"/>
      <c r="D15" s="53"/>
      <c r="E15" s="53"/>
      <c r="F15" s="53"/>
      <c r="G15" s="53"/>
      <c r="H15" s="53"/>
      <c r="I15" s="46"/>
      <c r="J15" s="46"/>
      <c r="K15" s="46"/>
      <c r="L15" s="69"/>
    </row>
    <row r="16" spans="1:12" x14ac:dyDescent="0.25">
      <c r="A16" s="162"/>
      <c r="B16" s="179" t="s">
        <v>2956</v>
      </c>
      <c r="C16" s="53"/>
      <c r="D16" s="53"/>
      <c r="E16" s="53"/>
      <c r="F16" s="53"/>
      <c r="G16" s="53"/>
      <c r="H16" s="53"/>
      <c r="I16" s="46"/>
      <c r="J16" s="46"/>
      <c r="K16" s="46"/>
      <c r="L16" s="69"/>
    </row>
    <row r="17" spans="1:12" x14ac:dyDescent="0.25">
      <c r="A17" s="162"/>
      <c r="B17" s="153"/>
      <c r="C17" s="53"/>
      <c r="D17" s="53"/>
      <c r="E17" s="53"/>
      <c r="F17" s="53"/>
      <c r="G17" s="53"/>
      <c r="H17" s="53"/>
      <c r="I17" s="46"/>
      <c r="J17" s="46"/>
      <c r="K17" s="46"/>
      <c r="L17" s="69"/>
    </row>
    <row r="18" spans="1:12" ht="22.5" x14ac:dyDescent="0.25">
      <c r="A18" s="162"/>
      <c r="B18" s="153" t="s">
        <v>5545</v>
      </c>
      <c r="C18" s="53"/>
      <c r="D18" s="53"/>
      <c r="E18" s="53"/>
      <c r="F18" s="53"/>
      <c r="G18" s="53"/>
      <c r="H18" s="53"/>
      <c r="I18" s="46"/>
      <c r="J18" s="46"/>
      <c r="K18" s="46"/>
      <c r="L18" s="69"/>
    </row>
    <row r="19" spans="1:12" x14ac:dyDescent="0.25">
      <c r="A19" s="162"/>
      <c r="B19" s="153"/>
      <c r="C19" s="53"/>
      <c r="D19" s="53"/>
      <c r="E19" s="53"/>
      <c r="F19" s="53"/>
      <c r="G19" s="53"/>
      <c r="H19" s="53"/>
      <c r="I19" s="46"/>
      <c r="J19" s="46"/>
      <c r="K19" s="46"/>
      <c r="L19" s="69"/>
    </row>
    <row r="20" spans="1:12" x14ac:dyDescent="0.25">
      <c r="A20" s="184" t="s">
        <v>2957</v>
      </c>
      <c r="B20" s="190" t="s">
        <v>5322</v>
      </c>
      <c r="C20" s="94"/>
      <c r="D20" s="97"/>
      <c r="E20" s="97"/>
      <c r="F20" s="61"/>
      <c r="G20" s="61"/>
      <c r="H20" s="97"/>
      <c r="I20" s="94"/>
      <c r="J20" s="97"/>
      <c r="K20" s="97"/>
      <c r="L20" s="69"/>
    </row>
    <row r="21" spans="1:12" x14ac:dyDescent="0.25">
      <c r="A21" s="162"/>
      <c r="B21" s="153"/>
      <c r="C21" s="53"/>
      <c r="D21" s="53"/>
      <c r="E21" s="53"/>
      <c r="F21" s="53"/>
      <c r="G21" s="53"/>
      <c r="H21" s="53"/>
      <c r="I21" s="46"/>
      <c r="J21" s="46"/>
      <c r="K21" s="46"/>
      <c r="L21" s="69"/>
    </row>
    <row r="22" spans="1:12" x14ac:dyDescent="0.25">
      <c r="A22" s="162" t="s">
        <v>2958</v>
      </c>
      <c r="B22" s="153" t="s">
        <v>2959</v>
      </c>
      <c r="C22" s="67"/>
      <c r="D22" s="67"/>
      <c r="E22" s="67"/>
      <c r="F22" s="54">
        <f>ROUND(SUM(F20:F21),0)</f>
        <v>0</v>
      </c>
      <c r="G22" s="54">
        <f>ROUND(SUM(G20:G21),0)</f>
        <v>0</v>
      </c>
      <c r="H22" s="67"/>
      <c r="I22" s="67"/>
      <c r="J22" s="67"/>
      <c r="K22" s="67"/>
      <c r="L22" s="69"/>
    </row>
    <row r="23" spans="1:12" ht="8.1" customHeight="1" x14ac:dyDescent="0.25">
      <c r="A23" s="152"/>
      <c r="B23" s="152"/>
      <c r="C23" s="70"/>
      <c r="D23" s="70"/>
      <c r="E23" s="70"/>
      <c r="F23" s="70"/>
      <c r="G23" s="70"/>
      <c r="H23" s="70"/>
      <c r="I23" s="70"/>
      <c r="J23" s="70"/>
      <c r="K23" s="70"/>
      <c r="L23" s="69"/>
    </row>
  </sheetData>
  <sheetProtection password="C9D6" sheet="1" objects="1" scenarios="1"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H20">
      <formula1>CATALOGCOLUMNFILTERED144</formula1>
    </dataValidation>
    <dataValidation type="list" allowBlank="1" showInputMessage="1" showErrorMessage="1" errorTitle="SAT" error="El valor seleccionado no existe en la lista, por favor selecione una opción Válida" promptTitle="Seleccione un valor de la lista" prompt="SAT" sqref="J20:K20 J12:K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2">
      <formula1>CATALOGCOLUMNFILTERED143</formula1>
    </dataValidation>
    <dataValidation type="list" allowBlank="1" showInputMessage="1" showErrorMessage="1" errorTitle="SAT" error="El valor seleccionado no existe en la lista, por favor selecione una opción Válida" promptTitle="Seleccione un valor de la lista" prompt="SAT" sqref="E12 E2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2 D20">
      <formula1>CATALOGCOLUMNFILTERED41</formula1>
    </dataValidation>
  </dataValidations>
  <pageMargins left="0.7" right="0.7" top="0.75" bottom="0.75" header="0.3" footer="0.3"/>
  <pageSetup orientation="portrait" horizontalDpi="4294967295" verticalDpi="4294967295"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22"/>
  <sheetViews>
    <sheetView workbookViewId="0"/>
  </sheetViews>
  <sheetFormatPr defaultColWidth="11.5703125" defaultRowHeight="15" x14ac:dyDescent="0.25"/>
  <cols>
    <col min="1" max="1" width="14.28515625" style="107" customWidth="1"/>
    <col min="2" max="2" width="35.7109375" style="107" customWidth="1"/>
    <col min="3" max="3" width="30.7109375" style="107" customWidth="1"/>
    <col min="4" max="4" width="18.7109375" style="107" customWidth="1"/>
    <col min="5" max="5" width="30.7109375" style="107" customWidth="1"/>
    <col min="6" max="6" width="40.7109375" style="107" customWidth="1"/>
    <col min="7" max="7" width="18.7109375" style="107" customWidth="1"/>
    <col min="8" max="8" width="20.7109375" style="107" customWidth="1"/>
    <col min="9" max="10" width="30.7109375" style="107" customWidth="1"/>
    <col min="11" max="11" width="20.7109375" style="107" customWidth="1"/>
    <col min="12" max="18" width="18.7109375" style="107" customWidth="1"/>
    <col min="19" max="19" width="30.7109375" style="107" customWidth="1"/>
    <col min="20" max="20" width="40.7109375" style="107" customWidth="1"/>
    <col min="21" max="24" width="18.7109375" style="107" customWidth="1"/>
    <col min="25" max="25" width="1.7109375" style="107" customWidth="1"/>
    <col min="26" max="16384" width="11.5703125" style="107"/>
  </cols>
  <sheetData>
    <row r="1" spans="1:25" x14ac:dyDescent="0.25">
      <c r="A1" s="42" t="s">
        <v>0</v>
      </c>
      <c r="B1" s="127" t="s">
        <v>5622</v>
      </c>
      <c r="C1" s="42"/>
      <c r="D1" s="42"/>
      <c r="E1" s="42" t="s">
        <v>0</v>
      </c>
      <c r="F1" s="42" t="s">
        <v>0</v>
      </c>
      <c r="G1" s="42" t="s">
        <v>0</v>
      </c>
      <c r="H1" s="42" t="s">
        <v>0</v>
      </c>
      <c r="I1" s="42" t="s">
        <v>0</v>
      </c>
      <c r="J1" s="42" t="s">
        <v>0</v>
      </c>
      <c r="K1" s="42" t="s">
        <v>0</v>
      </c>
      <c r="L1" s="42" t="s">
        <v>0</v>
      </c>
      <c r="M1" s="42" t="s">
        <v>0</v>
      </c>
      <c r="N1" s="42" t="s">
        <v>0</v>
      </c>
      <c r="O1" s="42" t="s">
        <v>0</v>
      </c>
      <c r="P1" s="42" t="s">
        <v>0</v>
      </c>
      <c r="Q1" s="42" t="s">
        <v>0</v>
      </c>
      <c r="R1" s="42" t="s">
        <v>0</v>
      </c>
      <c r="S1" s="42" t="s">
        <v>0</v>
      </c>
      <c r="T1" s="42" t="s">
        <v>0</v>
      </c>
      <c r="U1" s="42" t="s">
        <v>0</v>
      </c>
      <c r="V1" s="42" t="s">
        <v>0</v>
      </c>
      <c r="W1" s="42" t="s">
        <v>0</v>
      </c>
      <c r="X1" s="42" t="s">
        <v>0</v>
      </c>
      <c r="Y1" s="69" t="s">
        <v>0</v>
      </c>
    </row>
    <row r="2" spans="1:25" ht="135" x14ac:dyDescent="0.25">
      <c r="A2" s="121" t="s">
        <v>5597</v>
      </c>
      <c r="B2" s="121" t="s">
        <v>5598</v>
      </c>
      <c r="C2" s="44" t="s">
        <v>2960</v>
      </c>
      <c r="D2" s="44" t="s">
        <v>5686</v>
      </c>
      <c r="E2" s="44" t="s">
        <v>2961</v>
      </c>
      <c r="F2" s="44" t="s">
        <v>2962</v>
      </c>
      <c r="G2" s="44" t="s">
        <v>2963</v>
      </c>
      <c r="H2" s="44" t="s">
        <v>2964</v>
      </c>
      <c r="I2" s="44" t="s">
        <v>2965</v>
      </c>
      <c r="J2" s="44" t="s">
        <v>2966</v>
      </c>
      <c r="K2" s="44" t="s">
        <v>2967</v>
      </c>
      <c r="L2" s="44" t="s">
        <v>2968</v>
      </c>
      <c r="M2" s="44" t="s">
        <v>2969</v>
      </c>
      <c r="N2" s="44" t="s">
        <v>2970</v>
      </c>
      <c r="O2" s="44" t="s">
        <v>2971</v>
      </c>
      <c r="P2" s="44" t="s">
        <v>2972</v>
      </c>
      <c r="Q2" s="44" t="s">
        <v>2973</v>
      </c>
      <c r="R2" s="44" t="s">
        <v>5687</v>
      </c>
      <c r="S2" s="44" t="s">
        <v>2974</v>
      </c>
      <c r="T2" s="44" t="s">
        <v>2975</v>
      </c>
      <c r="U2" s="44" t="s">
        <v>2976</v>
      </c>
      <c r="V2" s="44" t="s">
        <v>2977</v>
      </c>
      <c r="W2" s="44" t="s">
        <v>2978</v>
      </c>
      <c r="X2" s="44" t="s">
        <v>2979</v>
      </c>
      <c r="Y2" s="69" t="s">
        <v>0</v>
      </c>
    </row>
    <row r="3" spans="1:25" x14ac:dyDescent="0.25">
      <c r="A3" s="163"/>
      <c r="B3" s="46" t="s">
        <v>0</v>
      </c>
      <c r="C3" s="137"/>
      <c r="D3" s="137"/>
      <c r="E3" s="137"/>
      <c r="F3" s="137"/>
      <c r="G3" s="137"/>
      <c r="H3" s="137"/>
      <c r="I3" s="137"/>
      <c r="J3" s="137"/>
      <c r="K3" s="48"/>
      <c r="L3" s="48"/>
      <c r="M3" s="48"/>
      <c r="N3" s="48"/>
      <c r="O3" s="48"/>
      <c r="P3" s="48"/>
      <c r="Q3" s="48"/>
      <c r="R3" s="48"/>
      <c r="S3" s="48"/>
      <c r="T3" s="48"/>
      <c r="U3" s="137"/>
      <c r="V3" s="137"/>
      <c r="W3" s="137"/>
      <c r="X3" s="137"/>
      <c r="Y3" s="69"/>
    </row>
    <row r="4" spans="1:25" x14ac:dyDescent="0.25">
      <c r="A4" s="163"/>
      <c r="B4" s="138" t="s">
        <v>5626</v>
      </c>
      <c r="C4" s="177"/>
      <c r="D4" s="177"/>
      <c r="E4" s="177"/>
      <c r="F4" s="177"/>
      <c r="G4" s="177"/>
      <c r="H4" s="177"/>
      <c r="I4" s="177"/>
      <c r="J4" s="177"/>
      <c r="K4" s="177"/>
      <c r="L4" s="177"/>
      <c r="M4" s="177"/>
      <c r="N4" s="177"/>
      <c r="O4" s="177"/>
      <c r="P4" s="177"/>
      <c r="Q4" s="177"/>
      <c r="R4" s="177"/>
      <c r="S4" s="177"/>
      <c r="T4" s="177"/>
      <c r="U4" s="177"/>
      <c r="V4" s="177"/>
      <c r="W4" s="177"/>
      <c r="X4" s="177"/>
      <c r="Y4" s="69"/>
    </row>
    <row r="5" spans="1:25" x14ac:dyDescent="0.25">
      <c r="A5" s="163"/>
      <c r="B5" s="47" t="s">
        <v>0</v>
      </c>
      <c r="C5" s="177"/>
      <c r="D5" s="177"/>
      <c r="E5" s="177"/>
      <c r="F5" s="177"/>
      <c r="G5" s="177"/>
      <c r="H5" s="177"/>
      <c r="I5" s="177"/>
      <c r="J5" s="177"/>
      <c r="K5" s="177"/>
      <c r="L5" s="177"/>
      <c r="M5" s="177"/>
      <c r="N5" s="177"/>
      <c r="O5" s="177"/>
      <c r="P5" s="177"/>
      <c r="Q5" s="177"/>
      <c r="R5" s="177"/>
      <c r="S5" s="177"/>
      <c r="T5" s="177"/>
      <c r="U5" s="177"/>
      <c r="V5" s="177"/>
      <c r="W5" s="177"/>
      <c r="X5" s="177"/>
      <c r="Y5" s="69"/>
    </row>
    <row r="6" spans="1:25" ht="57" x14ac:dyDescent="0.25">
      <c r="A6" s="163"/>
      <c r="B6" s="71" t="s">
        <v>5651</v>
      </c>
      <c r="C6" s="83"/>
      <c r="D6" s="177"/>
      <c r="E6" s="177"/>
      <c r="F6" s="177"/>
      <c r="G6" s="177"/>
      <c r="H6" s="177"/>
      <c r="I6" s="177"/>
      <c r="J6" s="177"/>
      <c r="K6" s="177"/>
      <c r="L6" s="177"/>
      <c r="M6" s="177"/>
      <c r="N6" s="177"/>
      <c r="O6" s="177"/>
      <c r="P6" s="177"/>
      <c r="Q6" s="177"/>
      <c r="R6" s="177"/>
      <c r="S6" s="177"/>
      <c r="T6" s="177"/>
      <c r="U6" s="177"/>
      <c r="V6" s="177"/>
      <c r="W6" s="177"/>
      <c r="X6" s="177"/>
      <c r="Y6" s="69"/>
    </row>
    <row r="7" spans="1:25" x14ac:dyDescent="0.25">
      <c r="A7" s="163"/>
      <c r="B7" s="47" t="s">
        <v>0</v>
      </c>
      <c r="C7" s="177"/>
      <c r="D7" s="177"/>
      <c r="E7" s="177"/>
      <c r="F7" s="177"/>
      <c r="G7" s="177"/>
      <c r="H7" s="177"/>
      <c r="I7" s="177"/>
      <c r="J7" s="177"/>
      <c r="K7" s="177"/>
      <c r="L7" s="177"/>
      <c r="M7" s="177"/>
      <c r="N7" s="177"/>
      <c r="O7" s="177"/>
      <c r="P7" s="177"/>
      <c r="Q7" s="177"/>
      <c r="R7" s="177"/>
      <c r="S7" s="177"/>
      <c r="T7" s="177"/>
      <c r="U7" s="177"/>
      <c r="V7" s="177"/>
      <c r="W7" s="177"/>
      <c r="X7" s="177"/>
      <c r="Y7" s="69"/>
    </row>
    <row r="8" spans="1:25" ht="23.25" x14ac:dyDescent="0.25">
      <c r="A8" s="163"/>
      <c r="B8" s="49" t="s">
        <v>5652</v>
      </c>
      <c r="C8" s="177"/>
      <c r="D8" s="177"/>
      <c r="E8" s="177"/>
      <c r="F8" s="177"/>
      <c r="G8" s="177"/>
      <c r="H8" s="177"/>
      <c r="I8" s="177"/>
      <c r="J8" s="177"/>
      <c r="K8" s="177"/>
      <c r="L8" s="177"/>
      <c r="M8" s="177"/>
      <c r="N8" s="177"/>
      <c r="O8" s="177"/>
      <c r="P8" s="177"/>
      <c r="Q8" s="177"/>
      <c r="R8" s="177"/>
      <c r="S8" s="177"/>
      <c r="T8" s="177"/>
      <c r="U8" s="177"/>
      <c r="V8" s="177"/>
      <c r="W8" s="177"/>
      <c r="X8" s="177"/>
      <c r="Y8" s="69"/>
    </row>
    <row r="9" spans="1:25" x14ac:dyDescent="0.25">
      <c r="A9" s="163"/>
      <c r="B9" s="47" t="s">
        <v>0</v>
      </c>
      <c r="C9" s="137"/>
      <c r="D9" s="137"/>
      <c r="E9" s="137"/>
      <c r="F9" s="137"/>
      <c r="G9" s="137"/>
      <c r="H9" s="137"/>
      <c r="I9" s="137"/>
      <c r="J9" s="137"/>
      <c r="K9" s="137"/>
      <c r="L9" s="137"/>
      <c r="M9" s="137"/>
      <c r="N9" s="137"/>
      <c r="O9" s="137"/>
      <c r="P9" s="137"/>
      <c r="Q9" s="137"/>
      <c r="R9" s="137"/>
      <c r="S9" s="137"/>
      <c r="T9" s="137"/>
      <c r="U9" s="137"/>
      <c r="V9" s="137"/>
      <c r="W9" s="137"/>
      <c r="X9" s="137"/>
      <c r="Y9" s="69"/>
    </row>
    <row r="10" spans="1:25" x14ac:dyDescent="0.25">
      <c r="A10" s="163"/>
      <c r="B10" s="139" t="s">
        <v>5653</v>
      </c>
      <c r="C10" s="80"/>
      <c r="D10" s="80"/>
      <c r="E10" s="80"/>
      <c r="F10" s="80"/>
      <c r="G10" s="80"/>
      <c r="H10" s="80"/>
      <c r="I10" s="80"/>
      <c r="J10" s="80"/>
      <c r="K10" s="80"/>
      <c r="L10" s="80"/>
      <c r="M10" s="80"/>
      <c r="N10" s="80"/>
      <c r="O10" s="80"/>
      <c r="P10" s="80"/>
      <c r="Q10" s="80"/>
      <c r="R10" s="80"/>
      <c r="S10" s="80"/>
      <c r="T10" s="80"/>
      <c r="U10" s="80"/>
      <c r="V10" s="80"/>
      <c r="W10" s="80"/>
      <c r="X10" s="80"/>
      <c r="Y10" s="69"/>
    </row>
    <row r="11" spans="1:25" x14ac:dyDescent="0.25">
      <c r="A11" s="163"/>
      <c r="B11" s="160"/>
      <c r="C11" s="80"/>
      <c r="D11" s="80"/>
      <c r="E11" s="80"/>
      <c r="F11" s="80"/>
      <c r="G11" s="80"/>
      <c r="H11" s="80"/>
      <c r="I11" s="80"/>
      <c r="J11" s="80"/>
      <c r="K11" s="80"/>
      <c r="L11" s="80"/>
      <c r="M11" s="80"/>
      <c r="N11" s="80"/>
      <c r="O11" s="80"/>
      <c r="P11" s="80"/>
      <c r="Q11" s="80"/>
      <c r="R11" s="80"/>
      <c r="S11" s="80"/>
      <c r="T11" s="80"/>
      <c r="U11" s="80"/>
      <c r="V11" s="80"/>
      <c r="W11" s="80"/>
      <c r="X11" s="80"/>
      <c r="Y11" s="69"/>
    </row>
    <row r="12" spans="1:25" x14ac:dyDescent="0.25">
      <c r="A12" s="184" t="s">
        <v>2980</v>
      </c>
      <c r="B12" s="190" t="s">
        <v>5322</v>
      </c>
      <c r="C12" s="94"/>
      <c r="D12" s="61"/>
      <c r="E12" s="97"/>
      <c r="F12" s="94"/>
      <c r="G12" s="97"/>
      <c r="H12" s="94"/>
      <c r="I12" s="97"/>
      <c r="J12" s="97"/>
      <c r="K12" s="94"/>
      <c r="L12" s="87"/>
      <c r="M12" s="61"/>
      <c r="N12" s="87"/>
      <c r="O12" s="61"/>
      <c r="P12" s="94"/>
      <c r="Q12" s="94"/>
      <c r="R12" s="61"/>
      <c r="S12" s="97"/>
      <c r="T12" s="94"/>
      <c r="U12" s="97"/>
      <c r="V12" s="61"/>
      <c r="W12" s="97"/>
      <c r="X12" s="94"/>
      <c r="Y12" s="69"/>
    </row>
    <row r="13" spans="1:25" x14ac:dyDescent="0.25">
      <c r="A13" s="162"/>
      <c r="B13" s="153"/>
      <c r="C13" s="46"/>
      <c r="D13" s="53"/>
      <c r="E13" s="46"/>
      <c r="F13" s="46"/>
      <c r="G13" s="46"/>
      <c r="H13" s="46"/>
      <c r="I13" s="46"/>
      <c r="J13" s="46"/>
      <c r="K13" s="46"/>
      <c r="L13" s="46"/>
      <c r="M13" s="46"/>
      <c r="N13" s="46"/>
      <c r="O13" s="46"/>
      <c r="P13" s="46"/>
      <c r="Q13" s="46"/>
      <c r="R13" s="46"/>
      <c r="S13" s="46"/>
      <c r="T13" s="46"/>
      <c r="U13" s="46"/>
      <c r="V13" s="46"/>
      <c r="W13" s="46"/>
      <c r="X13" s="46"/>
      <c r="Y13" s="69"/>
    </row>
    <row r="14" spans="1:25" x14ac:dyDescent="0.25">
      <c r="A14" s="162" t="s">
        <v>2981</v>
      </c>
      <c r="B14" s="153" t="s">
        <v>2982</v>
      </c>
      <c r="C14" s="67"/>
      <c r="D14" s="54">
        <f>ROUND(SUM(D12:D13),0)</f>
        <v>0</v>
      </c>
      <c r="E14" s="67"/>
      <c r="F14" s="67"/>
      <c r="G14" s="67"/>
      <c r="H14" s="67"/>
      <c r="I14" s="67"/>
      <c r="J14" s="67"/>
      <c r="K14" s="67"/>
      <c r="L14" s="67"/>
      <c r="M14" s="98">
        <f>ROUND(SUM(M12:M13),0)</f>
        <v>0</v>
      </c>
      <c r="N14" s="67"/>
      <c r="O14" s="98">
        <f>ROUND(SUM(O12:O13),0)</f>
        <v>0</v>
      </c>
      <c r="P14" s="67"/>
      <c r="Q14" s="67"/>
      <c r="R14" s="98">
        <f>ROUND(SUM(R12:R13),0)</f>
        <v>0</v>
      </c>
      <c r="S14" s="67"/>
      <c r="T14" s="67"/>
      <c r="U14" s="67"/>
      <c r="V14" s="98">
        <f>ROUND(SUM(V12:V13),0)</f>
        <v>0</v>
      </c>
      <c r="W14" s="67"/>
      <c r="X14" s="67"/>
      <c r="Y14" s="69"/>
    </row>
    <row r="15" spans="1:25" x14ac:dyDescent="0.25">
      <c r="A15" s="162"/>
      <c r="B15" s="153"/>
      <c r="C15" s="46"/>
      <c r="D15" s="53"/>
      <c r="E15" s="46"/>
      <c r="F15" s="46"/>
      <c r="G15" s="46"/>
      <c r="H15" s="46"/>
      <c r="I15" s="46"/>
      <c r="J15" s="46"/>
      <c r="K15" s="46"/>
      <c r="L15" s="46"/>
      <c r="M15" s="46"/>
      <c r="N15" s="46"/>
      <c r="O15" s="46"/>
      <c r="P15" s="46"/>
      <c r="Q15" s="46"/>
      <c r="R15" s="46"/>
      <c r="S15" s="46"/>
      <c r="T15" s="46"/>
      <c r="U15" s="46"/>
      <c r="V15" s="46"/>
      <c r="W15" s="46"/>
      <c r="X15" s="46"/>
      <c r="Y15" s="69"/>
    </row>
    <row r="16" spans="1:25" x14ac:dyDescent="0.25">
      <c r="A16" s="162"/>
      <c r="B16" s="179" t="s">
        <v>2983</v>
      </c>
      <c r="C16" s="46"/>
      <c r="D16" s="53"/>
      <c r="E16" s="46"/>
      <c r="F16" s="46"/>
      <c r="G16" s="46"/>
      <c r="H16" s="46"/>
      <c r="I16" s="46"/>
      <c r="J16" s="46"/>
      <c r="K16" s="46"/>
      <c r="L16" s="46"/>
      <c r="M16" s="46"/>
      <c r="N16" s="46"/>
      <c r="O16" s="46"/>
      <c r="P16" s="46"/>
      <c r="Q16" s="46"/>
      <c r="R16" s="46"/>
      <c r="S16" s="46"/>
      <c r="T16" s="46"/>
      <c r="U16" s="46"/>
      <c r="V16" s="46"/>
      <c r="W16" s="46"/>
      <c r="X16" s="46"/>
      <c r="Y16" s="69"/>
    </row>
    <row r="17" spans="1:25" x14ac:dyDescent="0.25">
      <c r="A17" s="162"/>
      <c r="B17" s="153"/>
      <c r="C17" s="46"/>
      <c r="D17" s="53"/>
      <c r="E17" s="46"/>
      <c r="F17" s="46"/>
      <c r="G17" s="46"/>
      <c r="H17" s="46"/>
      <c r="I17" s="46"/>
      <c r="J17" s="46"/>
      <c r="K17" s="46"/>
      <c r="L17" s="46"/>
      <c r="M17" s="46"/>
      <c r="N17" s="46"/>
      <c r="O17" s="46"/>
      <c r="P17" s="46"/>
      <c r="Q17" s="46"/>
      <c r="R17" s="46"/>
      <c r="S17" s="46"/>
      <c r="T17" s="46"/>
      <c r="U17" s="46"/>
      <c r="V17" s="46"/>
      <c r="W17" s="46"/>
      <c r="X17" s="46"/>
      <c r="Y17" s="69"/>
    </row>
    <row r="18" spans="1:25" x14ac:dyDescent="0.25">
      <c r="A18" s="184" t="s">
        <v>2984</v>
      </c>
      <c r="B18" s="190" t="s">
        <v>5322</v>
      </c>
      <c r="C18" s="94"/>
      <c r="D18" s="61"/>
      <c r="E18" s="97"/>
      <c r="F18" s="94"/>
      <c r="G18" s="97"/>
      <c r="H18" s="94"/>
      <c r="I18" s="97"/>
      <c r="J18" s="97"/>
      <c r="K18" s="94"/>
      <c r="L18" s="87"/>
      <c r="M18" s="61"/>
      <c r="N18" s="87"/>
      <c r="O18" s="61"/>
      <c r="P18" s="94"/>
      <c r="Q18" s="94"/>
      <c r="R18" s="61"/>
      <c r="S18" s="97"/>
      <c r="T18" s="94"/>
      <c r="U18" s="97"/>
      <c r="V18" s="61"/>
      <c r="W18" s="97"/>
      <c r="X18" s="94"/>
      <c r="Y18" s="69"/>
    </row>
    <row r="19" spans="1:25" x14ac:dyDescent="0.25">
      <c r="A19" s="162"/>
      <c r="B19" s="153"/>
      <c r="C19" s="46"/>
      <c r="D19" s="53"/>
      <c r="E19" s="46"/>
      <c r="F19" s="46"/>
      <c r="G19" s="46"/>
      <c r="H19" s="46"/>
      <c r="I19" s="46"/>
      <c r="J19" s="46"/>
      <c r="K19" s="46"/>
      <c r="L19" s="46"/>
      <c r="M19" s="46"/>
      <c r="N19" s="46"/>
      <c r="O19" s="46"/>
      <c r="P19" s="46"/>
      <c r="Q19" s="46"/>
      <c r="R19" s="46"/>
      <c r="S19" s="46"/>
      <c r="T19" s="46"/>
      <c r="U19" s="46"/>
      <c r="V19" s="46"/>
      <c r="W19" s="46"/>
      <c r="X19" s="46"/>
      <c r="Y19" s="69"/>
    </row>
    <row r="20" spans="1:25" x14ac:dyDescent="0.25">
      <c r="A20" s="162" t="s">
        <v>2985</v>
      </c>
      <c r="B20" s="153" t="s">
        <v>2986</v>
      </c>
      <c r="C20" s="67"/>
      <c r="D20" s="54">
        <f>ROUND(SUM(D18:D19),0)</f>
        <v>0</v>
      </c>
      <c r="E20" s="67"/>
      <c r="F20" s="67"/>
      <c r="G20" s="67"/>
      <c r="H20" s="67"/>
      <c r="I20" s="67"/>
      <c r="J20" s="67"/>
      <c r="K20" s="67"/>
      <c r="L20" s="67"/>
      <c r="M20" s="98">
        <f>ROUND(SUM(M18:M19),0)</f>
        <v>0</v>
      </c>
      <c r="N20" s="67"/>
      <c r="O20" s="98">
        <f>ROUND(SUM(O18:O19),0)</f>
        <v>0</v>
      </c>
      <c r="P20" s="67"/>
      <c r="Q20" s="67"/>
      <c r="R20" s="98">
        <f>ROUND(SUM(R18:R19),0)</f>
        <v>0</v>
      </c>
      <c r="S20" s="67"/>
      <c r="T20" s="67"/>
      <c r="U20" s="67"/>
      <c r="V20" s="98">
        <f>ROUND(SUM(V18:V19),0)</f>
        <v>0</v>
      </c>
      <c r="W20" s="67"/>
      <c r="X20" s="67"/>
      <c r="Y20" s="69"/>
    </row>
    <row r="21" spans="1:25" x14ac:dyDescent="0.25">
      <c r="A21" s="163"/>
      <c r="B21" s="160"/>
      <c r="C21" s="46"/>
      <c r="D21" s="46"/>
      <c r="E21" s="46"/>
      <c r="F21" s="46"/>
      <c r="G21" s="46"/>
      <c r="H21" s="46"/>
      <c r="I21" s="46"/>
      <c r="J21" s="46"/>
      <c r="K21" s="46"/>
      <c r="L21" s="46"/>
      <c r="M21" s="46"/>
      <c r="N21" s="46"/>
      <c r="O21" s="46"/>
      <c r="P21" s="46"/>
      <c r="Q21" s="46"/>
      <c r="R21" s="46"/>
      <c r="S21" s="46"/>
      <c r="T21" s="46"/>
      <c r="U21" s="46"/>
      <c r="V21" s="46"/>
      <c r="W21" s="46"/>
      <c r="X21" s="46"/>
      <c r="Y21" s="69"/>
    </row>
    <row r="22" spans="1:25" ht="8.1" customHeight="1" x14ac:dyDescent="0.25">
      <c r="A22" s="152"/>
      <c r="B22" s="152"/>
      <c r="C22" s="70"/>
      <c r="D22" s="70"/>
      <c r="E22" s="70"/>
      <c r="F22" s="70"/>
      <c r="G22" s="70"/>
      <c r="H22" s="70"/>
      <c r="I22" s="70"/>
      <c r="J22" s="70"/>
      <c r="K22" s="70"/>
      <c r="L22" s="70"/>
      <c r="M22" s="70"/>
      <c r="N22" s="70"/>
      <c r="O22" s="70"/>
      <c r="P22" s="70"/>
      <c r="Q22" s="70"/>
      <c r="R22" s="70"/>
      <c r="S22" s="70"/>
      <c r="T22" s="70"/>
      <c r="U22" s="70"/>
      <c r="V22" s="70"/>
      <c r="W22" s="70"/>
      <c r="X22" s="70"/>
      <c r="Y22" s="69"/>
    </row>
  </sheetData>
  <sheetProtection password="C9D6" sheet="1" objects="1" scenarios="1"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S12 S18">
      <formula1>CATALOGCOLUMNFILTERED145</formula1>
    </dataValidation>
    <dataValidation type="list" allowBlank="1" showInputMessage="1" showErrorMessage="1" errorTitle="SAT" error="El valor seleccionado no existe en la lista, por favor selecione una opción Válida" promptTitle="Seleccione un valor de la lista" prompt="SAT" sqref="J12 J18">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I12 I1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G12 W18 U18 G18 W12 U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E12 E18">
      <formula1>CATALOGCOLUMNFILTERED146</formula1>
    </dataValidation>
  </dataValidations>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33"/>
  <sheetViews>
    <sheetView workbookViewId="0"/>
  </sheetViews>
  <sheetFormatPr defaultColWidth="11.5703125" defaultRowHeight="15" x14ac:dyDescent="0.25"/>
  <cols>
    <col min="1" max="1" width="14.28515625" style="107" customWidth="1"/>
    <col min="2" max="2" width="35.7109375" style="107" customWidth="1"/>
    <col min="3" max="13" width="18.7109375" style="107" customWidth="1"/>
    <col min="14" max="14" width="1.7109375" style="107" customWidth="1"/>
    <col min="15" max="16384" width="11.5703125" style="107"/>
  </cols>
  <sheetData>
    <row r="1" spans="1:14" ht="22.5" x14ac:dyDescent="0.25">
      <c r="A1" s="42" t="s">
        <v>0</v>
      </c>
      <c r="B1" s="128" t="s">
        <v>5623</v>
      </c>
      <c r="C1" s="42"/>
      <c r="D1" s="42"/>
      <c r="E1" s="42" t="s">
        <v>0</v>
      </c>
      <c r="F1" s="42" t="s">
        <v>0</v>
      </c>
      <c r="G1" s="42" t="s">
        <v>0</v>
      </c>
      <c r="H1" s="42" t="s">
        <v>0</v>
      </c>
      <c r="I1" s="42" t="s">
        <v>0</v>
      </c>
      <c r="J1" s="42" t="s">
        <v>0</v>
      </c>
      <c r="K1" s="42" t="s">
        <v>0</v>
      </c>
      <c r="L1" s="42" t="s">
        <v>0</v>
      </c>
      <c r="M1" s="42" t="s">
        <v>0</v>
      </c>
      <c r="N1" s="69" t="s">
        <v>0</v>
      </c>
    </row>
    <row r="2" spans="1:14" x14ac:dyDescent="0.25">
      <c r="A2" s="121" t="s">
        <v>5597</v>
      </c>
      <c r="B2" s="121" t="s">
        <v>5598</v>
      </c>
      <c r="C2" s="44" t="s">
        <v>5660</v>
      </c>
      <c r="D2" s="44" t="s">
        <v>586</v>
      </c>
      <c r="E2" s="44" t="s">
        <v>587</v>
      </c>
      <c r="F2" s="44" t="s">
        <v>2987</v>
      </c>
      <c r="G2" s="44" t="s">
        <v>2988</v>
      </c>
      <c r="H2" s="44" t="s">
        <v>2989</v>
      </c>
      <c r="I2" s="44" t="s">
        <v>2990</v>
      </c>
      <c r="J2" s="44" t="s">
        <v>2991</v>
      </c>
      <c r="K2" s="44" t="s">
        <v>2992</v>
      </c>
      <c r="L2" s="44" t="s">
        <v>2993</v>
      </c>
      <c r="M2" s="44" t="s">
        <v>2994</v>
      </c>
      <c r="N2" s="69" t="s">
        <v>0</v>
      </c>
    </row>
    <row r="3" spans="1:14" x14ac:dyDescent="0.25">
      <c r="A3" s="163"/>
      <c r="B3" s="46" t="s">
        <v>0</v>
      </c>
      <c r="C3" s="137"/>
      <c r="D3" s="137"/>
      <c r="E3" s="137"/>
      <c r="F3" s="137"/>
      <c r="G3" s="137"/>
      <c r="H3" s="137"/>
      <c r="I3" s="137"/>
      <c r="J3" s="137"/>
      <c r="K3" s="137"/>
      <c r="L3" s="137"/>
      <c r="M3" s="137"/>
      <c r="N3" s="69"/>
    </row>
    <row r="4" spans="1:14" x14ac:dyDescent="0.25">
      <c r="A4" s="163"/>
      <c r="B4" s="18" t="s">
        <v>0</v>
      </c>
      <c r="C4" s="177"/>
      <c r="D4" s="177"/>
      <c r="E4" s="177"/>
      <c r="F4" s="177"/>
      <c r="G4" s="177"/>
      <c r="H4" s="177"/>
      <c r="I4" s="177"/>
      <c r="J4" s="177"/>
      <c r="K4" s="177"/>
      <c r="L4" s="177"/>
      <c r="M4" s="177"/>
      <c r="N4" s="69"/>
    </row>
    <row r="5" spans="1:14" x14ac:dyDescent="0.25">
      <c r="A5" s="163"/>
      <c r="B5" s="51" t="s">
        <v>5626</v>
      </c>
      <c r="C5" s="137"/>
      <c r="D5" s="137"/>
      <c r="E5" s="137"/>
      <c r="F5" s="137"/>
      <c r="G5" s="137"/>
      <c r="H5" s="137"/>
      <c r="I5" s="137"/>
      <c r="J5" s="137"/>
      <c r="K5" s="137"/>
      <c r="L5" s="137"/>
      <c r="M5" s="137"/>
      <c r="N5" s="69"/>
    </row>
    <row r="6" spans="1:14" x14ac:dyDescent="0.25">
      <c r="A6" s="163"/>
      <c r="B6" s="18" t="s">
        <v>0</v>
      </c>
      <c r="C6" s="137"/>
      <c r="D6" s="137"/>
      <c r="E6" s="137"/>
      <c r="F6" s="137"/>
      <c r="G6" s="137"/>
      <c r="H6" s="137"/>
      <c r="I6" s="137"/>
      <c r="J6" s="137"/>
      <c r="K6" s="137"/>
      <c r="L6" s="137"/>
      <c r="M6" s="137"/>
      <c r="N6" s="69"/>
    </row>
    <row r="7" spans="1:14" ht="56.25" x14ac:dyDescent="0.25">
      <c r="A7" s="163"/>
      <c r="B7" s="20" t="s">
        <v>5654</v>
      </c>
      <c r="C7" s="83"/>
      <c r="D7" s="137"/>
      <c r="E7" s="137"/>
      <c r="F7" s="137"/>
      <c r="G7" s="137"/>
      <c r="H7" s="137"/>
      <c r="I7" s="137"/>
      <c r="J7" s="137"/>
      <c r="K7" s="137"/>
      <c r="L7" s="137"/>
      <c r="M7" s="137"/>
      <c r="N7" s="69"/>
    </row>
    <row r="8" spans="1:14" x14ac:dyDescent="0.25">
      <c r="A8" s="163"/>
      <c r="B8" s="160"/>
      <c r="C8" s="137"/>
      <c r="D8" s="137"/>
      <c r="E8" s="137"/>
      <c r="F8" s="137"/>
      <c r="G8" s="137"/>
      <c r="H8" s="137"/>
      <c r="I8" s="137"/>
      <c r="J8" s="137"/>
      <c r="K8" s="137"/>
      <c r="L8" s="137"/>
      <c r="M8" s="137"/>
      <c r="N8" s="69"/>
    </row>
    <row r="9" spans="1:14" ht="22.5" x14ac:dyDescent="0.25">
      <c r="A9" s="162" t="s">
        <v>2995</v>
      </c>
      <c r="B9" s="153" t="s">
        <v>5546</v>
      </c>
      <c r="C9" s="160"/>
      <c r="D9" s="160"/>
      <c r="E9" s="160"/>
      <c r="F9" s="160"/>
      <c r="G9" s="160"/>
      <c r="H9" s="160"/>
      <c r="I9" s="160"/>
      <c r="J9" s="160"/>
      <c r="K9" s="160"/>
      <c r="L9" s="160"/>
      <c r="M9" s="160"/>
      <c r="N9" s="149"/>
    </row>
    <row r="10" spans="1:14" x14ac:dyDescent="0.25">
      <c r="A10" s="162" t="s">
        <v>2997</v>
      </c>
      <c r="B10" s="153" t="s">
        <v>5547</v>
      </c>
      <c r="C10" s="160"/>
      <c r="D10" s="160"/>
      <c r="E10" s="160"/>
      <c r="F10" s="160"/>
      <c r="G10" s="160"/>
      <c r="H10" s="160"/>
      <c r="I10" s="160"/>
      <c r="J10" s="160"/>
      <c r="K10" s="160"/>
      <c r="L10" s="160"/>
      <c r="M10" s="160"/>
      <c r="N10" s="149"/>
    </row>
    <row r="11" spans="1:14" ht="22.5" x14ac:dyDescent="0.25">
      <c r="A11" s="162" t="s">
        <v>2999</v>
      </c>
      <c r="B11" s="153" t="s">
        <v>5548</v>
      </c>
      <c r="C11" s="185"/>
      <c r="D11" s="185"/>
      <c r="E11" s="185"/>
      <c r="F11" s="185"/>
      <c r="G11" s="185"/>
      <c r="H11" s="185"/>
      <c r="I11" s="185"/>
      <c r="J11" s="185"/>
      <c r="K11" s="185"/>
      <c r="L11" s="185"/>
      <c r="M11" s="185"/>
      <c r="N11" s="149"/>
    </row>
    <row r="12" spans="1:14" ht="67.5" x14ac:dyDescent="0.25">
      <c r="A12" s="162"/>
      <c r="B12" s="153" t="s">
        <v>5549</v>
      </c>
      <c r="C12" s="160"/>
      <c r="D12" s="160"/>
      <c r="E12" s="160"/>
      <c r="F12" s="160"/>
      <c r="G12" s="160"/>
      <c r="H12" s="160"/>
      <c r="I12" s="160"/>
      <c r="J12" s="160"/>
      <c r="K12" s="160"/>
      <c r="L12" s="160"/>
      <c r="M12" s="160"/>
      <c r="N12" s="149"/>
    </row>
    <row r="13" spans="1:14" x14ac:dyDescent="0.25">
      <c r="A13" s="162"/>
      <c r="B13" s="153"/>
      <c r="C13" s="160"/>
      <c r="D13" s="160"/>
      <c r="E13" s="160"/>
      <c r="F13" s="160"/>
      <c r="G13" s="160"/>
      <c r="H13" s="160"/>
      <c r="I13" s="160"/>
      <c r="J13" s="160"/>
      <c r="K13" s="160"/>
      <c r="L13" s="160"/>
      <c r="M13" s="160"/>
      <c r="N13" s="149"/>
    </row>
    <row r="14" spans="1:14" x14ac:dyDescent="0.25">
      <c r="A14" s="162" t="s">
        <v>3001</v>
      </c>
      <c r="B14" s="153" t="s">
        <v>2996</v>
      </c>
      <c r="C14" s="116"/>
      <c r="D14" s="116"/>
      <c r="E14" s="116"/>
      <c r="F14" s="116"/>
      <c r="G14" s="116"/>
      <c r="H14" s="116"/>
      <c r="I14" s="116"/>
      <c r="J14" s="116"/>
      <c r="K14" s="116"/>
      <c r="L14" s="116"/>
      <c r="M14" s="116"/>
      <c r="N14" s="69"/>
    </row>
    <row r="15" spans="1:14" x14ac:dyDescent="0.25">
      <c r="A15" s="162"/>
      <c r="B15" s="153"/>
      <c r="C15" s="46"/>
      <c r="D15" s="46"/>
      <c r="E15" s="46"/>
      <c r="F15" s="46"/>
      <c r="G15" s="46"/>
      <c r="H15" s="46"/>
      <c r="I15" s="46"/>
      <c r="J15" s="46"/>
      <c r="K15" s="46"/>
      <c r="L15" s="46"/>
      <c r="M15" s="46"/>
      <c r="N15" s="69"/>
    </row>
    <row r="16" spans="1:14" ht="22.5" x14ac:dyDescent="0.25">
      <c r="A16" s="162" t="s">
        <v>3002</v>
      </c>
      <c r="B16" s="153" t="s">
        <v>2998</v>
      </c>
      <c r="C16" s="93"/>
      <c r="D16" s="93"/>
      <c r="E16" s="93"/>
      <c r="F16" s="93"/>
      <c r="G16" s="93"/>
      <c r="H16" s="93"/>
      <c r="I16" s="93"/>
      <c r="J16" s="93"/>
      <c r="K16" s="93"/>
      <c r="L16" s="93"/>
      <c r="M16" s="93"/>
      <c r="N16" s="69"/>
    </row>
    <row r="17" spans="1:14" ht="33.75" x14ac:dyDescent="0.25">
      <c r="A17" s="162" t="s">
        <v>3003</v>
      </c>
      <c r="B17" s="153" t="s">
        <v>3000</v>
      </c>
      <c r="C17" s="93"/>
      <c r="D17" s="93"/>
      <c r="E17" s="93"/>
      <c r="F17" s="93"/>
      <c r="G17" s="93"/>
      <c r="H17" s="93"/>
      <c r="I17" s="93"/>
      <c r="J17" s="93"/>
      <c r="K17" s="93"/>
      <c r="L17" s="93"/>
      <c r="M17" s="93"/>
      <c r="N17" s="69"/>
    </row>
    <row r="18" spans="1:14" x14ac:dyDescent="0.25">
      <c r="A18" s="162" t="s">
        <v>3005</v>
      </c>
      <c r="B18" s="153" t="s">
        <v>3008</v>
      </c>
      <c r="C18" s="93">
        <f t="shared" ref="C18:M18" si="0">IF(C17&gt;0,(IF(C17&gt;C16,1,TRUNC(C16/C17,4))),0)</f>
        <v>0</v>
      </c>
      <c r="D18" s="93">
        <f t="shared" si="0"/>
        <v>0</v>
      </c>
      <c r="E18" s="93">
        <f t="shared" si="0"/>
        <v>0</v>
      </c>
      <c r="F18" s="93">
        <f t="shared" si="0"/>
        <v>0</v>
      </c>
      <c r="G18" s="93">
        <f t="shared" si="0"/>
        <v>0</v>
      </c>
      <c r="H18" s="93">
        <f t="shared" si="0"/>
        <v>0</v>
      </c>
      <c r="I18" s="93">
        <f t="shared" si="0"/>
        <v>0</v>
      </c>
      <c r="J18" s="93">
        <f t="shared" si="0"/>
        <v>0</v>
      </c>
      <c r="K18" s="93">
        <f t="shared" si="0"/>
        <v>0</v>
      </c>
      <c r="L18" s="93">
        <f t="shared" si="0"/>
        <v>0</v>
      </c>
      <c r="M18" s="93">
        <f t="shared" si="0"/>
        <v>0</v>
      </c>
      <c r="N18" s="69"/>
    </row>
    <row r="19" spans="1:14" ht="22.5" x14ac:dyDescent="0.25">
      <c r="A19" s="162" t="s">
        <v>3007</v>
      </c>
      <c r="B19" s="153" t="s">
        <v>5550</v>
      </c>
      <c r="C19" s="117">
        <f t="shared" ref="C19:M19" si="1">ROUND(C14*C18,0)</f>
        <v>0</v>
      </c>
      <c r="D19" s="116">
        <f t="shared" si="1"/>
        <v>0</v>
      </c>
      <c r="E19" s="116">
        <f t="shared" si="1"/>
        <v>0</v>
      </c>
      <c r="F19" s="116">
        <f t="shared" si="1"/>
        <v>0</v>
      </c>
      <c r="G19" s="116">
        <f t="shared" si="1"/>
        <v>0</v>
      </c>
      <c r="H19" s="116">
        <f t="shared" si="1"/>
        <v>0</v>
      </c>
      <c r="I19" s="116">
        <f t="shared" si="1"/>
        <v>0</v>
      </c>
      <c r="J19" s="116">
        <f t="shared" si="1"/>
        <v>0</v>
      </c>
      <c r="K19" s="116">
        <f t="shared" si="1"/>
        <v>0</v>
      </c>
      <c r="L19" s="116">
        <f t="shared" si="1"/>
        <v>0</v>
      </c>
      <c r="M19" s="116">
        <f t="shared" si="1"/>
        <v>0</v>
      </c>
      <c r="N19" s="69"/>
    </row>
    <row r="20" spans="1:14" x14ac:dyDescent="0.25">
      <c r="A20" s="162"/>
      <c r="B20" s="153"/>
      <c r="C20" s="46"/>
      <c r="D20" s="46"/>
      <c r="E20" s="46"/>
      <c r="F20" s="46"/>
      <c r="G20" s="46"/>
      <c r="H20" s="46"/>
      <c r="I20" s="46"/>
      <c r="J20" s="46"/>
      <c r="K20" s="46"/>
      <c r="L20" s="46"/>
      <c r="M20" s="46"/>
      <c r="N20" s="69"/>
    </row>
    <row r="21" spans="1:14" ht="33.75" x14ac:dyDescent="0.25">
      <c r="A21" s="162" t="s">
        <v>3009</v>
      </c>
      <c r="B21" s="153" t="s">
        <v>3004</v>
      </c>
      <c r="C21" s="93"/>
      <c r="D21" s="93"/>
      <c r="E21" s="93"/>
      <c r="F21" s="93"/>
      <c r="G21" s="93"/>
      <c r="H21" s="93"/>
      <c r="I21" s="93"/>
      <c r="J21" s="93"/>
      <c r="K21" s="93"/>
      <c r="L21" s="93"/>
      <c r="M21" s="93"/>
      <c r="N21" s="69"/>
    </row>
    <row r="22" spans="1:14" ht="22.5" x14ac:dyDescent="0.25">
      <c r="A22" s="162" t="s">
        <v>3011</v>
      </c>
      <c r="B22" s="153" t="s">
        <v>3006</v>
      </c>
      <c r="C22" s="93"/>
      <c r="D22" s="93"/>
      <c r="E22" s="93"/>
      <c r="F22" s="93"/>
      <c r="G22" s="93"/>
      <c r="H22" s="93"/>
      <c r="I22" s="93"/>
      <c r="J22" s="93"/>
      <c r="K22" s="93"/>
      <c r="L22" s="93"/>
      <c r="M22" s="93"/>
      <c r="N22" s="69"/>
    </row>
    <row r="23" spans="1:14" x14ac:dyDescent="0.25">
      <c r="A23" s="162" t="s">
        <v>3012</v>
      </c>
      <c r="B23" s="153" t="s">
        <v>3008</v>
      </c>
      <c r="C23" s="93">
        <f t="shared" ref="C23:M23" si="2">IF(C22&gt;0,(IF(C22&gt;C21,1,TRUNC(C21/C22,4))),0)</f>
        <v>0</v>
      </c>
      <c r="D23" s="93">
        <f t="shared" si="2"/>
        <v>0</v>
      </c>
      <c r="E23" s="93">
        <f t="shared" si="2"/>
        <v>0</v>
      </c>
      <c r="F23" s="93">
        <f t="shared" si="2"/>
        <v>0</v>
      </c>
      <c r="G23" s="93">
        <f t="shared" si="2"/>
        <v>0</v>
      </c>
      <c r="H23" s="93">
        <f t="shared" si="2"/>
        <v>0</v>
      </c>
      <c r="I23" s="93">
        <f t="shared" si="2"/>
        <v>0</v>
      </c>
      <c r="J23" s="93">
        <f t="shared" si="2"/>
        <v>0</v>
      </c>
      <c r="K23" s="93">
        <f t="shared" si="2"/>
        <v>0</v>
      </c>
      <c r="L23" s="93">
        <f t="shared" si="2"/>
        <v>0</v>
      </c>
      <c r="M23" s="93">
        <f t="shared" si="2"/>
        <v>0</v>
      </c>
      <c r="N23" s="69"/>
    </row>
    <row r="24" spans="1:14" ht="22.5" x14ac:dyDescent="0.25">
      <c r="A24" s="162" t="s">
        <v>5551</v>
      </c>
      <c r="B24" s="153" t="s">
        <v>3010</v>
      </c>
      <c r="C24" s="99">
        <f t="shared" ref="C24:M24" si="3">ROUND(C19*C23,0)</f>
        <v>0</v>
      </c>
      <c r="D24" s="99">
        <f t="shared" si="3"/>
        <v>0</v>
      </c>
      <c r="E24" s="99">
        <f t="shared" si="3"/>
        <v>0</v>
      </c>
      <c r="F24" s="99">
        <f t="shared" si="3"/>
        <v>0</v>
      </c>
      <c r="G24" s="99">
        <f t="shared" si="3"/>
        <v>0</v>
      </c>
      <c r="H24" s="99">
        <f t="shared" si="3"/>
        <v>0</v>
      </c>
      <c r="I24" s="99">
        <f t="shared" si="3"/>
        <v>0</v>
      </c>
      <c r="J24" s="99">
        <f t="shared" si="3"/>
        <v>0</v>
      </c>
      <c r="K24" s="99">
        <f t="shared" si="3"/>
        <v>0</v>
      </c>
      <c r="L24" s="99">
        <f t="shared" si="3"/>
        <v>0</v>
      </c>
      <c r="M24" s="99">
        <f t="shared" si="3"/>
        <v>0</v>
      </c>
      <c r="N24" s="69"/>
    </row>
    <row r="25" spans="1:14" x14ac:dyDescent="0.25">
      <c r="A25" s="162"/>
      <c r="B25" s="153"/>
      <c r="C25" s="46"/>
      <c r="D25" s="46"/>
      <c r="E25" s="46"/>
      <c r="F25" s="46"/>
      <c r="G25" s="46"/>
      <c r="H25" s="46"/>
      <c r="I25" s="46"/>
      <c r="J25" s="46"/>
      <c r="K25" s="46"/>
      <c r="L25" s="46"/>
      <c r="M25" s="46"/>
      <c r="N25" s="69"/>
    </row>
    <row r="26" spans="1:14" ht="67.5" x14ac:dyDescent="0.25">
      <c r="A26" s="162"/>
      <c r="B26" s="153" t="s">
        <v>5552</v>
      </c>
      <c r="C26" s="46"/>
      <c r="D26" s="46"/>
      <c r="E26" s="46"/>
      <c r="F26" s="46"/>
      <c r="G26" s="46"/>
      <c r="H26" s="46"/>
      <c r="I26" s="46"/>
      <c r="J26" s="46"/>
      <c r="K26" s="46"/>
      <c r="L26" s="46"/>
      <c r="M26" s="46"/>
      <c r="N26" s="69"/>
    </row>
    <row r="27" spans="1:14" x14ac:dyDescent="0.25">
      <c r="A27" s="162"/>
      <c r="B27" s="153"/>
      <c r="C27" s="46"/>
      <c r="D27" s="46"/>
      <c r="E27" s="46"/>
      <c r="F27" s="46"/>
      <c r="G27" s="46"/>
      <c r="H27" s="46"/>
      <c r="I27" s="46"/>
      <c r="J27" s="46"/>
      <c r="K27" s="46"/>
      <c r="L27" s="46"/>
      <c r="M27" s="46"/>
      <c r="N27" s="69"/>
    </row>
    <row r="28" spans="1:14" ht="22.5" x14ac:dyDescent="0.25">
      <c r="A28" s="184" t="s">
        <v>5553</v>
      </c>
      <c r="B28" s="190" t="s">
        <v>5554</v>
      </c>
      <c r="C28" s="99"/>
      <c r="D28" s="99"/>
      <c r="E28" s="99"/>
      <c r="F28" s="99"/>
      <c r="G28" s="99"/>
      <c r="H28" s="99"/>
      <c r="I28" s="99"/>
      <c r="J28" s="99"/>
      <c r="K28" s="99"/>
      <c r="L28" s="99"/>
      <c r="M28" s="99"/>
      <c r="N28" s="69"/>
    </row>
    <row r="29" spans="1:14" x14ac:dyDescent="0.25">
      <c r="A29" s="162"/>
      <c r="B29" s="153"/>
      <c r="C29" s="46"/>
      <c r="D29" s="46"/>
      <c r="E29" s="46"/>
      <c r="F29" s="46"/>
      <c r="G29" s="46"/>
      <c r="H29" s="46"/>
      <c r="I29" s="46"/>
      <c r="J29" s="46"/>
      <c r="K29" s="46"/>
      <c r="L29" s="46"/>
      <c r="M29" s="46"/>
      <c r="N29" s="69"/>
    </row>
    <row r="30" spans="1:14" ht="78.75" x14ac:dyDescent="0.25">
      <c r="A30" s="162"/>
      <c r="B30" s="153" t="s">
        <v>5555</v>
      </c>
      <c r="C30" s="46"/>
      <c r="D30" s="46"/>
      <c r="E30" s="46"/>
      <c r="F30" s="46"/>
      <c r="G30" s="46"/>
      <c r="H30" s="46"/>
      <c r="I30" s="46"/>
      <c r="J30" s="46"/>
      <c r="K30" s="46"/>
      <c r="L30" s="46"/>
      <c r="M30" s="46"/>
      <c r="N30" s="69"/>
    </row>
    <row r="31" spans="1:14" x14ac:dyDescent="0.25">
      <c r="A31" s="162"/>
      <c r="B31" s="153"/>
      <c r="C31" s="46"/>
      <c r="D31" s="46"/>
      <c r="E31" s="46"/>
      <c r="F31" s="46"/>
      <c r="G31" s="46"/>
      <c r="H31" s="46"/>
      <c r="I31" s="46"/>
      <c r="J31" s="46"/>
      <c r="K31" s="46"/>
      <c r="L31" s="46"/>
      <c r="M31" s="46"/>
      <c r="N31" s="69"/>
    </row>
    <row r="32" spans="1:14" ht="22.5" x14ac:dyDescent="0.25">
      <c r="A32" s="162" t="s">
        <v>5556</v>
      </c>
      <c r="B32" s="153" t="s">
        <v>3013</v>
      </c>
      <c r="C32" s="117"/>
      <c r="D32" s="116"/>
      <c r="E32" s="116"/>
      <c r="F32" s="116"/>
      <c r="G32" s="116"/>
      <c r="H32" s="116"/>
      <c r="I32" s="116"/>
      <c r="J32" s="116"/>
      <c r="K32" s="116"/>
      <c r="L32" s="116"/>
      <c r="M32" s="116"/>
      <c r="N32" s="69"/>
    </row>
    <row r="33" spans="1:14" ht="8.1" customHeight="1" x14ac:dyDescent="0.25">
      <c r="A33" s="70" t="s">
        <v>0</v>
      </c>
      <c r="B33" s="152"/>
      <c r="C33" s="70"/>
      <c r="D33" s="70"/>
      <c r="E33" s="70"/>
      <c r="F33" s="70"/>
      <c r="G33" s="70"/>
      <c r="H33" s="70"/>
      <c r="I33" s="70"/>
      <c r="J33" s="70"/>
      <c r="K33" s="70"/>
      <c r="L33" s="70"/>
      <c r="M33" s="70"/>
      <c r="N33" s="69"/>
    </row>
  </sheetData>
  <sheetProtection password="C9D6" sheet="1" objects="1" scenarios="1" formatCells="0" formatColumns="0" formatRows="0" autoFilter="0"/>
  <dataValidations count="1">
    <dataValidation type="list" allowBlank="1" showInputMessage="1" showErrorMessage="1" sqref="C9:M9">
      <formula1>CATALOGCOLUMNFILTERED7</formula1>
    </dataValidation>
  </dataValidations>
  <pageMargins left="0.7" right="0.7" top="0.75" bottom="0.75" header="0.3" footer="0.3"/>
  <pageSetup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8"/>
  <sheetViews>
    <sheetView workbookViewId="0"/>
  </sheetViews>
  <sheetFormatPr defaultColWidth="11.5703125" defaultRowHeight="15" x14ac:dyDescent="0.25"/>
  <cols>
    <col min="1" max="1" width="14.28515625" style="107" customWidth="1"/>
    <col min="2" max="2" width="45.85546875" style="107" customWidth="1"/>
    <col min="3" max="3" width="20.7109375" style="107" customWidth="1"/>
    <col min="4" max="4" width="40.7109375" style="107" customWidth="1"/>
    <col min="5" max="5" width="1.7109375" style="107" customWidth="1"/>
    <col min="6" max="16384" width="11.5703125" style="107"/>
  </cols>
  <sheetData>
    <row r="1" spans="1:5" ht="23.25" x14ac:dyDescent="0.25">
      <c r="A1" s="40" t="s">
        <v>0</v>
      </c>
      <c r="B1" s="89" t="s">
        <v>5624</v>
      </c>
      <c r="C1" s="40"/>
      <c r="D1" s="40"/>
      <c r="E1" s="69"/>
    </row>
    <row r="2" spans="1:5" x14ac:dyDescent="0.25">
      <c r="A2" s="126" t="s">
        <v>5597</v>
      </c>
      <c r="B2" s="126" t="s">
        <v>5598</v>
      </c>
      <c r="C2" s="100" t="s">
        <v>2689</v>
      </c>
      <c r="D2" s="100" t="s">
        <v>3014</v>
      </c>
      <c r="E2" s="69"/>
    </row>
    <row r="3" spans="1:5" x14ac:dyDescent="0.25">
      <c r="A3" s="178"/>
      <c r="B3" s="46" t="s">
        <v>0</v>
      </c>
      <c r="C3" s="49"/>
      <c r="D3" s="49"/>
      <c r="E3" s="69"/>
    </row>
    <row r="4" spans="1:5" x14ac:dyDescent="0.25">
      <c r="A4" s="178"/>
      <c r="B4" s="47" t="s">
        <v>0</v>
      </c>
      <c r="C4" s="49"/>
      <c r="D4" s="49"/>
      <c r="E4" s="69"/>
    </row>
    <row r="5" spans="1:5" ht="67.5" x14ac:dyDescent="0.25">
      <c r="A5" s="178"/>
      <c r="B5" s="140" t="s">
        <v>5655</v>
      </c>
      <c r="C5" s="49"/>
      <c r="D5" s="49"/>
      <c r="E5" s="69"/>
    </row>
    <row r="6" spans="1:5" x14ac:dyDescent="0.25">
      <c r="A6" s="178"/>
      <c r="B6" s="141"/>
      <c r="C6" s="49"/>
      <c r="D6" s="49"/>
      <c r="E6" s="69"/>
    </row>
    <row r="7" spans="1:5" ht="157.5" x14ac:dyDescent="0.25">
      <c r="A7" s="178"/>
      <c r="B7" s="141" t="s">
        <v>5656</v>
      </c>
      <c r="C7" s="49"/>
      <c r="D7" s="49"/>
      <c r="E7" s="69"/>
    </row>
    <row r="8" spans="1:5" x14ac:dyDescent="0.25">
      <c r="A8" s="178"/>
      <c r="B8" s="141"/>
      <c r="C8" s="49"/>
      <c r="D8" s="49"/>
      <c r="E8" s="69"/>
    </row>
    <row r="9" spans="1:5" ht="22.5" x14ac:dyDescent="0.25">
      <c r="A9" s="178"/>
      <c r="B9" s="181" t="s">
        <v>5657</v>
      </c>
      <c r="C9" s="49"/>
      <c r="D9" s="49"/>
      <c r="E9" s="69"/>
    </row>
    <row r="10" spans="1:5" x14ac:dyDescent="0.25">
      <c r="A10" s="178"/>
      <c r="B10" s="170"/>
      <c r="C10" s="49"/>
      <c r="D10" s="49"/>
      <c r="E10" s="69"/>
    </row>
    <row r="11" spans="1:5" ht="22.5" x14ac:dyDescent="0.25">
      <c r="A11" s="162" t="s">
        <v>3015</v>
      </c>
      <c r="B11" s="153" t="s">
        <v>3016</v>
      </c>
      <c r="C11" s="101"/>
      <c r="D11" s="102"/>
      <c r="E11" s="69"/>
    </row>
    <row r="12" spans="1:5" x14ac:dyDescent="0.25">
      <c r="A12" s="162"/>
      <c r="B12" s="153"/>
      <c r="C12" s="46"/>
      <c r="D12" s="46"/>
      <c r="E12" s="69"/>
    </row>
    <row r="13" spans="1:5" ht="33.75" x14ac:dyDescent="0.25">
      <c r="A13" s="162" t="s">
        <v>3017</v>
      </c>
      <c r="B13" s="153" t="s">
        <v>3018</v>
      </c>
      <c r="C13" s="101"/>
      <c r="D13" s="102"/>
      <c r="E13" s="69"/>
    </row>
    <row r="14" spans="1:5" ht="45" x14ac:dyDescent="0.25">
      <c r="A14" s="162" t="s">
        <v>3019</v>
      </c>
      <c r="B14" s="153" t="s">
        <v>3020</v>
      </c>
      <c r="C14" s="101"/>
      <c r="D14" s="102"/>
      <c r="E14" s="69"/>
    </row>
    <row r="15" spans="1:5" ht="33.75" x14ac:dyDescent="0.25">
      <c r="A15" s="162"/>
      <c r="B15" s="153" t="s">
        <v>3021</v>
      </c>
      <c r="C15" s="46"/>
      <c r="D15" s="46"/>
      <c r="E15" s="69"/>
    </row>
    <row r="16" spans="1:5" x14ac:dyDescent="0.25">
      <c r="A16" s="162"/>
      <c r="B16" s="153"/>
      <c r="C16" s="46"/>
      <c r="D16" s="46"/>
      <c r="E16" s="69"/>
    </row>
    <row r="17" spans="1:5" ht="33.75" x14ac:dyDescent="0.25">
      <c r="A17" s="162" t="s">
        <v>3022</v>
      </c>
      <c r="B17" s="153" t="s">
        <v>3023</v>
      </c>
      <c r="C17" s="101"/>
      <c r="D17" s="102"/>
      <c r="E17" s="69"/>
    </row>
    <row r="18" spans="1:5" ht="33.75" x14ac:dyDescent="0.25">
      <c r="A18" s="162" t="s">
        <v>3024</v>
      </c>
      <c r="B18" s="153" t="s">
        <v>3025</v>
      </c>
      <c r="C18" s="101"/>
      <c r="D18" s="102"/>
      <c r="E18" s="69"/>
    </row>
    <row r="19" spans="1:5" x14ac:dyDescent="0.25">
      <c r="A19" s="162"/>
      <c r="B19" s="153"/>
      <c r="C19" s="46"/>
      <c r="D19" s="46"/>
      <c r="E19" s="69"/>
    </row>
    <row r="20" spans="1:5" ht="33.75" x14ac:dyDescent="0.25">
      <c r="A20" s="162"/>
      <c r="B20" s="153" t="s">
        <v>3026</v>
      </c>
      <c r="C20" s="46"/>
      <c r="D20" s="46"/>
      <c r="E20" s="69"/>
    </row>
    <row r="21" spans="1:5" ht="22.5" x14ac:dyDescent="0.25">
      <c r="A21" s="162" t="s">
        <v>3027</v>
      </c>
      <c r="B21" s="153" t="s">
        <v>3028</v>
      </c>
      <c r="C21" s="101"/>
      <c r="D21" s="102"/>
      <c r="E21" s="69"/>
    </row>
    <row r="22" spans="1:5" ht="22.5" x14ac:dyDescent="0.25">
      <c r="A22" s="162" t="s">
        <v>3029</v>
      </c>
      <c r="B22" s="153" t="s">
        <v>3030</v>
      </c>
      <c r="C22" s="101"/>
      <c r="D22" s="102"/>
      <c r="E22" s="69"/>
    </row>
    <row r="23" spans="1:5" ht="22.5" x14ac:dyDescent="0.25">
      <c r="A23" s="162" t="s">
        <v>3031</v>
      </c>
      <c r="B23" s="153" t="s">
        <v>3032</v>
      </c>
      <c r="C23" s="101"/>
      <c r="D23" s="102"/>
      <c r="E23" s="69"/>
    </row>
    <row r="24" spans="1:5" ht="22.5" x14ac:dyDescent="0.25">
      <c r="A24" s="162" t="s">
        <v>3033</v>
      </c>
      <c r="B24" s="153" t="s">
        <v>3034</v>
      </c>
      <c r="C24" s="101"/>
      <c r="D24" s="102"/>
      <c r="E24" s="69"/>
    </row>
    <row r="25" spans="1:5" ht="22.5" x14ac:dyDescent="0.25">
      <c r="A25" s="162" t="s">
        <v>3035</v>
      </c>
      <c r="B25" s="153" t="s">
        <v>3036</v>
      </c>
      <c r="C25" s="101"/>
      <c r="D25" s="102"/>
      <c r="E25" s="69"/>
    </row>
    <row r="26" spans="1:5" ht="22.5" x14ac:dyDescent="0.25">
      <c r="A26" s="162" t="s">
        <v>3037</v>
      </c>
      <c r="B26" s="153" t="s">
        <v>3038</v>
      </c>
      <c r="C26" s="101"/>
      <c r="D26" s="102"/>
      <c r="E26" s="69"/>
    </row>
    <row r="27" spans="1:5" ht="22.5" x14ac:dyDescent="0.25">
      <c r="A27" s="162" t="s">
        <v>3039</v>
      </c>
      <c r="B27" s="153" t="s">
        <v>3040</v>
      </c>
      <c r="C27" s="101"/>
      <c r="D27" s="102"/>
      <c r="E27" s="69"/>
    </row>
    <row r="28" spans="1:5" ht="22.5" x14ac:dyDescent="0.25">
      <c r="A28" s="162" t="s">
        <v>3041</v>
      </c>
      <c r="B28" s="153" t="s">
        <v>3042</v>
      </c>
      <c r="C28" s="101"/>
      <c r="D28" s="102"/>
      <c r="E28" s="69"/>
    </row>
    <row r="29" spans="1:5" ht="22.5" x14ac:dyDescent="0.25">
      <c r="A29" s="162" t="s">
        <v>3043</v>
      </c>
      <c r="B29" s="153" t="s">
        <v>3044</v>
      </c>
      <c r="C29" s="101"/>
      <c r="D29" s="102"/>
      <c r="E29" s="69"/>
    </row>
    <row r="30" spans="1:5" ht="56.25" x14ac:dyDescent="0.25">
      <c r="A30" s="162" t="s">
        <v>3045</v>
      </c>
      <c r="B30" s="153" t="s">
        <v>3046</v>
      </c>
      <c r="C30" s="101"/>
      <c r="D30" s="102"/>
      <c r="E30" s="69"/>
    </row>
    <row r="31" spans="1:5" ht="45" x14ac:dyDescent="0.25">
      <c r="A31" s="162" t="s">
        <v>3047</v>
      </c>
      <c r="B31" s="153" t="s">
        <v>3048</v>
      </c>
      <c r="C31" s="101"/>
      <c r="D31" s="102"/>
      <c r="E31" s="69"/>
    </row>
    <row r="32" spans="1:5" x14ac:dyDescent="0.25">
      <c r="A32" s="162"/>
      <c r="B32" s="153"/>
      <c r="C32" s="46"/>
      <c r="D32" s="46"/>
      <c r="E32" s="69"/>
    </row>
    <row r="33" spans="1:5" ht="56.25" x14ac:dyDescent="0.25">
      <c r="A33" s="162"/>
      <c r="B33" s="153" t="s">
        <v>3049</v>
      </c>
      <c r="C33" s="46"/>
      <c r="D33" s="46"/>
      <c r="E33" s="69"/>
    </row>
    <row r="34" spans="1:5" x14ac:dyDescent="0.25">
      <c r="A34" s="162"/>
      <c r="B34" s="153"/>
      <c r="C34" s="46"/>
      <c r="D34" s="46"/>
      <c r="E34" s="69"/>
    </row>
    <row r="35" spans="1:5" ht="22.5" x14ac:dyDescent="0.25">
      <c r="A35" s="162" t="s">
        <v>3050</v>
      </c>
      <c r="B35" s="153" t="s">
        <v>3051</v>
      </c>
      <c r="C35" s="101"/>
      <c r="D35" s="102"/>
      <c r="E35" s="69"/>
    </row>
    <row r="36" spans="1:5" x14ac:dyDescent="0.25">
      <c r="A36" s="162"/>
      <c r="B36" s="153"/>
      <c r="C36" s="46"/>
      <c r="D36" s="46"/>
      <c r="E36" s="69"/>
    </row>
    <row r="37" spans="1:5" x14ac:dyDescent="0.25">
      <c r="A37" s="162"/>
      <c r="B37" s="153" t="s">
        <v>3052</v>
      </c>
      <c r="C37" s="46"/>
      <c r="D37" s="46"/>
      <c r="E37" s="69"/>
    </row>
    <row r="38" spans="1:5" ht="22.5" x14ac:dyDescent="0.25">
      <c r="A38" s="162" t="s">
        <v>3053</v>
      </c>
      <c r="B38" s="153" t="s">
        <v>3054</v>
      </c>
      <c r="C38" s="101"/>
      <c r="D38" s="102"/>
      <c r="E38" s="69"/>
    </row>
    <row r="39" spans="1:5" x14ac:dyDescent="0.25">
      <c r="A39" s="162" t="s">
        <v>3055</v>
      </c>
      <c r="B39" s="153" t="s">
        <v>3056</v>
      </c>
      <c r="C39" s="101"/>
      <c r="D39" s="102"/>
      <c r="E39" s="69"/>
    </row>
    <row r="40" spans="1:5" x14ac:dyDescent="0.25">
      <c r="A40" s="162" t="s">
        <v>3057</v>
      </c>
      <c r="B40" s="153" t="s">
        <v>3058</v>
      </c>
      <c r="C40" s="101"/>
      <c r="D40" s="102"/>
      <c r="E40" s="69"/>
    </row>
    <row r="41" spans="1:5" ht="22.5" x14ac:dyDescent="0.25">
      <c r="A41" s="162" t="s">
        <v>3059</v>
      </c>
      <c r="B41" s="153" t="s">
        <v>3060</v>
      </c>
      <c r="C41" s="101"/>
      <c r="D41" s="102"/>
      <c r="E41" s="69"/>
    </row>
    <row r="42" spans="1:5" x14ac:dyDescent="0.25">
      <c r="A42" s="162"/>
      <c r="B42" s="153"/>
      <c r="C42" s="46"/>
      <c r="D42" s="46"/>
      <c r="E42" s="69"/>
    </row>
    <row r="43" spans="1:5" x14ac:dyDescent="0.25">
      <c r="A43" s="162"/>
      <c r="B43" s="153" t="s">
        <v>320</v>
      </c>
      <c r="C43" s="46"/>
      <c r="D43" s="46"/>
      <c r="E43" s="69"/>
    </row>
    <row r="44" spans="1:5" x14ac:dyDescent="0.25">
      <c r="A44" s="162"/>
      <c r="B44" s="153"/>
      <c r="C44" s="46"/>
      <c r="D44" s="46"/>
      <c r="E44" s="69"/>
    </row>
    <row r="45" spans="1:5" x14ac:dyDescent="0.25">
      <c r="A45" s="162"/>
      <c r="B45" s="153" t="s">
        <v>3061</v>
      </c>
      <c r="C45" s="46"/>
      <c r="D45" s="46"/>
      <c r="E45" s="69"/>
    </row>
    <row r="46" spans="1:5" ht="45" x14ac:dyDescent="0.25">
      <c r="A46" s="162" t="s">
        <v>3062</v>
      </c>
      <c r="B46" s="153" t="s">
        <v>3063</v>
      </c>
      <c r="C46" s="101"/>
      <c r="D46" s="102"/>
      <c r="E46" s="69"/>
    </row>
    <row r="47" spans="1:5" x14ac:dyDescent="0.25">
      <c r="A47" s="162"/>
      <c r="B47" s="153"/>
      <c r="C47" s="46"/>
      <c r="D47" s="46"/>
      <c r="E47" s="69"/>
    </row>
    <row r="48" spans="1:5" ht="33.75" x14ac:dyDescent="0.25">
      <c r="A48" s="162" t="s">
        <v>3064</v>
      </c>
      <c r="B48" s="153" t="s">
        <v>3065</v>
      </c>
      <c r="C48" s="101"/>
      <c r="D48" s="102"/>
      <c r="E48" s="69"/>
    </row>
    <row r="49" spans="1:5" x14ac:dyDescent="0.25">
      <c r="A49" s="162"/>
      <c r="B49" s="153"/>
      <c r="C49" s="46"/>
      <c r="D49" s="46"/>
      <c r="E49" s="69"/>
    </row>
    <row r="50" spans="1:5" x14ac:dyDescent="0.25">
      <c r="A50" s="162"/>
      <c r="B50" s="153" t="s">
        <v>373</v>
      </c>
      <c r="C50" s="46"/>
      <c r="D50" s="46"/>
      <c r="E50" s="69"/>
    </row>
    <row r="51" spans="1:5" x14ac:dyDescent="0.25">
      <c r="A51" s="162"/>
      <c r="B51" s="153"/>
      <c r="C51" s="46"/>
      <c r="D51" s="46"/>
      <c r="E51" s="69"/>
    </row>
    <row r="52" spans="1:5" ht="56.25" x14ac:dyDescent="0.25">
      <c r="A52" s="162" t="s">
        <v>3066</v>
      </c>
      <c r="B52" s="153" t="s">
        <v>3067</v>
      </c>
      <c r="C52" s="101"/>
      <c r="D52" s="102"/>
      <c r="E52" s="69"/>
    </row>
    <row r="53" spans="1:5" ht="33.75" x14ac:dyDescent="0.25">
      <c r="A53" s="162" t="s">
        <v>3068</v>
      </c>
      <c r="B53" s="153" t="s">
        <v>3065</v>
      </c>
      <c r="C53" s="101"/>
      <c r="D53" s="102"/>
      <c r="E53" s="69"/>
    </row>
    <row r="54" spans="1:5" x14ac:dyDescent="0.25">
      <c r="A54" s="162"/>
      <c r="B54" s="153"/>
      <c r="C54" s="46"/>
      <c r="D54" s="46"/>
      <c r="E54" s="69"/>
    </row>
    <row r="55" spans="1:5" x14ac:dyDescent="0.25">
      <c r="A55" s="162"/>
      <c r="B55" s="153" t="s">
        <v>3069</v>
      </c>
      <c r="C55" s="46"/>
      <c r="D55" s="46"/>
      <c r="E55" s="69"/>
    </row>
    <row r="56" spans="1:5" ht="45" x14ac:dyDescent="0.25">
      <c r="A56" s="162" t="s">
        <v>3070</v>
      </c>
      <c r="B56" s="153" t="s">
        <v>3071</v>
      </c>
      <c r="C56" s="101"/>
      <c r="D56" s="102"/>
      <c r="E56" s="69"/>
    </row>
    <row r="57" spans="1:5" ht="56.25" x14ac:dyDescent="0.25">
      <c r="A57" s="162" t="s">
        <v>3072</v>
      </c>
      <c r="B57" s="153" t="s">
        <v>3073</v>
      </c>
      <c r="C57" s="101"/>
      <c r="D57" s="102"/>
      <c r="E57" s="69"/>
    </row>
    <row r="58" spans="1:5" ht="33.75" x14ac:dyDescent="0.25">
      <c r="A58" s="162" t="s">
        <v>3074</v>
      </c>
      <c r="B58" s="153" t="s">
        <v>3075</v>
      </c>
      <c r="C58" s="101"/>
      <c r="D58" s="102"/>
      <c r="E58" s="69"/>
    </row>
    <row r="59" spans="1:5" ht="33.75" x14ac:dyDescent="0.25">
      <c r="A59" s="162" t="s">
        <v>3076</v>
      </c>
      <c r="B59" s="153" t="s">
        <v>3077</v>
      </c>
      <c r="C59" s="101"/>
      <c r="D59" s="102"/>
      <c r="E59" s="69"/>
    </row>
    <row r="60" spans="1:5" ht="33.75" x14ac:dyDescent="0.25">
      <c r="A60" s="162" t="s">
        <v>3078</v>
      </c>
      <c r="B60" s="153" t="s">
        <v>3079</v>
      </c>
      <c r="C60" s="101"/>
      <c r="D60" s="102"/>
      <c r="E60" s="69"/>
    </row>
    <row r="61" spans="1:5" x14ac:dyDescent="0.25">
      <c r="A61" s="162"/>
      <c r="B61" s="153"/>
      <c r="C61" s="46"/>
      <c r="D61" s="46"/>
      <c r="E61" s="69"/>
    </row>
    <row r="62" spans="1:5" x14ac:dyDescent="0.25">
      <c r="A62" s="162"/>
      <c r="B62" s="153" t="s">
        <v>3080</v>
      </c>
      <c r="C62" s="46"/>
      <c r="D62" s="46"/>
      <c r="E62" s="69"/>
    </row>
    <row r="63" spans="1:5" x14ac:dyDescent="0.25">
      <c r="A63" s="162"/>
      <c r="B63" s="153"/>
      <c r="C63" s="46"/>
      <c r="D63" s="46"/>
      <c r="E63" s="69"/>
    </row>
    <row r="64" spans="1:5" ht="56.25" x14ac:dyDescent="0.25">
      <c r="A64" s="162" t="s">
        <v>3081</v>
      </c>
      <c r="B64" s="153" t="s">
        <v>3082</v>
      </c>
      <c r="C64" s="101"/>
      <c r="D64" s="102"/>
      <c r="E64" s="69"/>
    </row>
    <row r="65" spans="1:5" x14ac:dyDescent="0.25">
      <c r="A65" s="162"/>
      <c r="B65" s="153"/>
      <c r="C65" s="46"/>
      <c r="D65" s="46"/>
      <c r="E65" s="69"/>
    </row>
    <row r="66" spans="1:5" x14ac:dyDescent="0.25">
      <c r="A66" s="162"/>
      <c r="B66" s="153" t="s">
        <v>543</v>
      </c>
      <c r="C66" s="46"/>
      <c r="D66" s="46"/>
      <c r="E66" s="69"/>
    </row>
    <row r="67" spans="1:5" x14ac:dyDescent="0.25">
      <c r="A67" s="162"/>
      <c r="B67" s="153"/>
      <c r="C67" s="46"/>
      <c r="D67" s="46"/>
      <c r="E67" s="69"/>
    </row>
    <row r="68" spans="1:5" x14ac:dyDescent="0.25">
      <c r="A68" s="162"/>
      <c r="B68" s="153" t="s">
        <v>3083</v>
      </c>
      <c r="C68" s="46"/>
      <c r="D68" s="46"/>
      <c r="E68" s="69"/>
    </row>
    <row r="69" spans="1:5" x14ac:dyDescent="0.25">
      <c r="A69" s="162"/>
      <c r="B69" s="153"/>
      <c r="C69" s="46"/>
      <c r="D69" s="46"/>
      <c r="E69" s="69"/>
    </row>
    <row r="70" spans="1:5" ht="45" x14ac:dyDescent="0.25">
      <c r="A70" s="162" t="s">
        <v>3084</v>
      </c>
      <c r="B70" s="153" t="s">
        <v>5557</v>
      </c>
      <c r="C70" s="101"/>
      <c r="D70" s="102"/>
      <c r="E70" s="69"/>
    </row>
    <row r="71" spans="1:5" ht="33.75" x14ac:dyDescent="0.25">
      <c r="A71" s="162" t="s">
        <v>3085</v>
      </c>
      <c r="B71" s="153" t="s">
        <v>3086</v>
      </c>
      <c r="C71" s="101"/>
      <c r="D71" s="102"/>
      <c r="E71" s="69"/>
    </row>
    <row r="72" spans="1:5" x14ac:dyDescent="0.25">
      <c r="A72" s="162"/>
      <c r="B72" s="153"/>
      <c r="C72" s="46"/>
      <c r="D72" s="46"/>
      <c r="E72" s="69"/>
    </row>
    <row r="73" spans="1:5" x14ac:dyDescent="0.25">
      <c r="A73" s="162"/>
      <c r="B73" s="153" t="s">
        <v>555</v>
      </c>
      <c r="C73" s="46"/>
      <c r="D73" s="46"/>
      <c r="E73" s="69"/>
    </row>
    <row r="74" spans="1:5" ht="22.5" x14ac:dyDescent="0.25">
      <c r="A74" s="162"/>
      <c r="B74" s="153" t="s">
        <v>3087</v>
      </c>
      <c r="C74" s="46"/>
      <c r="D74" s="46"/>
      <c r="E74" s="69"/>
    </row>
    <row r="75" spans="1:5" x14ac:dyDescent="0.25">
      <c r="A75" s="162"/>
      <c r="B75" s="153"/>
      <c r="C75" s="46"/>
      <c r="D75" s="46"/>
      <c r="E75" s="69"/>
    </row>
    <row r="76" spans="1:5" ht="56.25" x14ac:dyDescent="0.25">
      <c r="A76" s="162" t="s">
        <v>3088</v>
      </c>
      <c r="B76" s="153" t="s">
        <v>5558</v>
      </c>
      <c r="C76" s="101"/>
      <c r="D76" s="102"/>
      <c r="E76" s="69"/>
    </row>
    <row r="77" spans="1:5" ht="33.75" x14ac:dyDescent="0.25">
      <c r="A77" s="162" t="s">
        <v>3089</v>
      </c>
      <c r="B77" s="153" t="s">
        <v>3086</v>
      </c>
      <c r="C77" s="101"/>
      <c r="D77" s="102"/>
      <c r="E77" s="69"/>
    </row>
    <row r="78" spans="1:5" ht="8.1" customHeight="1" x14ac:dyDescent="0.25">
      <c r="A78" s="70" t="s">
        <v>0</v>
      </c>
      <c r="B78" s="152"/>
      <c r="C78" s="70"/>
      <c r="D78" s="70"/>
      <c r="E78" s="69"/>
    </row>
  </sheetData>
  <sheetProtection password="C9D6" sheet="1" objects="1" scenarios="1"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76:C77 C70:C71 C64 C56:C60 C52:C53 C48 C46 C38:C41 C21:C31">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11 C35 C17:C18 C13:C14">
      <formula1>CATALOGCOLUMNFILTERED7</formula1>
    </dataValidation>
  </dataValidation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1"/>
  <sheetViews>
    <sheetView workbookViewId="0"/>
  </sheetViews>
  <sheetFormatPr defaultColWidth="11.5703125" defaultRowHeight="15" x14ac:dyDescent="0.25"/>
  <cols>
    <col min="1" max="1" width="14.28515625" style="107" customWidth="1"/>
    <col min="2" max="2" width="44.5703125" style="107" customWidth="1"/>
    <col min="3" max="3" width="20.7109375" style="107" customWidth="1"/>
    <col min="4" max="4" width="1.7109375" style="107" customWidth="1"/>
    <col min="5" max="16384" width="11.5703125" style="107"/>
  </cols>
  <sheetData>
    <row r="1" spans="1:4" ht="34.5" x14ac:dyDescent="0.25">
      <c r="A1" s="42" t="s">
        <v>0</v>
      </c>
      <c r="B1" s="89" t="s">
        <v>5625</v>
      </c>
      <c r="C1" s="42" t="s">
        <v>0</v>
      </c>
      <c r="D1" s="69" t="s">
        <v>0</v>
      </c>
    </row>
    <row r="2" spans="1:4" x14ac:dyDescent="0.25">
      <c r="A2" s="78" t="s">
        <v>5597</v>
      </c>
      <c r="B2" s="78" t="s">
        <v>5598</v>
      </c>
      <c r="C2" s="89" t="s">
        <v>2689</v>
      </c>
      <c r="D2" s="69" t="s">
        <v>0</v>
      </c>
    </row>
    <row r="3" spans="1:4" x14ac:dyDescent="0.25">
      <c r="A3" s="163"/>
      <c r="B3" s="46" t="s">
        <v>0</v>
      </c>
      <c r="C3" s="50"/>
      <c r="D3" s="69"/>
    </row>
    <row r="4" spans="1:4" x14ac:dyDescent="0.25">
      <c r="A4" s="163"/>
      <c r="B4" s="27" t="s">
        <v>0</v>
      </c>
      <c r="C4" s="50"/>
      <c r="D4" s="69"/>
    </row>
    <row r="5" spans="1:4" ht="67.5" x14ac:dyDescent="0.25">
      <c r="A5" s="163"/>
      <c r="B5" s="142" t="s">
        <v>5655</v>
      </c>
      <c r="C5" s="27"/>
      <c r="D5" s="69"/>
    </row>
    <row r="6" spans="1:4" x14ac:dyDescent="0.25">
      <c r="A6" s="163"/>
      <c r="B6" s="18" t="s">
        <v>0</v>
      </c>
      <c r="C6" s="27"/>
      <c r="D6" s="69"/>
    </row>
    <row r="7" spans="1:4" ht="180" x14ac:dyDescent="0.25">
      <c r="A7" s="163"/>
      <c r="B7" s="108" t="s">
        <v>5656</v>
      </c>
      <c r="C7" s="27"/>
      <c r="D7" s="69"/>
    </row>
    <row r="8" spans="1:4" x14ac:dyDescent="0.25">
      <c r="A8" s="163"/>
      <c r="B8" s="18" t="s">
        <v>0</v>
      </c>
      <c r="C8" s="27"/>
      <c r="D8" s="69"/>
    </row>
    <row r="9" spans="1:4" x14ac:dyDescent="0.25">
      <c r="A9" s="163"/>
      <c r="B9" s="18" t="s">
        <v>0</v>
      </c>
      <c r="C9" s="27"/>
      <c r="D9" s="69"/>
    </row>
    <row r="10" spans="1:4" ht="56.25" x14ac:dyDescent="0.25">
      <c r="A10" s="163"/>
      <c r="B10" s="18" t="s">
        <v>5658</v>
      </c>
      <c r="C10" s="27"/>
      <c r="D10" s="69"/>
    </row>
    <row r="11" spans="1:4" x14ac:dyDescent="0.25">
      <c r="A11" s="163"/>
      <c r="B11" s="18" t="s">
        <v>0</v>
      </c>
      <c r="C11" s="27"/>
      <c r="D11" s="69"/>
    </row>
    <row r="12" spans="1:4" ht="22.5" x14ac:dyDescent="0.25">
      <c r="A12" s="163"/>
      <c r="B12" s="136" t="s">
        <v>5659</v>
      </c>
      <c r="C12" s="27"/>
      <c r="D12" s="69"/>
    </row>
    <row r="13" spans="1:4" x14ac:dyDescent="0.25">
      <c r="A13" s="163"/>
      <c r="B13" s="160"/>
      <c r="C13" s="27"/>
      <c r="D13" s="69"/>
    </row>
    <row r="14" spans="1:4" ht="33.75" x14ac:dyDescent="0.25">
      <c r="A14" s="162" t="s">
        <v>3090</v>
      </c>
      <c r="B14" s="153" t="s">
        <v>3091</v>
      </c>
      <c r="C14" s="110"/>
      <c r="D14" s="69"/>
    </row>
    <row r="15" spans="1:4" ht="22.5" x14ac:dyDescent="0.25">
      <c r="A15" s="162" t="s">
        <v>3092</v>
      </c>
      <c r="B15" s="153" t="s">
        <v>3093</v>
      </c>
      <c r="C15" s="110"/>
      <c r="D15" s="69"/>
    </row>
    <row r="16" spans="1:4" x14ac:dyDescent="0.25">
      <c r="A16" s="162"/>
      <c r="B16" s="153"/>
      <c r="C16" s="27"/>
      <c r="D16" s="69"/>
    </row>
    <row r="17" spans="1:4" ht="67.5" x14ac:dyDescent="0.25">
      <c r="A17" s="162" t="s">
        <v>3094</v>
      </c>
      <c r="B17" s="153" t="s">
        <v>5559</v>
      </c>
      <c r="C17" s="110"/>
      <c r="D17" s="69"/>
    </row>
    <row r="18" spans="1:4" ht="33.75" x14ac:dyDescent="0.25">
      <c r="A18" s="162" t="s">
        <v>3095</v>
      </c>
      <c r="B18" s="153" t="s">
        <v>3096</v>
      </c>
      <c r="C18" s="110"/>
      <c r="D18" s="69"/>
    </row>
    <row r="19" spans="1:4" x14ac:dyDescent="0.25">
      <c r="A19" s="162"/>
      <c r="B19" s="153"/>
      <c r="C19" s="27"/>
      <c r="D19" s="69"/>
    </row>
    <row r="20" spans="1:4" ht="56.25" x14ac:dyDescent="0.25">
      <c r="A20" s="162"/>
      <c r="B20" s="153" t="s">
        <v>5560</v>
      </c>
      <c r="C20" s="27"/>
      <c r="D20" s="69"/>
    </row>
    <row r="21" spans="1:4" x14ac:dyDescent="0.25">
      <c r="A21" s="162"/>
      <c r="B21" s="153"/>
      <c r="C21" s="27"/>
      <c r="D21" s="69"/>
    </row>
    <row r="22" spans="1:4" ht="22.5" x14ac:dyDescent="0.25">
      <c r="A22" s="162" t="s">
        <v>3097</v>
      </c>
      <c r="B22" s="153" t="s">
        <v>3098</v>
      </c>
      <c r="C22" s="110"/>
      <c r="D22" s="69"/>
    </row>
    <row r="23" spans="1:4" ht="45" x14ac:dyDescent="0.25">
      <c r="A23" s="162" t="s">
        <v>3099</v>
      </c>
      <c r="B23" s="153" t="s">
        <v>3100</v>
      </c>
      <c r="C23" s="110"/>
      <c r="D23" s="69"/>
    </row>
    <row r="24" spans="1:4" ht="45" x14ac:dyDescent="0.25">
      <c r="A24" s="162" t="s">
        <v>3101</v>
      </c>
      <c r="B24" s="153" t="s">
        <v>3102</v>
      </c>
      <c r="C24" s="110"/>
      <c r="D24" s="69"/>
    </row>
    <row r="25" spans="1:4" ht="33.75" x14ac:dyDescent="0.25">
      <c r="A25" s="162" t="s">
        <v>3103</v>
      </c>
      <c r="B25" s="153" t="s">
        <v>3104</v>
      </c>
      <c r="C25" s="110"/>
      <c r="D25" s="69"/>
    </row>
    <row r="26" spans="1:4" x14ac:dyDescent="0.25">
      <c r="A26" s="162"/>
      <c r="B26" s="153"/>
      <c r="C26" s="27"/>
      <c r="D26" s="69"/>
    </row>
    <row r="27" spans="1:4" ht="56.25" x14ac:dyDescent="0.25">
      <c r="A27" s="162"/>
      <c r="B27" s="153" t="s">
        <v>5561</v>
      </c>
      <c r="C27" s="27"/>
      <c r="D27" s="69"/>
    </row>
    <row r="28" spans="1:4" ht="45" x14ac:dyDescent="0.25">
      <c r="A28" s="162"/>
      <c r="B28" s="153" t="s">
        <v>3105</v>
      </c>
      <c r="C28" s="27"/>
      <c r="D28" s="69"/>
    </row>
    <row r="29" spans="1:4" x14ac:dyDescent="0.25">
      <c r="A29" s="162"/>
      <c r="B29" s="153"/>
      <c r="C29" s="27"/>
      <c r="D29" s="69"/>
    </row>
    <row r="30" spans="1:4" ht="33.75" x14ac:dyDescent="0.25">
      <c r="A30" s="162" t="s">
        <v>3106</v>
      </c>
      <c r="B30" s="153" t="s">
        <v>3107</v>
      </c>
      <c r="C30" s="110"/>
      <c r="D30" s="69"/>
    </row>
    <row r="31" spans="1:4" ht="45" x14ac:dyDescent="0.25">
      <c r="A31" s="162" t="s">
        <v>3108</v>
      </c>
      <c r="B31" s="153" t="s">
        <v>5562</v>
      </c>
      <c r="C31" s="110"/>
      <c r="D31" s="69"/>
    </row>
    <row r="32" spans="1:4" ht="22.5" x14ac:dyDescent="0.25">
      <c r="A32" s="162" t="s">
        <v>3109</v>
      </c>
      <c r="B32" s="153" t="s">
        <v>3110</v>
      </c>
      <c r="C32" s="110"/>
      <c r="D32" s="69"/>
    </row>
    <row r="33" spans="1:4" ht="22.5" x14ac:dyDescent="0.25">
      <c r="A33" s="162" t="s">
        <v>3111</v>
      </c>
      <c r="B33" s="153" t="s">
        <v>3112</v>
      </c>
      <c r="C33" s="110"/>
      <c r="D33" s="69"/>
    </row>
    <row r="34" spans="1:4" ht="22.5" x14ac:dyDescent="0.25">
      <c r="A34" s="162" t="s">
        <v>3113</v>
      </c>
      <c r="B34" s="153" t="s">
        <v>3114</v>
      </c>
      <c r="C34" s="110"/>
      <c r="D34" s="69"/>
    </row>
    <row r="35" spans="1:4" ht="22.5" x14ac:dyDescent="0.25">
      <c r="A35" s="162" t="s">
        <v>3115</v>
      </c>
      <c r="B35" s="153" t="s">
        <v>5563</v>
      </c>
      <c r="C35" s="110"/>
      <c r="D35" s="69"/>
    </row>
    <row r="36" spans="1:4" ht="45" x14ac:dyDescent="0.25">
      <c r="A36" s="162" t="s">
        <v>3116</v>
      </c>
      <c r="B36" s="153" t="s">
        <v>3117</v>
      </c>
      <c r="C36" s="110"/>
      <c r="D36" s="69"/>
    </row>
    <row r="37" spans="1:4" ht="22.5" x14ac:dyDescent="0.25">
      <c r="A37" s="162" t="s">
        <v>3118</v>
      </c>
      <c r="B37" s="153" t="s">
        <v>3119</v>
      </c>
      <c r="C37" s="110"/>
      <c r="D37" s="69"/>
    </row>
    <row r="38" spans="1:4" ht="33.75" x14ac:dyDescent="0.25">
      <c r="A38" s="162" t="s">
        <v>3120</v>
      </c>
      <c r="B38" s="153" t="s">
        <v>3121</v>
      </c>
      <c r="C38" s="110"/>
      <c r="D38" s="69"/>
    </row>
    <row r="39" spans="1:4" ht="45" x14ac:dyDescent="0.25">
      <c r="A39" s="162" t="s">
        <v>3122</v>
      </c>
      <c r="B39" s="153" t="s">
        <v>3123</v>
      </c>
      <c r="C39" s="110"/>
      <c r="D39" s="69"/>
    </row>
    <row r="40" spans="1:4" ht="45" x14ac:dyDescent="0.25">
      <c r="A40" s="162" t="s">
        <v>3124</v>
      </c>
      <c r="B40" s="153" t="s">
        <v>3125</v>
      </c>
      <c r="C40" s="110"/>
      <c r="D40" s="69"/>
    </row>
    <row r="41" spans="1:4" ht="33.75" x14ac:dyDescent="0.25">
      <c r="A41" s="162" t="s">
        <v>3126</v>
      </c>
      <c r="B41" s="153" t="s">
        <v>5564</v>
      </c>
      <c r="C41" s="110"/>
      <c r="D41" s="69"/>
    </row>
    <row r="42" spans="1:4" x14ac:dyDescent="0.25">
      <c r="A42" s="162"/>
      <c r="B42" s="153"/>
      <c r="C42" s="27"/>
      <c r="D42" s="69"/>
    </row>
    <row r="43" spans="1:4" ht="90" x14ac:dyDescent="0.25">
      <c r="A43" s="162" t="s">
        <v>3127</v>
      </c>
      <c r="B43" s="153" t="s">
        <v>3128</v>
      </c>
      <c r="C43" s="110"/>
      <c r="D43" s="69"/>
    </row>
    <row r="44" spans="1:4" ht="33.75" x14ac:dyDescent="0.25">
      <c r="A44" s="162" t="s">
        <v>3129</v>
      </c>
      <c r="B44" s="153" t="s">
        <v>3130</v>
      </c>
      <c r="C44" s="110"/>
      <c r="D44" s="69"/>
    </row>
    <row r="45" spans="1:4" ht="33.75" x14ac:dyDescent="0.25">
      <c r="A45" s="162" t="s">
        <v>3131</v>
      </c>
      <c r="B45" s="153" t="s">
        <v>3132</v>
      </c>
      <c r="C45" s="110"/>
      <c r="D45" s="69"/>
    </row>
    <row r="46" spans="1:4" ht="67.5" x14ac:dyDescent="0.25">
      <c r="A46" s="162" t="s">
        <v>3133</v>
      </c>
      <c r="B46" s="153" t="s">
        <v>5565</v>
      </c>
      <c r="C46" s="110"/>
      <c r="D46" s="69"/>
    </row>
    <row r="47" spans="1:4" ht="45" x14ac:dyDescent="0.25">
      <c r="A47" s="162" t="s">
        <v>3134</v>
      </c>
      <c r="B47" s="153" t="s">
        <v>5566</v>
      </c>
      <c r="C47" s="110"/>
      <c r="D47" s="69"/>
    </row>
    <row r="48" spans="1:4" x14ac:dyDescent="0.25">
      <c r="A48" s="163"/>
      <c r="B48" s="160"/>
      <c r="C48" s="27"/>
      <c r="D48" s="69"/>
    </row>
    <row r="49" spans="1:4" ht="45" x14ac:dyDescent="0.25">
      <c r="A49" s="162" t="s">
        <v>3135</v>
      </c>
      <c r="B49" s="153" t="s">
        <v>5567</v>
      </c>
      <c r="C49" s="110"/>
      <c r="D49" s="69"/>
    </row>
    <row r="50" spans="1:4" x14ac:dyDescent="0.25">
      <c r="A50" s="163"/>
      <c r="B50" s="160"/>
      <c r="C50" s="27"/>
      <c r="D50" s="69"/>
    </row>
    <row r="51" spans="1:4" ht="33.75" x14ac:dyDescent="0.25">
      <c r="A51" s="162"/>
      <c r="B51" s="179" t="s">
        <v>3136</v>
      </c>
      <c r="C51" s="27"/>
      <c r="D51" s="69"/>
    </row>
    <row r="52" spans="1:4" x14ac:dyDescent="0.25">
      <c r="A52" s="163"/>
      <c r="B52" s="160"/>
      <c r="C52" s="27"/>
      <c r="D52" s="69"/>
    </row>
    <row r="53" spans="1:4" ht="56.25" x14ac:dyDescent="0.25">
      <c r="A53" s="162" t="s">
        <v>3137</v>
      </c>
      <c r="B53" s="153" t="s">
        <v>5757</v>
      </c>
      <c r="C53" s="110"/>
      <c r="D53" s="69"/>
    </row>
    <row r="54" spans="1:4" ht="56.25" x14ac:dyDescent="0.25">
      <c r="A54" s="162" t="s">
        <v>3138</v>
      </c>
      <c r="B54" s="153" t="s">
        <v>3139</v>
      </c>
      <c r="C54" s="110"/>
      <c r="D54" s="69"/>
    </row>
    <row r="55" spans="1:4" ht="101.25" x14ac:dyDescent="0.25">
      <c r="A55" s="162" t="s">
        <v>3140</v>
      </c>
      <c r="B55" s="153" t="s">
        <v>5568</v>
      </c>
      <c r="C55" s="110"/>
      <c r="D55" s="69"/>
    </row>
    <row r="56" spans="1:4" ht="45" x14ac:dyDescent="0.25">
      <c r="A56" s="162" t="s">
        <v>3141</v>
      </c>
      <c r="B56" s="153" t="s">
        <v>3142</v>
      </c>
      <c r="C56" s="110"/>
      <c r="D56" s="69"/>
    </row>
    <row r="57" spans="1:4" x14ac:dyDescent="0.25">
      <c r="A57" s="162"/>
      <c r="B57" s="153"/>
      <c r="C57" s="27"/>
      <c r="D57" s="69"/>
    </row>
    <row r="58" spans="1:4" x14ac:dyDescent="0.25">
      <c r="A58" s="162"/>
      <c r="B58" s="153" t="s">
        <v>3143</v>
      </c>
      <c r="C58" s="27"/>
      <c r="D58" s="69"/>
    </row>
    <row r="59" spans="1:4" ht="33.75" x14ac:dyDescent="0.25">
      <c r="A59" s="162" t="s">
        <v>3144</v>
      </c>
      <c r="B59" s="153" t="s">
        <v>3145</v>
      </c>
      <c r="C59" s="110"/>
      <c r="D59" s="69"/>
    </row>
    <row r="60" spans="1:4" ht="45" x14ac:dyDescent="0.25">
      <c r="A60" s="162" t="s">
        <v>3146</v>
      </c>
      <c r="B60" s="153" t="s">
        <v>3147</v>
      </c>
      <c r="C60" s="110"/>
      <c r="D60" s="69"/>
    </row>
    <row r="61" spans="1:4" ht="22.5" x14ac:dyDescent="0.25">
      <c r="A61" s="162" t="s">
        <v>3148</v>
      </c>
      <c r="B61" s="153" t="s">
        <v>3149</v>
      </c>
      <c r="C61" s="110"/>
      <c r="D61" s="69"/>
    </row>
    <row r="62" spans="1:4" x14ac:dyDescent="0.25">
      <c r="A62" s="162"/>
      <c r="B62" s="153"/>
      <c r="C62" s="27"/>
      <c r="D62" s="69"/>
    </row>
    <row r="63" spans="1:4" ht="33.75" x14ac:dyDescent="0.25">
      <c r="A63" s="162"/>
      <c r="B63" s="153" t="s">
        <v>5569</v>
      </c>
      <c r="C63" s="160"/>
      <c r="D63" s="149"/>
    </row>
    <row r="64" spans="1:4" x14ac:dyDescent="0.25">
      <c r="A64" s="162"/>
      <c r="B64" s="153"/>
      <c r="C64" s="160"/>
      <c r="D64" s="149"/>
    </row>
    <row r="65" spans="1:4" ht="56.25" x14ac:dyDescent="0.25">
      <c r="A65" s="162" t="s">
        <v>3151</v>
      </c>
      <c r="B65" s="153" t="s">
        <v>5570</v>
      </c>
      <c r="C65" s="110"/>
      <c r="D65" s="149"/>
    </row>
    <row r="66" spans="1:4" ht="45" x14ac:dyDescent="0.25">
      <c r="A66" s="162" t="s">
        <v>3153</v>
      </c>
      <c r="B66" s="153" t="s">
        <v>5571</v>
      </c>
      <c r="C66" s="110"/>
      <c r="D66" s="149"/>
    </row>
    <row r="67" spans="1:4" ht="45" x14ac:dyDescent="0.25">
      <c r="A67" s="162" t="s">
        <v>3155</v>
      </c>
      <c r="B67" s="153" t="s">
        <v>5572</v>
      </c>
      <c r="C67" s="110"/>
      <c r="D67" s="149"/>
    </row>
    <row r="68" spans="1:4" ht="78.75" x14ac:dyDescent="0.25">
      <c r="A68" s="162" t="s">
        <v>3157</v>
      </c>
      <c r="B68" s="153" t="s">
        <v>5573</v>
      </c>
      <c r="C68" s="110"/>
      <c r="D68" s="149"/>
    </row>
    <row r="69" spans="1:4" x14ac:dyDescent="0.25">
      <c r="A69" s="162"/>
      <c r="B69" s="153"/>
      <c r="C69" s="160"/>
      <c r="D69" s="149"/>
    </row>
    <row r="70" spans="1:4" ht="33.75" x14ac:dyDescent="0.25">
      <c r="A70" s="162"/>
      <c r="B70" s="153" t="s">
        <v>3150</v>
      </c>
      <c r="C70" s="27"/>
      <c r="D70" s="69"/>
    </row>
    <row r="71" spans="1:4" x14ac:dyDescent="0.25">
      <c r="A71" s="162"/>
      <c r="B71" s="153"/>
      <c r="C71" s="27"/>
      <c r="D71" s="69"/>
    </row>
    <row r="72" spans="1:4" ht="78.75" x14ac:dyDescent="0.25">
      <c r="A72" s="162" t="s">
        <v>3158</v>
      </c>
      <c r="B72" s="153" t="s">
        <v>3152</v>
      </c>
      <c r="C72" s="110"/>
      <c r="D72" s="69"/>
    </row>
    <row r="73" spans="1:4" ht="45" x14ac:dyDescent="0.25">
      <c r="A73" s="162" t="s">
        <v>3159</v>
      </c>
      <c r="B73" s="153" t="s">
        <v>3154</v>
      </c>
      <c r="C73" s="110"/>
      <c r="D73" s="69"/>
    </row>
    <row r="74" spans="1:4" ht="45" x14ac:dyDescent="0.25">
      <c r="A74" s="162" t="s">
        <v>3161</v>
      </c>
      <c r="B74" s="153" t="s">
        <v>3156</v>
      </c>
      <c r="C74" s="110"/>
      <c r="D74" s="69"/>
    </row>
    <row r="75" spans="1:4" ht="33.75" x14ac:dyDescent="0.25">
      <c r="A75" s="162" t="s">
        <v>3163</v>
      </c>
      <c r="B75" s="153" t="s">
        <v>5574</v>
      </c>
      <c r="C75" s="110"/>
      <c r="D75" s="69"/>
    </row>
    <row r="76" spans="1:4" ht="56.25" x14ac:dyDescent="0.25">
      <c r="A76" s="162" t="s">
        <v>3165</v>
      </c>
      <c r="B76" s="153" t="s">
        <v>5575</v>
      </c>
      <c r="C76" s="110"/>
      <c r="D76" s="69"/>
    </row>
    <row r="77" spans="1:4" ht="45" x14ac:dyDescent="0.25">
      <c r="A77" s="162" t="s">
        <v>3166</v>
      </c>
      <c r="B77" s="153" t="s">
        <v>5576</v>
      </c>
      <c r="C77" s="110"/>
      <c r="D77" s="69"/>
    </row>
    <row r="78" spans="1:4" x14ac:dyDescent="0.25">
      <c r="A78" s="162"/>
      <c r="B78" s="153"/>
      <c r="C78" s="27"/>
      <c r="D78" s="69"/>
    </row>
    <row r="79" spans="1:4" x14ac:dyDescent="0.25">
      <c r="A79" s="162"/>
      <c r="B79" s="153" t="s">
        <v>2497</v>
      </c>
      <c r="C79" s="160"/>
      <c r="D79" s="149"/>
    </row>
    <row r="80" spans="1:4" x14ac:dyDescent="0.25">
      <c r="A80" s="162"/>
      <c r="B80" s="153"/>
      <c r="C80" s="160"/>
      <c r="D80" s="149"/>
    </row>
    <row r="81" spans="1:4" ht="56.25" x14ac:dyDescent="0.25">
      <c r="A81" s="162" t="s">
        <v>3168</v>
      </c>
      <c r="B81" s="153" t="s">
        <v>5577</v>
      </c>
      <c r="C81" s="110"/>
      <c r="D81" s="149"/>
    </row>
    <row r="82" spans="1:4" x14ac:dyDescent="0.25">
      <c r="A82" s="162"/>
      <c r="B82" s="153"/>
      <c r="C82" s="160"/>
      <c r="D82" s="149"/>
    </row>
    <row r="83" spans="1:4" ht="22.5" x14ac:dyDescent="0.25">
      <c r="A83" s="162"/>
      <c r="B83" s="153" t="s">
        <v>3160</v>
      </c>
      <c r="C83" s="27"/>
      <c r="D83" s="69"/>
    </row>
    <row r="84" spans="1:4" x14ac:dyDescent="0.25">
      <c r="A84" s="162"/>
      <c r="B84" s="153"/>
      <c r="C84" s="27"/>
      <c r="D84" s="69"/>
    </row>
    <row r="85" spans="1:4" ht="78.75" x14ac:dyDescent="0.25">
      <c r="A85" s="162" t="s">
        <v>3169</v>
      </c>
      <c r="B85" s="153" t="s">
        <v>5578</v>
      </c>
      <c r="C85" s="110"/>
      <c r="D85" s="69"/>
    </row>
    <row r="86" spans="1:4" x14ac:dyDescent="0.25">
      <c r="A86" s="162"/>
      <c r="B86" s="153"/>
      <c r="C86" s="27"/>
      <c r="D86" s="69"/>
    </row>
    <row r="87" spans="1:4" ht="33.75" x14ac:dyDescent="0.25">
      <c r="A87" s="162"/>
      <c r="B87" s="153" t="s">
        <v>3162</v>
      </c>
      <c r="C87" s="27"/>
      <c r="D87" s="69"/>
    </row>
    <row r="88" spans="1:4" x14ac:dyDescent="0.25">
      <c r="A88" s="162"/>
      <c r="B88" s="153"/>
      <c r="C88" s="27"/>
      <c r="D88" s="69"/>
    </row>
    <row r="89" spans="1:4" ht="90" x14ac:dyDescent="0.25">
      <c r="A89" s="162" t="s">
        <v>3171</v>
      </c>
      <c r="B89" s="153" t="s">
        <v>3164</v>
      </c>
      <c r="C89" s="110"/>
      <c r="D89" s="69"/>
    </row>
    <row r="90" spans="1:4" ht="45" x14ac:dyDescent="0.25">
      <c r="A90" s="162" t="s">
        <v>3174</v>
      </c>
      <c r="B90" s="153" t="s">
        <v>5758</v>
      </c>
      <c r="C90" s="110"/>
      <c r="D90" s="69"/>
    </row>
    <row r="91" spans="1:4" ht="33.75" x14ac:dyDescent="0.25">
      <c r="A91" s="162" t="s">
        <v>3176</v>
      </c>
      <c r="B91" s="153" t="s">
        <v>3167</v>
      </c>
      <c r="C91" s="110"/>
      <c r="D91" s="69"/>
    </row>
    <row r="92" spans="1:4" x14ac:dyDescent="0.25">
      <c r="A92" s="162"/>
      <c r="B92" s="153"/>
      <c r="C92" s="27"/>
      <c r="D92" s="69"/>
    </row>
    <row r="93" spans="1:4" ht="22.5" x14ac:dyDescent="0.25">
      <c r="A93" s="162"/>
      <c r="B93" s="179" t="s">
        <v>5579</v>
      </c>
      <c r="C93" s="27"/>
      <c r="D93" s="69"/>
    </row>
    <row r="94" spans="1:4" x14ac:dyDescent="0.25">
      <c r="A94" s="162"/>
      <c r="B94" s="153"/>
      <c r="C94" s="27"/>
      <c r="D94" s="69"/>
    </row>
    <row r="95" spans="1:4" ht="56.25" x14ac:dyDescent="0.25">
      <c r="A95" s="162" t="s">
        <v>3178</v>
      </c>
      <c r="B95" s="153" t="s">
        <v>5759</v>
      </c>
      <c r="C95" s="110"/>
      <c r="D95" s="69"/>
    </row>
    <row r="96" spans="1:4" ht="45" x14ac:dyDescent="0.25">
      <c r="A96" s="162" t="s">
        <v>3180</v>
      </c>
      <c r="B96" s="153" t="s">
        <v>3170</v>
      </c>
      <c r="C96" s="110"/>
      <c r="D96" s="69"/>
    </row>
    <row r="97" spans="1:4" ht="22.5" x14ac:dyDescent="0.25">
      <c r="A97" s="162" t="s">
        <v>3181</v>
      </c>
      <c r="B97" s="153" t="s">
        <v>3172</v>
      </c>
      <c r="C97" s="110"/>
      <c r="D97" s="69"/>
    </row>
    <row r="98" spans="1:4" ht="45" x14ac:dyDescent="0.25">
      <c r="A98" s="162"/>
      <c r="B98" s="153" t="s">
        <v>3173</v>
      </c>
      <c r="C98" s="27"/>
      <c r="D98" s="69"/>
    </row>
    <row r="99" spans="1:4" x14ac:dyDescent="0.25">
      <c r="A99" s="162" t="s">
        <v>3182</v>
      </c>
      <c r="B99" s="153" t="s">
        <v>3175</v>
      </c>
      <c r="C99" s="110"/>
      <c r="D99" s="69"/>
    </row>
    <row r="100" spans="1:4" x14ac:dyDescent="0.25">
      <c r="A100" s="162" t="s">
        <v>3183</v>
      </c>
      <c r="B100" s="153" t="s">
        <v>3177</v>
      </c>
      <c r="C100" s="110"/>
      <c r="D100" s="69"/>
    </row>
    <row r="101" spans="1:4" ht="33.75" x14ac:dyDescent="0.25">
      <c r="A101" s="162" t="s">
        <v>3185</v>
      </c>
      <c r="B101" s="153" t="s">
        <v>3179</v>
      </c>
      <c r="C101" s="110"/>
      <c r="D101" s="69"/>
    </row>
    <row r="102" spans="1:4" ht="45" x14ac:dyDescent="0.25">
      <c r="A102" s="162" t="s">
        <v>3187</v>
      </c>
      <c r="B102" s="153" t="s">
        <v>5760</v>
      </c>
      <c r="C102" s="110"/>
      <c r="D102" s="69"/>
    </row>
    <row r="103" spans="1:4" x14ac:dyDescent="0.25">
      <c r="A103" s="162" t="s">
        <v>5580</v>
      </c>
      <c r="B103" s="153" t="s">
        <v>2663</v>
      </c>
      <c r="C103" s="110"/>
      <c r="D103" s="69"/>
    </row>
    <row r="104" spans="1:4" x14ac:dyDescent="0.25">
      <c r="A104" s="162"/>
      <c r="B104" s="153"/>
      <c r="C104" s="27"/>
      <c r="D104" s="69"/>
    </row>
    <row r="105" spans="1:4" ht="56.25" x14ac:dyDescent="0.25">
      <c r="A105" s="162" t="s">
        <v>5581</v>
      </c>
      <c r="B105" s="153" t="s">
        <v>5582</v>
      </c>
      <c r="C105" s="110"/>
      <c r="D105" s="69"/>
    </row>
    <row r="106" spans="1:4" x14ac:dyDescent="0.25">
      <c r="A106" s="162"/>
      <c r="B106" s="153"/>
      <c r="C106" s="27"/>
      <c r="D106" s="69"/>
    </row>
    <row r="107" spans="1:4" ht="45" x14ac:dyDescent="0.25">
      <c r="A107" s="162" t="s">
        <v>5583</v>
      </c>
      <c r="B107" s="153" t="s">
        <v>3184</v>
      </c>
      <c r="C107" s="110"/>
      <c r="D107" s="69"/>
    </row>
    <row r="108" spans="1:4" ht="56.25" x14ac:dyDescent="0.25">
      <c r="A108" s="162" t="s">
        <v>5584</v>
      </c>
      <c r="B108" s="153" t="s">
        <v>3186</v>
      </c>
      <c r="C108" s="110"/>
      <c r="D108" s="69"/>
    </row>
    <row r="109" spans="1:4" ht="56.25" x14ac:dyDescent="0.25">
      <c r="A109" s="162" t="s">
        <v>5585</v>
      </c>
      <c r="B109" s="153" t="s">
        <v>5761</v>
      </c>
      <c r="C109" s="110"/>
      <c r="D109" s="69"/>
    </row>
    <row r="110" spans="1:4" x14ac:dyDescent="0.25">
      <c r="A110" s="163"/>
      <c r="B110" s="160"/>
      <c r="C110" s="27"/>
      <c r="D110" s="69"/>
    </row>
    <row r="111" spans="1:4" ht="8.1" customHeight="1" x14ac:dyDescent="0.25">
      <c r="A111" s="70" t="s">
        <v>0</v>
      </c>
      <c r="B111" s="152"/>
      <c r="C111" s="70"/>
      <c r="D111" s="69"/>
    </row>
  </sheetData>
  <sheetProtection password="C9D6" sheet="1" objects="1" scenarios="1" formatCells="0" formatColumns="0" formatRows="0" autoFilter="0"/>
  <dataValidations disablePrompts="1" count="2">
    <dataValidation type="list" allowBlank="1" showInputMessage="1" showErrorMessage="1" errorTitle="SAT" error="El valor seleccionado no existe en la lista, por favor selecione una opción Válida" promptTitle="Seleccione un valor de la lista" prompt="SAT" sqref="C18 C101:C102 C96 C89:C91 C76:C77 C72 C43 C30:C39">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107:C109 C105 C103 C99:C100 C97 C95 C85 C73:C75 C59:C61 C53:C56 C49 C44:C47 C40:C41 C22:C25 C17 C14:C15 C65:C67 C68 C81">
      <formula1>CATALOGCOLUMNFILTERED12</formula1>
    </dataValidation>
  </dataValidation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V247"/>
  <sheetViews>
    <sheetView zoomScale="70" zoomScaleNormal="70" workbookViewId="0"/>
  </sheetViews>
  <sheetFormatPr defaultColWidth="9.140625" defaultRowHeight="15" x14ac:dyDescent="0.25"/>
  <cols>
    <col min="1" max="1" width="36" style="2" bestFit="1" customWidth="1"/>
    <col min="2" max="2" width="136.5703125" style="2" customWidth="1"/>
    <col min="3" max="3" width="77" style="2" customWidth="1"/>
    <col min="4" max="4" width="11.140625" style="2" bestFit="1" customWidth="1"/>
    <col min="5" max="5" width="9.140625" style="2"/>
    <col min="6" max="6" width="32.140625" style="2" customWidth="1"/>
    <col min="7" max="7" width="9.140625" style="2"/>
    <col min="9" max="9" width="9.140625" style="2"/>
    <col min="11" max="12" width="9.140625" style="2"/>
    <col min="14" max="14" width="9.140625" style="2"/>
    <col min="16" max="16" width="9.140625" style="2"/>
    <col min="38" max="38" width="9.140625" style="2"/>
    <col min="40" max="40" width="9.140625" style="2"/>
    <col min="133" max="141" width="9.140625" style="2"/>
    <col min="142" max="142" width="65.42578125" style="2" customWidth="1"/>
    <col min="143" max="146" width="9.140625" style="2"/>
    <col min="148" max="150" width="9.140625" style="2"/>
    <col min="151" max="151" width="9.140625" style="2" customWidth="1"/>
    <col min="152" max="16384" width="9.140625" style="2"/>
  </cols>
  <sheetData>
    <row r="1" spans="2:152" x14ac:dyDescent="0.25">
      <c r="B1" s="2" t="s">
        <v>3188</v>
      </c>
      <c r="C1" s="4" t="s">
        <v>3189</v>
      </c>
      <c r="F1" s="2" t="s">
        <v>3190</v>
      </c>
      <c r="G1" s="2" t="s">
        <v>3191</v>
      </c>
      <c r="I1" s="2" t="s">
        <v>3192</v>
      </c>
      <c r="K1" s="2" t="s">
        <v>3193</v>
      </c>
      <c r="L1" s="2" t="s">
        <v>3194</v>
      </c>
      <c r="N1" s="2" t="s">
        <v>3195</v>
      </c>
      <c r="P1" s="2" t="s">
        <v>3196</v>
      </c>
      <c r="AL1" s="2" t="s">
        <v>3197</v>
      </c>
      <c r="AM1" t="s">
        <v>3198</v>
      </c>
      <c r="AN1" s="2" t="s">
        <v>3199</v>
      </c>
      <c r="AO1" t="s">
        <v>5771</v>
      </c>
      <c r="AP1" t="s">
        <v>3200</v>
      </c>
      <c r="AQ1" t="s">
        <v>3201</v>
      </c>
      <c r="AR1" t="s">
        <v>3202</v>
      </c>
      <c r="AS1" t="s">
        <v>3203</v>
      </c>
      <c r="AT1" t="s">
        <v>3204</v>
      </c>
      <c r="BB1" t="s">
        <v>3205</v>
      </c>
      <c r="BC1" t="s">
        <v>3206</v>
      </c>
      <c r="BD1" t="s">
        <v>3207</v>
      </c>
      <c r="BE1" t="s">
        <v>3208</v>
      </c>
      <c r="BF1" t="s">
        <v>3209</v>
      </c>
      <c r="BG1" t="s">
        <v>3210</v>
      </c>
      <c r="BH1" t="s">
        <v>3211</v>
      </c>
      <c r="BI1" t="s">
        <v>3212</v>
      </c>
      <c r="BJ1" t="s">
        <v>3213</v>
      </c>
      <c r="BK1" t="s">
        <v>3214</v>
      </c>
      <c r="BL1" t="s">
        <v>3215</v>
      </c>
      <c r="BM1" t="s">
        <v>3216</v>
      </c>
      <c r="BN1" t="s">
        <v>3217</v>
      </c>
      <c r="BO1" t="s">
        <v>3218</v>
      </c>
      <c r="BP1" t="s">
        <v>3219</v>
      </c>
      <c r="BQ1" t="s">
        <v>3220</v>
      </c>
      <c r="BR1" t="s">
        <v>3518</v>
      </c>
      <c r="BS1" t="s">
        <v>3222</v>
      </c>
      <c r="BT1" t="s">
        <v>3223</v>
      </c>
      <c r="BU1" t="s">
        <v>3224</v>
      </c>
      <c r="BV1" t="s">
        <v>3225</v>
      </c>
      <c r="BW1" t="s">
        <v>3226</v>
      </c>
      <c r="BX1" t="s">
        <v>3227</v>
      </c>
      <c r="BY1" t="s">
        <v>3228</v>
      </c>
      <c r="BZ1" t="s">
        <v>3229</v>
      </c>
      <c r="CA1" t="s">
        <v>3230</v>
      </c>
      <c r="CB1" t="s">
        <v>3231</v>
      </c>
      <c r="CC1" t="s">
        <v>3232</v>
      </c>
      <c r="CD1" t="s">
        <v>3233</v>
      </c>
      <c r="CE1" t="s">
        <v>3234</v>
      </c>
      <c r="CF1" t="s">
        <v>3235</v>
      </c>
      <c r="CG1" t="s">
        <v>3236</v>
      </c>
      <c r="CH1" t="s">
        <v>3237</v>
      </c>
      <c r="CI1" t="s">
        <v>3238</v>
      </c>
      <c r="CJ1" t="s">
        <v>3239</v>
      </c>
      <c r="CK1" t="s">
        <v>3240</v>
      </c>
      <c r="CL1" t="s">
        <v>3241</v>
      </c>
      <c r="CM1" t="s">
        <v>3242</v>
      </c>
      <c r="CN1" t="s">
        <v>3243</v>
      </c>
      <c r="CO1" t="s">
        <v>3244</v>
      </c>
      <c r="CP1" t="s">
        <v>3245</v>
      </c>
      <c r="CQ1" t="s">
        <v>3246</v>
      </c>
      <c r="CR1" t="s">
        <v>3247</v>
      </c>
      <c r="CS1" t="s">
        <v>3248</v>
      </c>
      <c r="CT1" t="s">
        <v>3249</v>
      </c>
      <c r="CU1" t="s">
        <v>3250</v>
      </c>
      <c r="CV1" t="s">
        <v>3251</v>
      </c>
      <c r="CW1" t="s">
        <v>3252</v>
      </c>
      <c r="CX1" t="s">
        <v>3253</v>
      </c>
      <c r="CY1" t="s">
        <v>3254</v>
      </c>
      <c r="CZ1" t="s">
        <v>3255</v>
      </c>
      <c r="DA1" t="s">
        <v>3256</v>
      </c>
      <c r="DB1" t="s">
        <v>3257</v>
      </c>
      <c r="DC1" t="s">
        <v>3258</v>
      </c>
      <c r="DE1" t="s">
        <v>3259</v>
      </c>
      <c r="DF1" t="s">
        <v>3260</v>
      </c>
      <c r="DG1" t="s">
        <v>3261</v>
      </c>
      <c r="DH1" t="s">
        <v>3262</v>
      </c>
      <c r="DI1" t="s">
        <v>3263</v>
      </c>
      <c r="DJ1" t="s">
        <v>3264</v>
      </c>
      <c r="DK1" t="s">
        <v>3265</v>
      </c>
      <c r="DL1" t="s">
        <v>3266</v>
      </c>
      <c r="DM1" t="s">
        <v>3267</v>
      </c>
      <c r="DN1" t="s">
        <v>3268</v>
      </c>
      <c r="DO1" t="s">
        <v>3269</v>
      </c>
      <c r="DP1" t="s">
        <v>3270</v>
      </c>
      <c r="DQ1" t="s">
        <v>3271</v>
      </c>
      <c r="DR1" t="s">
        <v>3272</v>
      </c>
      <c r="DS1" t="s">
        <v>3273</v>
      </c>
      <c r="DT1" t="s">
        <v>4300</v>
      </c>
      <c r="DU1" t="s">
        <v>3275</v>
      </c>
      <c r="DV1" t="s">
        <v>3276</v>
      </c>
      <c r="DW1" t="s">
        <v>3277</v>
      </c>
      <c r="DX1" t="s">
        <v>3278</v>
      </c>
      <c r="DY1" t="s">
        <v>3279</v>
      </c>
      <c r="EC1" s="2" t="s">
        <v>3280</v>
      </c>
      <c r="ED1" s="2" t="s">
        <v>3281</v>
      </c>
      <c r="EE1" s="2" t="s">
        <v>3282</v>
      </c>
      <c r="EF1" s="2" t="s">
        <v>3283</v>
      </c>
      <c r="EG1" s="2" t="s">
        <v>3284</v>
      </c>
      <c r="EH1" s="2" t="s">
        <v>3285</v>
      </c>
      <c r="EI1" s="2" t="s">
        <v>3286</v>
      </c>
      <c r="EJ1" s="2" t="s">
        <v>3287</v>
      </c>
      <c r="EK1" s="2" t="s">
        <v>3190</v>
      </c>
      <c r="EL1" s="2" t="s">
        <v>3288</v>
      </c>
      <c r="EM1" s="2" t="s">
        <v>3289</v>
      </c>
      <c r="EN1" s="2" t="s">
        <v>3290</v>
      </c>
      <c r="EO1" s="2" t="s">
        <v>3291</v>
      </c>
      <c r="EP1" s="2" t="s">
        <v>3292</v>
      </c>
      <c r="ER1" s="2" t="s">
        <v>3205</v>
      </c>
      <c r="ES1" s="2" t="s">
        <v>5189</v>
      </c>
      <c r="EU1" s="2" t="s">
        <v>4852</v>
      </c>
      <c r="EV1" s="2" t="s">
        <v>5271</v>
      </c>
    </row>
    <row r="2" spans="2:152" x14ac:dyDescent="0.25">
      <c r="B2" s="2" t="s">
        <v>3293</v>
      </c>
      <c r="C2" s="2" t="s">
        <v>3294</v>
      </c>
      <c r="F2" s="2" t="s">
        <v>3295</v>
      </c>
      <c r="G2" s="2" t="s">
        <v>3194</v>
      </c>
      <c r="I2" s="2" t="s">
        <v>3296</v>
      </c>
      <c r="K2" s="2" t="s">
        <v>3297</v>
      </c>
      <c r="L2" s="2" t="s">
        <v>3191</v>
      </c>
      <c r="N2" s="2" t="s">
        <v>3298</v>
      </c>
      <c r="P2" s="2" t="s">
        <v>3299</v>
      </c>
      <c r="AL2" s="2" t="s">
        <v>3300</v>
      </c>
      <c r="AM2" t="s">
        <v>3301</v>
      </c>
      <c r="AN2" s="2" t="s">
        <v>3302</v>
      </c>
      <c r="AO2" t="s">
        <v>5772</v>
      </c>
      <c r="AP2" t="s">
        <v>3303</v>
      </c>
      <c r="AQ2" t="s">
        <v>3304</v>
      </c>
      <c r="AR2" t="s">
        <v>3305</v>
      </c>
      <c r="AS2" t="s">
        <v>3306</v>
      </c>
      <c r="AT2" t="s">
        <v>3307</v>
      </c>
      <c r="BB2" t="s">
        <v>3308</v>
      </c>
      <c r="BC2" t="s">
        <v>3309</v>
      </c>
      <c r="BD2" t="s">
        <v>3310</v>
      </c>
      <c r="BE2" t="s">
        <v>3311</v>
      </c>
      <c r="BF2" t="s">
        <v>3312</v>
      </c>
      <c r="BG2" t="s">
        <v>3313</v>
      </c>
      <c r="BH2" t="s">
        <v>3314</v>
      </c>
      <c r="BI2" t="s">
        <v>3315</v>
      </c>
      <c r="BJ2" t="s">
        <v>3316</v>
      </c>
      <c r="BK2" t="s">
        <v>3317</v>
      </c>
      <c r="BL2" t="s">
        <v>3318</v>
      </c>
      <c r="BM2" t="s">
        <v>3319</v>
      </c>
      <c r="BN2" t="s">
        <v>3320</v>
      </c>
      <c r="BO2" t="s">
        <v>3321</v>
      </c>
      <c r="BP2" t="s">
        <v>3322</v>
      </c>
      <c r="BQ2" t="s">
        <v>3323</v>
      </c>
      <c r="BR2" t="s">
        <v>3611</v>
      </c>
      <c r="BS2" t="s">
        <v>3324</v>
      </c>
      <c r="BT2" t="s">
        <v>3325</v>
      </c>
      <c r="BU2" t="s">
        <v>3326</v>
      </c>
      <c r="BV2" t="s">
        <v>3327</v>
      </c>
      <c r="BW2" t="s">
        <v>3328</v>
      </c>
      <c r="BX2" t="s">
        <v>3329</v>
      </c>
      <c r="BY2" t="s">
        <v>3330</v>
      </c>
      <c r="BZ2" t="s">
        <v>3331</v>
      </c>
      <c r="CA2" t="s">
        <v>3332</v>
      </c>
      <c r="CB2" t="s">
        <v>3333</v>
      </c>
      <c r="CC2" t="s">
        <v>3334</v>
      </c>
      <c r="CD2" t="s">
        <v>3335</v>
      </c>
      <c r="CE2" t="s">
        <v>3336</v>
      </c>
      <c r="CF2" t="s">
        <v>3337</v>
      </c>
      <c r="CG2" t="s">
        <v>3338</v>
      </c>
      <c r="CH2" t="s">
        <v>3339</v>
      </c>
      <c r="CI2" t="s">
        <v>3340</v>
      </c>
      <c r="CJ2" t="s">
        <v>3341</v>
      </c>
      <c r="CK2" t="s">
        <v>3342</v>
      </c>
      <c r="CL2" t="s">
        <v>3343</v>
      </c>
      <c r="CM2" t="s">
        <v>3344</v>
      </c>
      <c r="CN2" t="s">
        <v>3345</v>
      </c>
      <c r="CO2" t="s">
        <v>3346</v>
      </c>
      <c r="CP2" t="s">
        <v>3347</v>
      </c>
      <c r="CQ2" t="s">
        <v>3348</v>
      </c>
      <c r="CR2" t="s">
        <v>3349</v>
      </c>
      <c r="CS2" t="s">
        <v>3350</v>
      </c>
      <c r="CT2" t="s">
        <v>3351</v>
      </c>
      <c r="CU2" t="s">
        <v>3352</v>
      </c>
      <c r="CV2" t="s">
        <v>3353</v>
      </c>
      <c r="CW2" t="s">
        <v>3354</v>
      </c>
      <c r="CX2" t="s">
        <v>3355</v>
      </c>
      <c r="CY2" t="s">
        <v>3356</v>
      </c>
      <c r="CZ2" t="s">
        <v>3357</v>
      </c>
      <c r="DA2" t="s">
        <v>3358</v>
      </c>
      <c r="DB2" t="s">
        <v>3359</v>
      </c>
      <c r="DC2" t="s">
        <v>3360</v>
      </c>
      <c r="DE2" t="s">
        <v>3361</v>
      </c>
      <c r="DF2" t="s">
        <v>3362</v>
      </c>
      <c r="DG2" t="s">
        <v>3363</v>
      </c>
      <c r="DH2" t="s">
        <v>3364</v>
      </c>
      <c r="DI2" t="s">
        <v>3365</v>
      </c>
      <c r="DJ2" t="s">
        <v>3366</v>
      </c>
      <c r="DK2" t="s">
        <v>3367</v>
      </c>
      <c r="DL2" t="s">
        <v>3368</v>
      </c>
      <c r="DM2" t="s">
        <v>3369</v>
      </c>
      <c r="DN2" t="s">
        <v>3370</v>
      </c>
      <c r="DO2" t="s">
        <v>3371</v>
      </c>
      <c r="DP2" t="s">
        <v>3372</v>
      </c>
      <c r="DQ2" t="s">
        <v>3373</v>
      </c>
      <c r="DR2" t="s">
        <v>3374</v>
      </c>
      <c r="DS2" t="s">
        <v>3375</v>
      </c>
      <c r="DT2" t="s">
        <v>4625</v>
      </c>
      <c r="DU2" t="s">
        <v>3377</v>
      </c>
      <c r="DW2" t="s">
        <v>3378</v>
      </c>
      <c r="DX2" t="s">
        <v>3379</v>
      </c>
      <c r="DY2" t="s">
        <v>3380</v>
      </c>
      <c r="ED2" s="2" t="s">
        <v>3381</v>
      </c>
      <c r="EE2" s="2" t="s">
        <v>3382</v>
      </c>
      <c r="EF2" s="2" t="s">
        <v>3383</v>
      </c>
      <c r="EG2" s="2" t="s">
        <v>3384</v>
      </c>
      <c r="EH2" s="2" t="s">
        <v>3385</v>
      </c>
      <c r="EI2" s="2" t="s">
        <v>3386</v>
      </c>
      <c r="EJ2" s="2" t="s">
        <v>3387</v>
      </c>
      <c r="EK2" s="2" t="s">
        <v>3295</v>
      </c>
      <c r="EL2" s="2" t="s">
        <v>3388</v>
      </c>
      <c r="EM2" s="2" t="s">
        <v>3389</v>
      </c>
      <c r="EN2" s="2" t="s">
        <v>3390</v>
      </c>
      <c r="EO2" s="2" t="s">
        <v>3391</v>
      </c>
      <c r="EP2" s="2" t="s">
        <v>3392</v>
      </c>
      <c r="ER2" s="2" t="s">
        <v>3308</v>
      </c>
      <c r="ES2" s="2" t="s">
        <v>5190</v>
      </c>
      <c r="EU2" s="2" t="s">
        <v>4867</v>
      </c>
      <c r="EV2" s="2" t="s">
        <v>5272</v>
      </c>
    </row>
    <row r="3" spans="2:152" x14ac:dyDescent="0.25">
      <c r="B3" s="2" t="s">
        <v>3393</v>
      </c>
      <c r="C3" s="2" t="s">
        <v>3394</v>
      </c>
      <c r="F3" s="2" t="s">
        <v>3395</v>
      </c>
      <c r="I3" s="2" t="s">
        <v>3396</v>
      </c>
      <c r="K3" s="2" t="s">
        <v>3397</v>
      </c>
      <c r="L3" s="2" t="s">
        <v>3398</v>
      </c>
      <c r="N3" s="2" t="s">
        <v>3399</v>
      </c>
      <c r="P3" s="2" t="s">
        <v>3400</v>
      </c>
      <c r="AL3" s="2" t="s">
        <v>3401</v>
      </c>
      <c r="AO3" t="s">
        <v>5773</v>
      </c>
      <c r="AP3" t="s">
        <v>3402</v>
      </c>
      <c r="AQ3" t="s">
        <v>3403</v>
      </c>
      <c r="AR3" t="s">
        <v>3404</v>
      </c>
      <c r="AS3" t="s">
        <v>3405</v>
      </c>
      <c r="AT3" t="s">
        <v>3406</v>
      </c>
      <c r="BB3" t="s">
        <v>3407</v>
      </c>
      <c r="BC3" t="s">
        <v>3408</v>
      </c>
      <c r="BD3" t="s">
        <v>3409</v>
      </c>
      <c r="BE3" t="s">
        <v>3410</v>
      </c>
      <c r="BF3" t="s">
        <v>3411</v>
      </c>
      <c r="BG3" t="s">
        <v>3412</v>
      </c>
      <c r="BH3" t="s">
        <v>3413</v>
      </c>
      <c r="BI3" t="s">
        <v>3414</v>
      </c>
      <c r="BJ3" t="s">
        <v>3415</v>
      </c>
      <c r="BK3" t="s">
        <v>3416</v>
      </c>
      <c r="BL3" t="s">
        <v>3417</v>
      </c>
      <c r="BM3" t="s">
        <v>3418</v>
      </c>
      <c r="BN3" t="s">
        <v>3419</v>
      </c>
      <c r="BO3" t="s">
        <v>3420</v>
      </c>
      <c r="BP3" t="s">
        <v>3421</v>
      </c>
      <c r="BQ3" t="s">
        <v>3422</v>
      </c>
      <c r="BR3" t="s">
        <v>4208</v>
      </c>
      <c r="BS3" t="s">
        <v>3424</v>
      </c>
      <c r="BT3" t="s">
        <v>3425</v>
      </c>
      <c r="BU3" t="s">
        <v>3426</v>
      </c>
      <c r="BV3" t="s">
        <v>3427</v>
      </c>
      <c r="BW3" t="s">
        <v>3428</v>
      </c>
      <c r="BX3" t="s">
        <v>3429</v>
      </c>
      <c r="BY3" t="s">
        <v>3430</v>
      </c>
      <c r="BZ3" t="s">
        <v>3431</v>
      </c>
      <c r="CA3" t="s">
        <v>3432</v>
      </c>
      <c r="CB3" t="s">
        <v>3433</v>
      </c>
      <c r="CC3" t="s">
        <v>3434</v>
      </c>
      <c r="CD3" t="s">
        <v>3435</v>
      </c>
      <c r="CE3" t="s">
        <v>3436</v>
      </c>
      <c r="CF3" t="s">
        <v>3437</v>
      </c>
      <c r="CG3" t="s">
        <v>3438</v>
      </c>
      <c r="CH3" t="s">
        <v>3439</v>
      </c>
      <c r="CI3" t="s">
        <v>3440</v>
      </c>
      <c r="CJ3" t="s">
        <v>3441</v>
      </c>
      <c r="CK3" t="s">
        <v>3442</v>
      </c>
      <c r="CL3" t="s">
        <v>3443</v>
      </c>
      <c r="CM3" t="s">
        <v>3444</v>
      </c>
      <c r="CN3" t="s">
        <v>3445</v>
      </c>
      <c r="CO3" t="s">
        <v>3446</v>
      </c>
      <c r="CP3" t="s">
        <v>3447</v>
      </c>
      <c r="CQ3" t="s">
        <v>3448</v>
      </c>
      <c r="CR3" t="s">
        <v>3449</v>
      </c>
      <c r="CS3" t="s">
        <v>3450</v>
      </c>
      <c r="CT3" t="s">
        <v>3451</v>
      </c>
      <c r="CU3" t="s">
        <v>3452</v>
      </c>
      <c r="CV3" t="s">
        <v>3453</v>
      </c>
      <c r="CW3" t="s">
        <v>3454</v>
      </c>
      <c r="CX3" t="s">
        <v>3455</v>
      </c>
      <c r="CY3" t="s">
        <v>3456</v>
      </c>
      <c r="CZ3" t="s">
        <v>3457</v>
      </c>
      <c r="DA3" t="s">
        <v>3458</v>
      </c>
      <c r="DB3" t="s">
        <v>3459</v>
      </c>
      <c r="DC3" t="s">
        <v>3460</v>
      </c>
      <c r="DE3" t="s">
        <v>3461</v>
      </c>
      <c r="DF3" t="s">
        <v>3462</v>
      </c>
      <c r="DG3" t="s">
        <v>3463</v>
      </c>
      <c r="DH3" t="s">
        <v>3464</v>
      </c>
      <c r="DI3" t="s">
        <v>3465</v>
      </c>
      <c r="DJ3" t="s">
        <v>3466</v>
      </c>
      <c r="DK3" t="s">
        <v>3467</v>
      </c>
      <c r="DL3" t="s">
        <v>3468</v>
      </c>
      <c r="DM3" t="s">
        <v>3469</v>
      </c>
      <c r="DN3" t="s">
        <v>3470</v>
      </c>
      <c r="DO3" t="s">
        <v>3471</v>
      </c>
      <c r="DP3" t="s">
        <v>3472</v>
      </c>
      <c r="DQ3" t="s">
        <v>3473</v>
      </c>
      <c r="DR3" t="s">
        <v>3474</v>
      </c>
      <c r="DS3" t="s">
        <v>3475</v>
      </c>
      <c r="DT3" t="s">
        <v>6023</v>
      </c>
      <c r="DW3" t="s">
        <v>3477</v>
      </c>
      <c r="DX3" t="s">
        <v>3478</v>
      </c>
      <c r="DY3" t="s">
        <v>3479</v>
      </c>
      <c r="EE3" s="2" t="s">
        <v>3480</v>
      </c>
      <c r="EF3" s="2" t="s">
        <v>3481</v>
      </c>
      <c r="EG3" s="2" t="s">
        <v>3482</v>
      </c>
      <c r="EI3" s="2" t="s">
        <v>3483</v>
      </c>
      <c r="EJ3" s="2" t="s">
        <v>3484</v>
      </c>
      <c r="EK3" s="2" t="s">
        <v>3395</v>
      </c>
      <c r="EL3" s="2" t="s">
        <v>3485</v>
      </c>
      <c r="EM3" s="2" t="s">
        <v>3486</v>
      </c>
      <c r="EN3" s="2" t="s">
        <v>3487</v>
      </c>
      <c r="EO3" s="2" t="s">
        <v>3488</v>
      </c>
      <c r="EP3" s="2" t="s">
        <v>3489</v>
      </c>
      <c r="ER3" s="2" t="s">
        <v>3407</v>
      </c>
      <c r="ES3" s="2" t="s">
        <v>5191</v>
      </c>
      <c r="EU3" s="2" t="s">
        <v>3190</v>
      </c>
      <c r="EV3" s="2" t="s">
        <v>5273</v>
      </c>
    </row>
    <row r="4" spans="2:152" x14ac:dyDescent="0.25">
      <c r="B4" s="2" t="s">
        <v>3490</v>
      </c>
      <c r="C4" s="2" t="s">
        <v>3491</v>
      </c>
      <c r="F4" s="2" t="s">
        <v>3492</v>
      </c>
      <c r="K4" s="2" t="s">
        <v>3493</v>
      </c>
      <c r="N4" s="2" t="s">
        <v>3494</v>
      </c>
      <c r="P4" s="2" t="s">
        <v>3495</v>
      </c>
      <c r="AL4" s="2" t="s">
        <v>3496</v>
      </c>
      <c r="AO4" t="s">
        <v>5774</v>
      </c>
      <c r="AP4" t="s">
        <v>3497</v>
      </c>
      <c r="AQ4" t="s">
        <v>3498</v>
      </c>
      <c r="AR4" t="s">
        <v>3499</v>
      </c>
      <c r="AS4" t="s">
        <v>3500</v>
      </c>
      <c r="AT4" t="s">
        <v>3501</v>
      </c>
      <c r="BB4" t="s">
        <v>3502</v>
      </c>
      <c r="BC4" t="s">
        <v>3503</v>
      </c>
      <c r="BD4" t="s">
        <v>3504</v>
      </c>
      <c r="BE4" t="s">
        <v>3505</v>
      </c>
      <c r="BF4" t="s">
        <v>3506</v>
      </c>
      <c r="BG4" t="s">
        <v>3507</v>
      </c>
      <c r="BH4" t="s">
        <v>3508</v>
      </c>
      <c r="BI4" t="s">
        <v>3509</v>
      </c>
      <c r="BJ4" t="s">
        <v>3510</v>
      </c>
      <c r="BK4" t="s">
        <v>3511</v>
      </c>
      <c r="BL4" t="s">
        <v>3512</v>
      </c>
      <c r="BM4" t="s">
        <v>3513</v>
      </c>
      <c r="BN4" t="s">
        <v>3514</v>
      </c>
      <c r="BO4" t="s">
        <v>3515</v>
      </c>
      <c r="BP4" t="s">
        <v>3516</v>
      </c>
      <c r="BQ4" t="s">
        <v>3517</v>
      </c>
      <c r="BR4" t="s">
        <v>4267</v>
      </c>
      <c r="BS4" t="s">
        <v>3519</v>
      </c>
      <c r="BT4" t="s">
        <v>3520</v>
      </c>
      <c r="BU4" t="s">
        <v>3521</v>
      </c>
      <c r="BV4" t="s">
        <v>3522</v>
      </c>
      <c r="BW4" t="s">
        <v>3523</v>
      </c>
      <c r="BX4" t="s">
        <v>3524</v>
      </c>
      <c r="BY4" t="s">
        <v>3525</v>
      </c>
      <c r="BZ4" t="s">
        <v>3526</v>
      </c>
      <c r="CA4" t="s">
        <v>3527</v>
      </c>
      <c r="CB4" t="s">
        <v>3528</v>
      </c>
      <c r="CC4" t="s">
        <v>3529</v>
      </c>
      <c r="CD4" t="s">
        <v>3530</v>
      </c>
      <c r="CE4" t="s">
        <v>3531</v>
      </c>
      <c r="CF4" t="s">
        <v>3532</v>
      </c>
      <c r="CG4" t="s">
        <v>3533</v>
      </c>
      <c r="CH4" t="s">
        <v>3534</v>
      </c>
      <c r="CI4" t="s">
        <v>3535</v>
      </c>
      <c r="CJ4" t="s">
        <v>3536</v>
      </c>
      <c r="CK4" t="s">
        <v>3537</v>
      </c>
      <c r="CL4" t="s">
        <v>3538</v>
      </c>
      <c r="CM4" t="s">
        <v>3539</v>
      </c>
      <c r="CN4" t="s">
        <v>3540</v>
      </c>
      <c r="CO4" t="s">
        <v>3541</v>
      </c>
      <c r="CP4" t="s">
        <v>3542</v>
      </c>
      <c r="CQ4" t="s">
        <v>3543</v>
      </c>
      <c r="CR4" t="s">
        <v>3544</v>
      </c>
      <c r="CS4" t="s">
        <v>3545</v>
      </c>
      <c r="CT4" t="s">
        <v>3546</v>
      </c>
      <c r="CU4" t="s">
        <v>3547</v>
      </c>
      <c r="CV4" t="s">
        <v>3548</v>
      </c>
      <c r="CW4" t="s">
        <v>3549</v>
      </c>
      <c r="CX4" t="s">
        <v>3550</v>
      </c>
      <c r="CY4" t="s">
        <v>3551</v>
      </c>
      <c r="CZ4" t="s">
        <v>3552</v>
      </c>
      <c r="DA4" t="s">
        <v>3553</v>
      </c>
      <c r="DB4" t="s">
        <v>3554</v>
      </c>
      <c r="DC4" t="s">
        <v>3555</v>
      </c>
      <c r="DE4" t="s">
        <v>3556</v>
      </c>
      <c r="DF4" t="s">
        <v>3557</v>
      </c>
      <c r="DG4" t="s">
        <v>3558</v>
      </c>
      <c r="DH4" t="s">
        <v>3559</v>
      </c>
      <c r="DI4" t="s">
        <v>3560</v>
      </c>
      <c r="DJ4" t="s">
        <v>3561</v>
      </c>
      <c r="DK4" t="s">
        <v>3562</v>
      </c>
      <c r="DL4" t="s">
        <v>3563</v>
      </c>
      <c r="DM4" t="s">
        <v>3564</v>
      </c>
      <c r="DN4" t="s">
        <v>3565</v>
      </c>
      <c r="DO4" t="s">
        <v>3566</v>
      </c>
      <c r="DP4" t="s">
        <v>3567</v>
      </c>
      <c r="DQ4" t="s">
        <v>3568</v>
      </c>
      <c r="DR4" t="s">
        <v>3569</v>
      </c>
      <c r="DS4" t="s">
        <v>3570</v>
      </c>
      <c r="DT4" t="s">
        <v>3979</v>
      </c>
      <c r="DW4" t="s">
        <v>3572</v>
      </c>
      <c r="DX4" t="s">
        <v>3573</v>
      </c>
      <c r="DY4" t="s">
        <v>3574</v>
      </c>
      <c r="EE4" s="2" t="s">
        <v>3575</v>
      </c>
      <c r="EF4" s="2" t="s">
        <v>3576</v>
      </c>
      <c r="EG4" s="2" t="s">
        <v>3577</v>
      </c>
      <c r="EI4" s="2" t="s">
        <v>3578</v>
      </c>
      <c r="EK4" s="2" t="s">
        <v>3492</v>
      </c>
      <c r="EL4" s="2" t="s">
        <v>3579</v>
      </c>
      <c r="EM4" s="2" t="s">
        <v>3580</v>
      </c>
      <c r="EN4" s="2" t="s">
        <v>3581</v>
      </c>
      <c r="EO4" s="2" t="s">
        <v>3582</v>
      </c>
      <c r="EP4" s="2" t="s">
        <v>3583</v>
      </c>
      <c r="ER4" s="2" t="s">
        <v>3502</v>
      </c>
      <c r="ES4" s="2" t="s">
        <v>5192</v>
      </c>
      <c r="EU4" s="2" t="s">
        <v>3295</v>
      </c>
      <c r="EV4" s="2" t="s">
        <v>5274</v>
      </c>
    </row>
    <row r="5" spans="2:152" x14ac:dyDescent="0.25">
      <c r="B5" s="2" t="s">
        <v>3584</v>
      </c>
      <c r="C5" s="2" t="s">
        <v>3585</v>
      </c>
      <c r="F5" s="2" t="s">
        <v>3586</v>
      </c>
      <c r="K5" s="2" t="s">
        <v>3587</v>
      </c>
      <c r="N5" s="2" t="s">
        <v>3588</v>
      </c>
      <c r="P5" s="2" t="s">
        <v>3589</v>
      </c>
      <c r="AL5" s="2" t="s">
        <v>3590</v>
      </c>
      <c r="AO5" t="s">
        <v>5775</v>
      </c>
      <c r="AP5" t="s">
        <v>3591</v>
      </c>
      <c r="AQ5" t="s">
        <v>3592</v>
      </c>
      <c r="AR5" t="s">
        <v>3593</v>
      </c>
      <c r="AS5" t="s">
        <v>3594</v>
      </c>
      <c r="AT5" t="s">
        <v>3595</v>
      </c>
      <c r="BB5" t="s">
        <v>3596</v>
      </c>
      <c r="BC5" t="s">
        <v>3597</v>
      </c>
      <c r="BD5" t="s">
        <v>3598</v>
      </c>
      <c r="BF5" t="s">
        <v>3599</v>
      </c>
      <c r="BG5" t="s">
        <v>3600</v>
      </c>
      <c r="BH5" t="s">
        <v>3601</v>
      </c>
      <c r="BI5" t="s">
        <v>3602</v>
      </c>
      <c r="BJ5" t="s">
        <v>3603</v>
      </c>
      <c r="BK5" t="s">
        <v>3604</v>
      </c>
      <c r="BL5" t="s">
        <v>3605</v>
      </c>
      <c r="BM5" t="s">
        <v>3606</v>
      </c>
      <c r="BN5" t="s">
        <v>3607</v>
      </c>
      <c r="BO5" t="s">
        <v>3608</v>
      </c>
      <c r="BP5" t="s">
        <v>3609</v>
      </c>
      <c r="BQ5" t="s">
        <v>3610</v>
      </c>
      <c r="BR5" t="s">
        <v>4143</v>
      </c>
      <c r="BS5" t="s">
        <v>3612</v>
      </c>
      <c r="BT5" t="s">
        <v>3613</v>
      </c>
      <c r="BU5" t="s">
        <v>3614</v>
      </c>
      <c r="BV5" t="s">
        <v>3615</v>
      </c>
      <c r="BW5" t="s">
        <v>3616</v>
      </c>
      <c r="BX5" t="s">
        <v>3617</v>
      </c>
      <c r="BY5" t="s">
        <v>3618</v>
      </c>
      <c r="BZ5" t="s">
        <v>3619</v>
      </c>
      <c r="CA5" t="s">
        <v>3620</v>
      </c>
      <c r="CB5" t="s">
        <v>3621</v>
      </c>
      <c r="CC5" t="s">
        <v>3622</v>
      </c>
      <c r="CE5" t="s">
        <v>3623</v>
      </c>
      <c r="CF5" t="s">
        <v>3624</v>
      </c>
      <c r="CG5" t="s">
        <v>3625</v>
      </c>
      <c r="CH5" t="s">
        <v>3626</v>
      </c>
      <c r="CI5" t="s">
        <v>3627</v>
      </c>
      <c r="CJ5" t="s">
        <v>3628</v>
      </c>
      <c r="CK5" t="s">
        <v>3629</v>
      </c>
      <c r="CL5" t="s">
        <v>3630</v>
      </c>
      <c r="CM5" t="s">
        <v>3631</v>
      </c>
      <c r="CN5" t="s">
        <v>3632</v>
      </c>
      <c r="CO5" t="s">
        <v>3633</v>
      </c>
      <c r="CP5" t="s">
        <v>3634</v>
      </c>
      <c r="CQ5" t="s">
        <v>3635</v>
      </c>
      <c r="CR5" t="s">
        <v>3636</v>
      </c>
      <c r="CT5" t="s">
        <v>3637</v>
      </c>
      <c r="CU5" t="s">
        <v>3638</v>
      </c>
      <c r="CV5" t="s">
        <v>3639</v>
      </c>
      <c r="CW5" t="s">
        <v>3640</v>
      </c>
      <c r="CX5" t="s">
        <v>3641</v>
      </c>
      <c r="CY5" t="s">
        <v>3642</v>
      </c>
      <c r="CZ5" t="s">
        <v>3643</v>
      </c>
      <c r="DA5" t="s">
        <v>3644</v>
      </c>
      <c r="DB5" t="s">
        <v>3645</v>
      </c>
      <c r="DC5" t="s">
        <v>3646</v>
      </c>
      <c r="DE5" t="s">
        <v>3647</v>
      </c>
      <c r="DF5" t="s">
        <v>3648</v>
      </c>
      <c r="DG5" t="s">
        <v>3649</v>
      </c>
      <c r="DH5" t="s">
        <v>3650</v>
      </c>
      <c r="DI5" t="s">
        <v>3651</v>
      </c>
      <c r="DJ5" t="s">
        <v>3652</v>
      </c>
      <c r="DK5" t="s">
        <v>3653</v>
      </c>
      <c r="DL5" t="s">
        <v>3654</v>
      </c>
      <c r="DM5" t="s">
        <v>3655</v>
      </c>
      <c r="DN5" t="s">
        <v>3656</v>
      </c>
      <c r="DO5" t="s">
        <v>3657</v>
      </c>
      <c r="DP5" t="s">
        <v>3658</v>
      </c>
      <c r="DQ5" t="s">
        <v>3659</v>
      </c>
      <c r="DR5" t="s">
        <v>3660</v>
      </c>
      <c r="DS5" t="s">
        <v>3661</v>
      </c>
      <c r="DT5" t="s">
        <v>3831</v>
      </c>
      <c r="DW5" t="s">
        <v>3663</v>
      </c>
      <c r="DX5" t="s">
        <v>3664</v>
      </c>
      <c r="DY5" t="s">
        <v>3665</v>
      </c>
      <c r="EE5" s="2" t="s">
        <v>3666</v>
      </c>
      <c r="EF5" s="2" t="s">
        <v>3667</v>
      </c>
      <c r="EI5" s="2" t="s">
        <v>3668</v>
      </c>
      <c r="EK5" s="2" t="s">
        <v>3669</v>
      </c>
      <c r="EL5" s="2" t="s">
        <v>3670</v>
      </c>
      <c r="EM5" s="2" t="s">
        <v>3671</v>
      </c>
      <c r="EN5" s="2" t="s">
        <v>3672</v>
      </c>
      <c r="EO5" s="2" t="s">
        <v>3673</v>
      </c>
      <c r="EP5" s="2" t="s">
        <v>3674</v>
      </c>
      <c r="ER5" s="2" t="s">
        <v>3596</v>
      </c>
      <c r="ES5" s="2" t="s">
        <v>5193</v>
      </c>
      <c r="EU5" s="2" t="s">
        <v>3395</v>
      </c>
      <c r="EV5" s="2" t="s">
        <v>5275</v>
      </c>
    </row>
    <row r="6" spans="2:152" x14ac:dyDescent="0.25">
      <c r="B6" s="2" t="s">
        <v>3675</v>
      </c>
      <c r="C6" s="2" t="s">
        <v>3676</v>
      </c>
      <c r="F6" s="2" t="s">
        <v>3677</v>
      </c>
      <c r="K6" s="2" t="s">
        <v>3678</v>
      </c>
      <c r="N6" s="2" t="s">
        <v>3679</v>
      </c>
      <c r="P6" s="2" t="s">
        <v>3680</v>
      </c>
      <c r="AL6" s="2" t="s">
        <v>3681</v>
      </c>
      <c r="AO6" t="s">
        <v>5776</v>
      </c>
      <c r="AP6" t="s">
        <v>3682</v>
      </c>
      <c r="AQ6" t="s">
        <v>3683</v>
      </c>
      <c r="AR6" t="s">
        <v>3684</v>
      </c>
      <c r="AS6" t="s">
        <v>3685</v>
      </c>
      <c r="AT6" t="s">
        <v>3686</v>
      </c>
      <c r="BB6" t="s">
        <v>3687</v>
      </c>
      <c r="BC6" t="s">
        <v>3688</v>
      </c>
      <c r="BD6" t="s">
        <v>3689</v>
      </c>
      <c r="BG6" t="s">
        <v>3690</v>
      </c>
      <c r="BH6" t="s">
        <v>3691</v>
      </c>
      <c r="BI6" t="s">
        <v>3692</v>
      </c>
      <c r="BJ6" t="s">
        <v>3693</v>
      </c>
      <c r="BK6" t="s">
        <v>3694</v>
      </c>
      <c r="BL6" t="s">
        <v>3695</v>
      </c>
      <c r="BM6" t="s">
        <v>3696</v>
      </c>
      <c r="BN6" t="s">
        <v>3697</v>
      </c>
      <c r="BO6" t="s">
        <v>3698</v>
      </c>
      <c r="BP6" t="s">
        <v>3699</v>
      </c>
      <c r="BQ6" t="s">
        <v>3700</v>
      </c>
      <c r="BR6" t="s">
        <v>3784</v>
      </c>
      <c r="BS6" t="s">
        <v>3702</v>
      </c>
      <c r="BT6" t="s">
        <v>3703</v>
      </c>
      <c r="BU6" t="s">
        <v>3704</v>
      </c>
      <c r="BV6" t="s">
        <v>3705</v>
      </c>
      <c r="BW6" t="s">
        <v>3706</v>
      </c>
      <c r="BX6" t="s">
        <v>3707</v>
      </c>
      <c r="BY6" t="s">
        <v>3708</v>
      </c>
      <c r="BZ6" t="s">
        <v>3709</v>
      </c>
      <c r="CA6" t="s">
        <v>3710</v>
      </c>
      <c r="CB6" t="s">
        <v>3711</v>
      </c>
      <c r="CC6" t="s">
        <v>3712</v>
      </c>
      <c r="CE6" t="s">
        <v>3713</v>
      </c>
      <c r="CF6" t="s">
        <v>3714</v>
      </c>
      <c r="CG6" t="s">
        <v>3715</v>
      </c>
      <c r="CH6" t="s">
        <v>3716</v>
      </c>
      <c r="CI6" t="s">
        <v>3717</v>
      </c>
      <c r="CJ6" t="s">
        <v>3718</v>
      </c>
      <c r="CL6" t="s">
        <v>3719</v>
      </c>
      <c r="CM6" t="s">
        <v>3720</v>
      </c>
      <c r="CN6" t="s">
        <v>3721</v>
      </c>
      <c r="CO6" t="s">
        <v>3722</v>
      </c>
      <c r="CP6" t="s">
        <v>3723</v>
      </c>
      <c r="CQ6" t="s">
        <v>3724</v>
      </c>
      <c r="CR6" t="s">
        <v>3725</v>
      </c>
      <c r="CT6" t="s">
        <v>3726</v>
      </c>
      <c r="CU6" t="s">
        <v>3727</v>
      </c>
      <c r="CV6" t="s">
        <v>3728</v>
      </c>
      <c r="CW6" t="s">
        <v>3729</v>
      </c>
      <c r="CX6" t="s">
        <v>3730</v>
      </c>
      <c r="CZ6" t="s">
        <v>3731</v>
      </c>
      <c r="DA6" t="s">
        <v>3732</v>
      </c>
      <c r="DB6" t="s">
        <v>3733</v>
      </c>
      <c r="DC6" t="s">
        <v>3734</v>
      </c>
      <c r="DE6" t="s">
        <v>3735</v>
      </c>
      <c r="DF6" t="s">
        <v>3736</v>
      </c>
      <c r="DG6" t="s">
        <v>3737</v>
      </c>
      <c r="DH6" t="s">
        <v>3738</v>
      </c>
      <c r="DI6" t="s">
        <v>3739</v>
      </c>
      <c r="DJ6" t="s">
        <v>3740</v>
      </c>
      <c r="DK6" t="s">
        <v>3741</v>
      </c>
      <c r="DL6" t="s">
        <v>3742</v>
      </c>
      <c r="DM6" t="s">
        <v>3743</v>
      </c>
      <c r="DN6" t="s">
        <v>3744</v>
      </c>
      <c r="DO6" t="s">
        <v>3745</v>
      </c>
      <c r="DP6" t="s">
        <v>3746</v>
      </c>
      <c r="DQ6" t="s">
        <v>3747</v>
      </c>
      <c r="DR6" t="s">
        <v>3748</v>
      </c>
      <c r="DS6" t="s">
        <v>3749</v>
      </c>
      <c r="DT6" t="s">
        <v>3908</v>
      </c>
      <c r="DW6" t="s">
        <v>3751</v>
      </c>
      <c r="DX6" t="s">
        <v>3752</v>
      </c>
      <c r="DY6" t="s">
        <v>3753</v>
      </c>
      <c r="EF6" s="2" t="s">
        <v>3754</v>
      </c>
      <c r="EI6" s="2" t="s">
        <v>3755</v>
      </c>
      <c r="EK6" s="2" t="s">
        <v>3677</v>
      </c>
      <c r="EL6" s="2" t="s">
        <v>3756</v>
      </c>
      <c r="EM6" s="2" t="s">
        <v>3757</v>
      </c>
      <c r="EN6" s="2" t="s">
        <v>3758</v>
      </c>
      <c r="EP6" s="2" t="s">
        <v>3759</v>
      </c>
      <c r="ER6" s="2" t="s">
        <v>3687</v>
      </c>
      <c r="ES6" s="2" t="s">
        <v>5194</v>
      </c>
      <c r="EU6" s="2" t="s">
        <v>3492</v>
      </c>
      <c r="EV6" s="2" t="s">
        <v>5276</v>
      </c>
    </row>
    <row r="7" spans="2:152" x14ac:dyDescent="0.25">
      <c r="B7" s="2" t="s">
        <v>3760</v>
      </c>
      <c r="C7" s="2" t="s">
        <v>3761</v>
      </c>
      <c r="F7" s="2" t="s">
        <v>3762</v>
      </c>
      <c r="N7" s="2" t="s">
        <v>3763</v>
      </c>
      <c r="P7" s="2" t="s">
        <v>3764</v>
      </c>
      <c r="AL7" s="2" t="s">
        <v>3765</v>
      </c>
      <c r="AO7" t="s">
        <v>5777</v>
      </c>
      <c r="AQ7" t="s">
        <v>3766</v>
      </c>
      <c r="AR7" t="s">
        <v>3767</v>
      </c>
      <c r="AS7" t="s">
        <v>3768</v>
      </c>
      <c r="AT7" t="s">
        <v>3769</v>
      </c>
      <c r="BB7" t="s">
        <v>3770</v>
      </c>
      <c r="BC7" t="s">
        <v>3771</v>
      </c>
      <c r="BD7" t="s">
        <v>3772</v>
      </c>
      <c r="BG7" t="s">
        <v>3773</v>
      </c>
      <c r="BH7" t="s">
        <v>3774</v>
      </c>
      <c r="BI7" t="s">
        <v>3775</v>
      </c>
      <c r="BJ7" t="s">
        <v>3776</v>
      </c>
      <c r="BK7" t="s">
        <v>3777</v>
      </c>
      <c r="BL7" t="s">
        <v>3778</v>
      </c>
      <c r="BM7" t="s">
        <v>3779</v>
      </c>
      <c r="BN7" t="s">
        <v>3780</v>
      </c>
      <c r="BO7" t="s">
        <v>3781</v>
      </c>
      <c r="BP7" t="s">
        <v>3782</v>
      </c>
      <c r="BQ7" t="s">
        <v>3783</v>
      </c>
      <c r="BR7" t="s">
        <v>4505</v>
      </c>
      <c r="BS7" t="s">
        <v>3785</v>
      </c>
      <c r="BT7" t="s">
        <v>3786</v>
      </c>
      <c r="BU7" t="s">
        <v>3787</v>
      </c>
      <c r="BV7" t="s">
        <v>3788</v>
      </c>
      <c r="BW7" t="s">
        <v>3789</v>
      </c>
      <c r="BX7" t="s">
        <v>3790</v>
      </c>
      <c r="BY7" t="s">
        <v>3791</v>
      </c>
      <c r="BZ7" t="s">
        <v>3792</v>
      </c>
      <c r="CA7" t="s">
        <v>3793</v>
      </c>
      <c r="CB7" t="s">
        <v>3794</v>
      </c>
      <c r="CC7" t="s">
        <v>3795</v>
      </c>
      <c r="CE7" t="s">
        <v>3796</v>
      </c>
      <c r="CF7" t="s">
        <v>3797</v>
      </c>
      <c r="CG7" t="s">
        <v>3798</v>
      </c>
      <c r="CH7" t="s">
        <v>3799</v>
      </c>
      <c r="CI7" t="s">
        <v>3800</v>
      </c>
      <c r="CJ7" t="s">
        <v>3801</v>
      </c>
      <c r="CL7" t="s">
        <v>3802</v>
      </c>
      <c r="CM7" t="s">
        <v>3803</v>
      </c>
      <c r="CN7" t="s">
        <v>3804</v>
      </c>
      <c r="CO7" t="s">
        <v>3805</v>
      </c>
      <c r="CP7" t="s">
        <v>3806</v>
      </c>
      <c r="CQ7" t="s">
        <v>3807</v>
      </c>
      <c r="CR7" t="s">
        <v>3808</v>
      </c>
      <c r="CT7" t="s">
        <v>3809</v>
      </c>
      <c r="CU7" t="s">
        <v>3810</v>
      </c>
      <c r="CV7" t="s">
        <v>3811</v>
      </c>
      <c r="CW7" t="s">
        <v>3812</v>
      </c>
      <c r="CX7" t="s">
        <v>3813</v>
      </c>
      <c r="CZ7" t="s">
        <v>3814</v>
      </c>
      <c r="DA7" t="s">
        <v>3815</v>
      </c>
      <c r="DB7" t="s">
        <v>3816</v>
      </c>
      <c r="DC7" t="s">
        <v>3817</v>
      </c>
      <c r="DE7" t="s">
        <v>3818</v>
      </c>
      <c r="DF7" t="s">
        <v>3819</v>
      </c>
      <c r="DG7" t="s">
        <v>3820</v>
      </c>
      <c r="DH7" t="s">
        <v>3821</v>
      </c>
      <c r="DI7" t="s">
        <v>3822</v>
      </c>
      <c r="DJ7" t="s">
        <v>3823</v>
      </c>
      <c r="DK7" t="s">
        <v>3824</v>
      </c>
      <c r="DM7" t="s">
        <v>3825</v>
      </c>
      <c r="DN7" t="s">
        <v>3826</v>
      </c>
      <c r="DO7" t="s">
        <v>3827</v>
      </c>
      <c r="DQ7" t="s">
        <v>3828</v>
      </c>
      <c r="DR7" t="s">
        <v>3829</v>
      </c>
      <c r="DS7" t="s">
        <v>3830</v>
      </c>
      <c r="DT7" t="s">
        <v>3476</v>
      </c>
      <c r="DW7" t="s">
        <v>3832</v>
      </c>
      <c r="DX7" t="s">
        <v>3833</v>
      </c>
      <c r="DY7" t="s">
        <v>3834</v>
      </c>
      <c r="EF7" s="2" t="s">
        <v>3835</v>
      </c>
      <c r="EK7" s="2" t="s">
        <v>3762</v>
      </c>
      <c r="EL7" s="2" t="s">
        <v>3836</v>
      </c>
      <c r="EM7" s="2" t="s">
        <v>3837</v>
      </c>
      <c r="EN7" s="2" t="s">
        <v>3838</v>
      </c>
      <c r="EP7" s="2" t="s">
        <v>3839</v>
      </c>
      <c r="ER7" s="2" t="s">
        <v>3770</v>
      </c>
      <c r="ES7" s="2" t="s">
        <v>5195</v>
      </c>
      <c r="EU7" s="2" t="s">
        <v>3669</v>
      </c>
      <c r="EV7" s="2" t="s">
        <v>5277</v>
      </c>
    </row>
    <row r="8" spans="2:152" x14ac:dyDescent="0.25">
      <c r="B8" s="2" t="s">
        <v>3840</v>
      </c>
      <c r="C8" s="2" t="s">
        <v>3841</v>
      </c>
      <c r="F8" s="2" t="s">
        <v>3842</v>
      </c>
      <c r="N8" s="2" t="s">
        <v>3843</v>
      </c>
      <c r="AL8" s="2" t="s">
        <v>3844</v>
      </c>
      <c r="AO8" t="s">
        <v>5778</v>
      </c>
      <c r="AQ8" t="s">
        <v>3845</v>
      </c>
      <c r="AR8" t="s">
        <v>3846</v>
      </c>
      <c r="AS8" t="s">
        <v>3847</v>
      </c>
      <c r="AT8" t="s">
        <v>3848</v>
      </c>
      <c r="BB8" t="s">
        <v>3849</v>
      </c>
      <c r="BC8" t="s">
        <v>3850</v>
      </c>
      <c r="BD8" t="s">
        <v>3851</v>
      </c>
      <c r="BG8" t="s">
        <v>3852</v>
      </c>
      <c r="BH8" t="s">
        <v>3853</v>
      </c>
      <c r="BI8" t="s">
        <v>3854</v>
      </c>
      <c r="BJ8" t="s">
        <v>3855</v>
      </c>
      <c r="BK8" t="s">
        <v>3856</v>
      </c>
      <c r="BL8" t="s">
        <v>3857</v>
      </c>
      <c r="BM8" t="s">
        <v>3858</v>
      </c>
      <c r="BN8" t="s">
        <v>3859</v>
      </c>
      <c r="BO8" t="s">
        <v>3860</v>
      </c>
      <c r="BP8" t="s">
        <v>3861</v>
      </c>
      <c r="BQ8" t="s">
        <v>3862</v>
      </c>
      <c r="BR8" t="s">
        <v>3936</v>
      </c>
      <c r="BS8" t="s">
        <v>3864</v>
      </c>
      <c r="BT8" t="s">
        <v>3865</v>
      </c>
      <c r="BU8" t="s">
        <v>3866</v>
      </c>
      <c r="BV8" t="s">
        <v>3867</v>
      </c>
      <c r="BW8" t="s">
        <v>3868</v>
      </c>
      <c r="BX8" t="s">
        <v>3869</v>
      </c>
      <c r="BY8" t="s">
        <v>3870</v>
      </c>
      <c r="BZ8" t="s">
        <v>3871</v>
      </c>
      <c r="CA8" t="s">
        <v>3872</v>
      </c>
      <c r="CB8" t="s">
        <v>3873</v>
      </c>
      <c r="CE8" t="s">
        <v>3874</v>
      </c>
      <c r="CF8" t="s">
        <v>3875</v>
      </c>
      <c r="CG8" t="s">
        <v>3876</v>
      </c>
      <c r="CH8" t="s">
        <v>3877</v>
      </c>
      <c r="CI8" t="s">
        <v>3878</v>
      </c>
      <c r="CJ8" t="s">
        <v>3879</v>
      </c>
      <c r="CL8" t="s">
        <v>3880</v>
      </c>
      <c r="CM8" t="s">
        <v>3881</v>
      </c>
      <c r="CN8" t="s">
        <v>3882</v>
      </c>
      <c r="CO8" t="s">
        <v>3883</v>
      </c>
      <c r="CP8" t="s">
        <v>3884</v>
      </c>
      <c r="CQ8" t="s">
        <v>3885</v>
      </c>
      <c r="CR8" t="s">
        <v>3886</v>
      </c>
      <c r="CT8" t="s">
        <v>3887</v>
      </c>
      <c r="CV8" t="s">
        <v>3888</v>
      </c>
      <c r="CW8" t="s">
        <v>3889</v>
      </c>
      <c r="CX8" t="s">
        <v>3890</v>
      </c>
      <c r="CZ8" t="s">
        <v>3891</v>
      </c>
      <c r="DA8" t="s">
        <v>3892</v>
      </c>
      <c r="DB8" t="s">
        <v>3893</v>
      </c>
      <c r="DC8" t="s">
        <v>3894</v>
      </c>
      <c r="DE8" t="s">
        <v>3895</v>
      </c>
      <c r="DF8" t="s">
        <v>3896</v>
      </c>
      <c r="DG8" t="s">
        <v>3897</v>
      </c>
      <c r="DH8" t="s">
        <v>3898</v>
      </c>
      <c r="DI8" t="s">
        <v>3899</v>
      </c>
      <c r="DJ8" t="s">
        <v>3900</v>
      </c>
      <c r="DK8" t="s">
        <v>3901</v>
      </c>
      <c r="DM8" t="s">
        <v>3902</v>
      </c>
      <c r="DN8" t="s">
        <v>3903</v>
      </c>
      <c r="DO8" t="s">
        <v>3904</v>
      </c>
      <c r="DQ8" t="s">
        <v>3905</v>
      </c>
      <c r="DR8" t="s">
        <v>3906</v>
      </c>
      <c r="DS8" t="s">
        <v>3907</v>
      </c>
      <c r="DT8" t="s">
        <v>4486</v>
      </c>
      <c r="DW8" t="s">
        <v>3909</v>
      </c>
      <c r="DY8" t="s">
        <v>3910</v>
      </c>
      <c r="EF8" s="2" t="s">
        <v>3911</v>
      </c>
      <c r="EK8" s="2" t="s">
        <v>3842</v>
      </c>
      <c r="EL8" s="2" t="s">
        <v>3912</v>
      </c>
      <c r="EM8" s="2" t="s">
        <v>3913</v>
      </c>
      <c r="EN8" s="2" t="s">
        <v>3914</v>
      </c>
      <c r="EP8" s="2" t="s">
        <v>3915</v>
      </c>
      <c r="ER8" s="2" t="s">
        <v>3849</v>
      </c>
      <c r="ES8" s="2" t="s">
        <v>5196</v>
      </c>
      <c r="EU8" s="2" t="s">
        <v>3677</v>
      </c>
      <c r="EV8" s="2" t="s">
        <v>5278</v>
      </c>
    </row>
    <row r="9" spans="2:152" x14ac:dyDescent="0.25">
      <c r="B9" s="2" t="s">
        <v>3916</v>
      </c>
      <c r="C9" s="2" t="s">
        <v>3917</v>
      </c>
      <c r="F9" s="2" t="s">
        <v>3918</v>
      </c>
      <c r="AL9" s="2" t="s">
        <v>3919</v>
      </c>
      <c r="AO9" t="s">
        <v>5779</v>
      </c>
      <c r="AQ9" t="s">
        <v>3920</v>
      </c>
      <c r="AR9" t="s">
        <v>3921</v>
      </c>
      <c r="AS9" t="s">
        <v>3922</v>
      </c>
      <c r="AT9" t="s">
        <v>3923</v>
      </c>
      <c r="BB9" t="s">
        <v>3924</v>
      </c>
      <c r="BC9" t="s">
        <v>3925</v>
      </c>
      <c r="BD9" t="s">
        <v>3926</v>
      </c>
      <c r="BG9" t="s">
        <v>3927</v>
      </c>
      <c r="BH9" t="s">
        <v>3928</v>
      </c>
      <c r="BI9" t="s">
        <v>3929</v>
      </c>
      <c r="BL9" t="s">
        <v>3930</v>
      </c>
      <c r="BM9" t="s">
        <v>3931</v>
      </c>
      <c r="BN9" t="s">
        <v>3932</v>
      </c>
      <c r="BO9" t="s">
        <v>3933</v>
      </c>
      <c r="BP9" t="s">
        <v>3934</v>
      </c>
      <c r="BQ9" t="s">
        <v>3935</v>
      </c>
      <c r="BR9" t="s">
        <v>4007</v>
      </c>
      <c r="BS9" t="s">
        <v>3937</v>
      </c>
      <c r="BT9" t="s">
        <v>3938</v>
      </c>
      <c r="BU9" t="s">
        <v>3939</v>
      </c>
      <c r="BV9" t="s">
        <v>3940</v>
      </c>
      <c r="BW9" t="s">
        <v>3941</v>
      </c>
      <c r="BX9" t="s">
        <v>3942</v>
      </c>
      <c r="BY9" t="s">
        <v>3943</v>
      </c>
      <c r="BZ9" t="s">
        <v>3944</v>
      </c>
      <c r="CA9" t="s">
        <v>3945</v>
      </c>
      <c r="CB9" t="s">
        <v>3946</v>
      </c>
      <c r="CE9" t="s">
        <v>3947</v>
      </c>
      <c r="CF9" t="s">
        <v>3948</v>
      </c>
      <c r="CH9" t="s">
        <v>3949</v>
      </c>
      <c r="CI9" t="s">
        <v>3950</v>
      </c>
      <c r="CJ9" t="s">
        <v>3951</v>
      </c>
      <c r="CL9" t="s">
        <v>3952</v>
      </c>
      <c r="CM9" t="s">
        <v>3953</v>
      </c>
      <c r="CN9" t="s">
        <v>3954</v>
      </c>
      <c r="CO9" t="s">
        <v>3955</v>
      </c>
      <c r="CP9" t="s">
        <v>3956</v>
      </c>
      <c r="CQ9" t="s">
        <v>3957</v>
      </c>
      <c r="CR9" t="s">
        <v>3958</v>
      </c>
      <c r="CT9" t="s">
        <v>3959</v>
      </c>
      <c r="CV9" t="s">
        <v>3960</v>
      </c>
      <c r="CW9" t="s">
        <v>3961</v>
      </c>
      <c r="CZ9" t="s">
        <v>3962</v>
      </c>
      <c r="DA9" t="s">
        <v>3963</v>
      </c>
      <c r="DB9" t="s">
        <v>3964</v>
      </c>
      <c r="DC9" t="s">
        <v>3965</v>
      </c>
      <c r="DE9" t="s">
        <v>3966</v>
      </c>
      <c r="DF9" t="s">
        <v>3967</v>
      </c>
      <c r="DG9" t="s">
        <v>3968</v>
      </c>
      <c r="DH9" t="s">
        <v>3969</v>
      </c>
      <c r="DI9" t="s">
        <v>3970</v>
      </c>
      <c r="DJ9" t="s">
        <v>3971</v>
      </c>
      <c r="DK9" t="s">
        <v>3972</v>
      </c>
      <c r="DM9" t="s">
        <v>3973</v>
      </c>
      <c r="DN9" t="s">
        <v>3974</v>
      </c>
      <c r="DO9" t="s">
        <v>3975</v>
      </c>
      <c r="DQ9" t="s">
        <v>3976</v>
      </c>
      <c r="DR9" t="s">
        <v>3977</v>
      </c>
      <c r="DS9" t="s">
        <v>3978</v>
      </c>
      <c r="DT9" t="s">
        <v>3376</v>
      </c>
      <c r="DY9" t="s">
        <v>3980</v>
      </c>
      <c r="EF9" s="2" t="s">
        <v>3981</v>
      </c>
      <c r="EK9" s="2" t="s">
        <v>3982</v>
      </c>
      <c r="EL9" s="2" t="s">
        <v>3983</v>
      </c>
      <c r="EM9" s="2" t="s">
        <v>3984</v>
      </c>
      <c r="EN9" s="2" t="s">
        <v>3985</v>
      </c>
      <c r="EP9" s="2" t="s">
        <v>3986</v>
      </c>
      <c r="ER9" s="2" t="s">
        <v>3924</v>
      </c>
      <c r="ES9" s="2" t="s">
        <v>5197</v>
      </c>
      <c r="EU9" s="2" t="s">
        <v>3762</v>
      </c>
      <c r="EV9" s="2" t="s">
        <v>5279</v>
      </c>
    </row>
    <row r="10" spans="2:152" x14ac:dyDescent="0.25">
      <c r="B10" s="2" t="s">
        <v>3987</v>
      </c>
      <c r="C10" s="2" t="s">
        <v>3988</v>
      </c>
      <c r="F10" s="2" t="s">
        <v>3989</v>
      </c>
      <c r="AL10" s="2" t="s">
        <v>3990</v>
      </c>
      <c r="AO10" t="s">
        <v>5780</v>
      </c>
      <c r="AQ10" t="s">
        <v>3991</v>
      </c>
      <c r="AR10" t="s">
        <v>3992</v>
      </c>
      <c r="AS10" t="s">
        <v>3993</v>
      </c>
      <c r="AT10" t="s">
        <v>3994</v>
      </c>
      <c r="BB10" t="s">
        <v>3995</v>
      </c>
      <c r="BC10" t="s">
        <v>3996</v>
      </c>
      <c r="BD10" t="s">
        <v>3997</v>
      </c>
      <c r="BG10" t="s">
        <v>3998</v>
      </c>
      <c r="BH10" t="s">
        <v>3999</v>
      </c>
      <c r="BI10" t="s">
        <v>4000</v>
      </c>
      <c r="BL10" t="s">
        <v>4001</v>
      </c>
      <c r="BM10" t="s">
        <v>4002</v>
      </c>
      <c r="BN10" t="s">
        <v>4003</v>
      </c>
      <c r="BO10" t="s">
        <v>4004</v>
      </c>
      <c r="BP10" t="s">
        <v>4005</v>
      </c>
      <c r="BQ10" t="s">
        <v>4006</v>
      </c>
      <c r="BR10" t="s">
        <v>4463</v>
      </c>
      <c r="BS10" t="s">
        <v>4008</v>
      </c>
      <c r="BT10" t="s">
        <v>4009</v>
      </c>
      <c r="BU10" t="s">
        <v>4010</v>
      </c>
      <c r="BV10" t="s">
        <v>4011</v>
      </c>
      <c r="BW10" t="s">
        <v>4012</v>
      </c>
      <c r="BX10" t="s">
        <v>4013</v>
      </c>
      <c r="BY10" t="s">
        <v>4014</v>
      </c>
      <c r="BZ10" t="s">
        <v>4015</v>
      </c>
      <c r="CA10" t="s">
        <v>4016</v>
      </c>
      <c r="CB10" t="s">
        <v>4017</v>
      </c>
      <c r="CE10" t="s">
        <v>4018</v>
      </c>
      <c r="CF10" t="s">
        <v>4019</v>
      </c>
      <c r="CH10" t="s">
        <v>4020</v>
      </c>
      <c r="CI10" t="s">
        <v>4021</v>
      </c>
      <c r="CJ10" t="s">
        <v>4022</v>
      </c>
      <c r="CL10" t="s">
        <v>4023</v>
      </c>
      <c r="CM10" t="s">
        <v>4024</v>
      </c>
      <c r="CO10" t="s">
        <v>4025</v>
      </c>
      <c r="CQ10" t="s">
        <v>4026</v>
      </c>
      <c r="CR10" t="s">
        <v>4027</v>
      </c>
      <c r="CT10" t="s">
        <v>4028</v>
      </c>
      <c r="CV10" t="s">
        <v>4029</v>
      </c>
      <c r="CW10" t="s">
        <v>4030</v>
      </c>
      <c r="CZ10" t="s">
        <v>4031</v>
      </c>
      <c r="DA10" t="s">
        <v>4032</v>
      </c>
      <c r="DB10" t="s">
        <v>4033</v>
      </c>
      <c r="DC10" t="s">
        <v>4034</v>
      </c>
      <c r="DE10" t="s">
        <v>4035</v>
      </c>
      <c r="DF10" t="s">
        <v>4036</v>
      </c>
      <c r="DG10" t="s">
        <v>4037</v>
      </c>
      <c r="DH10" t="s">
        <v>4038</v>
      </c>
      <c r="DI10" t="s">
        <v>4039</v>
      </c>
      <c r="DJ10" t="s">
        <v>4040</v>
      </c>
      <c r="DK10" t="s">
        <v>4041</v>
      </c>
      <c r="DM10" t="s">
        <v>4042</v>
      </c>
      <c r="DN10" t="s">
        <v>4043</v>
      </c>
      <c r="DO10" t="s">
        <v>4044</v>
      </c>
      <c r="DQ10" t="s">
        <v>4045</v>
      </c>
      <c r="DR10" t="s">
        <v>4046</v>
      </c>
      <c r="DS10" t="s">
        <v>4047</v>
      </c>
      <c r="DT10" t="s">
        <v>4244</v>
      </c>
      <c r="DY10" t="s">
        <v>4049</v>
      </c>
      <c r="EF10" s="2" t="s">
        <v>4050</v>
      </c>
      <c r="EK10" s="2" t="s">
        <v>4051</v>
      </c>
      <c r="EL10" s="2" t="s">
        <v>4052</v>
      </c>
      <c r="EM10" s="2" t="s">
        <v>4053</v>
      </c>
      <c r="EN10" s="2" t="s">
        <v>4054</v>
      </c>
      <c r="EP10" s="2" t="s">
        <v>4055</v>
      </c>
      <c r="ER10" s="2" t="s">
        <v>3995</v>
      </c>
      <c r="ES10" s="2" t="s">
        <v>5198</v>
      </c>
      <c r="EU10" s="2" t="s">
        <v>3842</v>
      </c>
      <c r="EV10" s="2" t="s">
        <v>5280</v>
      </c>
    </row>
    <row r="11" spans="2:152" x14ac:dyDescent="0.25">
      <c r="B11" s="2" t="s">
        <v>4056</v>
      </c>
      <c r="C11" s="2" t="s">
        <v>4057</v>
      </c>
      <c r="F11" s="2" t="s">
        <v>4058</v>
      </c>
      <c r="AL11" s="2" t="s">
        <v>4059</v>
      </c>
      <c r="AO11" t="s">
        <v>5781</v>
      </c>
      <c r="AQ11" t="s">
        <v>4060</v>
      </c>
      <c r="AR11" t="s">
        <v>4061</v>
      </c>
      <c r="AS11" t="s">
        <v>4062</v>
      </c>
      <c r="AT11" t="s">
        <v>4063</v>
      </c>
      <c r="BB11" t="s">
        <v>4064</v>
      </c>
      <c r="BC11" t="s">
        <v>4065</v>
      </c>
      <c r="BD11" t="s">
        <v>4066</v>
      </c>
      <c r="BG11" t="s">
        <v>4067</v>
      </c>
      <c r="BH11" t="s">
        <v>4068</v>
      </c>
      <c r="BI11" t="s">
        <v>4069</v>
      </c>
      <c r="BL11" t="s">
        <v>4070</v>
      </c>
      <c r="BM11" t="s">
        <v>4071</v>
      </c>
      <c r="BN11" t="s">
        <v>4072</v>
      </c>
      <c r="BO11" t="s">
        <v>4073</v>
      </c>
      <c r="BP11" t="s">
        <v>4074</v>
      </c>
      <c r="BQ11" t="s">
        <v>4075</v>
      </c>
      <c r="BR11" t="s">
        <v>4322</v>
      </c>
      <c r="BS11" t="s">
        <v>4077</v>
      </c>
      <c r="BT11" t="s">
        <v>4078</v>
      </c>
      <c r="BU11" t="s">
        <v>4079</v>
      </c>
      <c r="BV11" t="s">
        <v>4080</v>
      </c>
      <c r="BW11" t="s">
        <v>4081</v>
      </c>
      <c r="BX11" t="s">
        <v>4082</v>
      </c>
      <c r="BY11" t="s">
        <v>4083</v>
      </c>
      <c r="BZ11" t="s">
        <v>4084</v>
      </c>
      <c r="CA11" t="s">
        <v>4085</v>
      </c>
      <c r="CB11" t="s">
        <v>4086</v>
      </c>
      <c r="CE11" t="s">
        <v>4087</v>
      </c>
      <c r="CF11" t="s">
        <v>4088</v>
      </c>
      <c r="CH11" t="s">
        <v>4089</v>
      </c>
      <c r="CI11" t="s">
        <v>4090</v>
      </c>
      <c r="CJ11" t="s">
        <v>4091</v>
      </c>
      <c r="CL11" t="s">
        <v>4092</v>
      </c>
      <c r="CM11" t="s">
        <v>4093</v>
      </c>
      <c r="CO11" t="s">
        <v>4094</v>
      </c>
      <c r="CQ11" t="s">
        <v>4095</v>
      </c>
      <c r="CR11" t="s">
        <v>4096</v>
      </c>
      <c r="CT11" t="s">
        <v>4097</v>
      </c>
      <c r="CV11" t="s">
        <v>4098</v>
      </c>
      <c r="CW11" t="s">
        <v>4099</v>
      </c>
      <c r="CZ11" t="s">
        <v>4100</v>
      </c>
      <c r="DA11" t="s">
        <v>4101</v>
      </c>
      <c r="DB11" t="s">
        <v>4102</v>
      </c>
      <c r="DC11" t="s">
        <v>4103</v>
      </c>
      <c r="DE11" t="s">
        <v>4104</v>
      </c>
      <c r="DF11" t="s">
        <v>4105</v>
      </c>
      <c r="DG11" t="s">
        <v>4106</v>
      </c>
      <c r="DH11" t="s">
        <v>4107</v>
      </c>
      <c r="DI11" t="s">
        <v>4108</v>
      </c>
      <c r="DJ11" t="s">
        <v>4109</v>
      </c>
      <c r="DK11" t="s">
        <v>4110</v>
      </c>
      <c r="DM11" t="s">
        <v>4111</v>
      </c>
      <c r="DN11" t="s">
        <v>4112</v>
      </c>
      <c r="DO11" t="s">
        <v>4113</v>
      </c>
      <c r="DQ11" t="s">
        <v>4114</v>
      </c>
      <c r="DR11" t="s">
        <v>4115</v>
      </c>
      <c r="DS11" t="s">
        <v>4116</v>
      </c>
      <c r="DT11" t="s">
        <v>3750</v>
      </c>
      <c r="EK11" s="2" t="s">
        <v>4118</v>
      </c>
      <c r="EL11" s="2" t="s">
        <v>4119</v>
      </c>
      <c r="EM11" s="2" t="s">
        <v>4120</v>
      </c>
      <c r="EN11" s="2" t="s">
        <v>4121</v>
      </c>
      <c r="EP11" s="2" t="s">
        <v>4122</v>
      </c>
      <c r="ER11" s="2" t="s">
        <v>4064</v>
      </c>
      <c r="ES11" s="2" t="s">
        <v>5199</v>
      </c>
      <c r="EU11" s="2" t="s">
        <v>3982</v>
      </c>
      <c r="EV11" s="2" t="s">
        <v>5281</v>
      </c>
    </row>
    <row r="12" spans="2:152" x14ac:dyDescent="0.25">
      <c r="B12" s="2" t="s">
        <v>4123</v>
      </c>
      <c r="C12" s="2" t="s">
        <v>4124</v>
      </c>
      <c r="F12" s="2" t="s">
        <v>4125</v>
      </c>
      <c r="AL12" s="2" t="s">
        <v>4126</v>
      </c>
      <c r="AO12" t="s">
        <v>5782</v>
      </c>
      <c r="AQ12" t="s">
        <v>4127</v>
      </c>
      <c r="AR12" t="s">
        <v>4128</v>
      </c>
      <c r="AS12" t="s">
        <v>4129</v>
      </c>
      <c r="AT12" t="s">
        <v>4130</v>
      </c>
      <c r="BB12" t="s">
        <v>4131</v>
      </c>
      <c r="BC12" t="s">
        <v>4132</v>
      </c>
      <c r="BD12" t="s">
        <v>4133</v>
      </c>
      <c r="BG12" t="s">
        <v>4134</v>
      </c>
      <c r="BH12" t="s">
        <v>4135</v>
      </c>
      <c r="BI12" t="s">
        <v>4136</v>
      </c>
      <c r="BL12" t="s">
        <v>4137</v>
      </c>
      <c r="BM12" t="s">
        <v>4138</v>
      </c>
      <c r="BN12" t="s">
        <v>4139</v>
      </c>
      <c r="BO12" t="s">
        <v>4140</v>
      </c>
      <c r="BP12" t="s">
        <v>4141</v>
      </c>
      <c r="BQ12" t="s">
        <v>4142</v>
      </c>
      <c r="BR12" t="s">
        <v>4373</v>
      </c>
      <c r="BS12" t="s">
        <v>4144</v>
      </c>
      <c r="BT12" t="s">
        <v>4145</v>
      </c>
      <c r="BU12" t="s">
        <v>4146</v>
      </c>
      <c r="BV12" t="s">
        <v>4147</v>
      </c>
      <c r="BW12" t="s">
        <v>4148</v>
      </c>
      <c r="BX12" t="s">
        <v>4149</v>
      </c>
      <c r="BY12" t="s">
        <v>4150</v>
      </c>
      <c r="CA12" t="s">
        <v>4151</v>
      </c>
      <c r="CB12" t="s">
        <v>4152</v>
      </c>
      <c r="CE12" t="s">
        <v>4153</v>
      </c>
      <c r="CF12" t="s">
        <v>4154</v>
      </c>
      <c r="CH12" t="s">
        <v>4155</v>
      </c>
      <c r="CI12" t="s">
        <v>4156</v>
      </c>
      <c r="CJ12" t="s">
        <v>4157</v>
      </c>
      <c r="CL12" t="s">
        <v>4158</v>
      </c>
      <c r="CM12" t="s">
        <v>4159</v>
      </c>
      <c r="CO12" t="s">
        <v>4160</v>
      </c>
      <c r="CQ12" t="s">
        <v>4161</v>
      </c>
      <c r="CR12" t="s">
        <v>4162</v>
      </c>
      <c r="CT12" t="s">
        <v>4163</v>
      </c>
      <c r="CV12" t="s">
        <v>4164</v>
      </c>
      <c r="CW12" t="s">
        <v>4165</v>
      </c>
      <c r="CZ12" t="s">
        <v>4166</v>
      </c>
      <c r="DA12" t="s">
        <v>4167</v>
      </c>
      <c r="DB12" t="s">
        <v>4168</v>
      </c>
      <c r="DC12" t="s">
        <v>4169</v>
      </c>
      <c r="DE12" t="s">
        <v>4170</v>
      </c>
      <c r="DF12" t="s">
        <v>4171</v>
      </c>
      <c r="DG12" t="s">
        <v>4172</v>
      </c>
      <c r="DH12" t="s">
        <v>4173</v>
      </c>
      <c r="DI12" t="s">
        <v>4174</v>
      </c>
      <c r="DJ12" t="s">
        <v>4175</v>
      </c>
      <c r="DK12" t="s">
        <v>4176</v>
      </c>
      <c r="DM12" t="s">
        <v>4177</v>
      </c>
      <c r="DN12" t="s">
        <v>4178</v>
      </c>
      <c r="DO12" t="s">
        <v>4179</v>
      </c>
      <c r="DQ12" t="s">
        <v>4180</v>
      </c>
      <c r="DR12" t="s">
        <v>4181</v>
      </c>
      <c r="DS12" t="s">
        <v>4182</v>
      </c>
      <c r="DT12" t="s">
        <v>3662</v>
      </c>
      <c r="EK12" s="2" t="s">
        <v>4184</v>
      </c>
      <c r="EL12" s="2" t="s">
        <v>4185</v>
      </c>
      <c r="EM12" s="2" t="s">
        <v>4186</v>
      </c>
      <c r="EN12" s="2" t="s">
        <v>4187</v>
      </c>
      <c r="EP12" s="2" t="s">
        <v>4188</v>
      </c>
      <c r="ER12" s="2" t="s">
        <v>4131</v>
      </c>
      <c r="ES12" s="2" t="s">
        <v>5200</v>
      </c>
      <c r="EU12" s="2" t="s">
        <v>4051</v>
      </c>
      <c r="EV12" s="2" t="s">
        <v>5282</v>
      </c>
    </row>
    <row r="13" spans="2:152" x14ac:dyDescent="0.25">
      <c r="B13" s="2" t="s">
        <v>4189</v>
      </c>
      <c r="C13" s="2" t="s">
        <v>4190</v>
      </c>
      <c r="F13" s="2" t="s">
        <v>4191</v>
      </c>
      <c r="AL13" s="2" t="s">
        <v>4192</v>
      </c>
      <c r="AO13" t="s">
        <v>5783</v>
      </c>
      <c r="AQ13" t="s">
        <v>4193</v>
      </c>
      <c r="AR13" t="s">
        <v>4194</v>
      </c>
      <c r="AS13" t="s">
        <v>4195</v>
      </c>
      <c r="AT13" t="s">
        <v>4196</v>
      </c>
      <c r="BB13" t="s">
        <v>4197</v>
      </c>
      <c r="BC13" t="s">
        <v>4198</v>
      </c>
      <c r="BD13" t="s">
        <v>4199</v>
      </c>
      <c r="BG13" t="s">
        <v>4200</v>
      </c>
      <c r="BH13" t="s">
        <v>4201</v>
      </c>
      <c r="BI13" t="s">
        <v>4202</v>
      </c>
      <c r="BM13" t="s">
        <v>4203</v>
      </c>
      <c r="BN13" t="s">
        <v>4204</v>
      </c>
      <c r="BO13" t="s">
        <v>4205</v>
      </c>
      <c r="BP13" t="s">
        <v>4206</v>
      </c>
      <c r="BQ13" t="s">
        <v>4207</v>
      </c>
      <c r="BR13" t="s">
        <v>3863</v>
      </c>
      <c r="BS13" t="s">
        <v>4209</v>
      </c>
      <c r="BT13" t="s">
        <v>4210</v>
      </c>
      <c r="BU13" t="s">
        <v>4211</v>
      </c>
      <c r="BV13" t="s">
        <v>4212</v>
      </c>
      <c r="BW13" t="s">
        <v>4213</v>
      </c>
      <c r="BX13" t="s">
        <v>4214</v>
      </c>
      <c r="BY13" t="s">
        <v>4215</v>
      </c>
      <c r="CA13" t="s">
        <v>4216</v>
      </c>
      <c r="CB13" t="s">
        <v>4217</v>
      </c>
      <c r="CE13" t="s">
        <v>4218</v>
      </c>
      <c r="CF13" t="s">
        <v>4219</v>
      </c>
      <c r="CH13" t="s">
        <v>4220</v>
      </c>
      <c r="CI13" t="s">
        <v>4221</v>
      </c>
      <c r="CM13" t="s">
        <v>4222</v>
      </c>
      <c r="CO13" t="s">
        <v>4223</v>
      </c>
      <c r="CQ13" t="s">
        <v>4224</v>
      </c>
      <c r="CR13" t="s">
        <v>4225</v>
      </c>
      <c r="CT13" t="s">
        <v>4226</v>
      </c>
      <c r="CV13" t="s">
        <v>4227</v>
      </c>
      <c r="CW13" t="s">
        <v>4228</v>
      </c>
      <c r="CZ13" t="s">
        <v>4229</v>
      </c>
      <c r="DA13" t="s">
        <v>4230</v>
      </c>
      <c r="DB13" t="s">
        <v>4231</v>
      </c>
      <c r="DC13" t="s">
        <v>4232</v>
      </c>
      <c r="DE13" t="s">
        <v>4233</v>
      </c>
      <c r="DF13" t="s">
        <v>4234</v>
      </c>
      <c r="DG13" t="s">
        <v>4235</v>
      </c>
      <c r="DH13" t="s">
        <v>4236</v>
      </c>
      <c r="DI13" t="s">
        <v>4237</v>
      </c>
      <c r="DJ13" t="s">
        <v>4238</v>
      </c>
      <c r="DK13" t="s">
        <v>4239</v>
      </c>
      <c r="DM13" t="s">
        <v>4240</v>
      </c>
      <c r="DN13" t="s">
        <v>4241</v>
      </c>
      <c r="DO13" t="s">
        <v>4242</v>
      </c>
      <c r="DS13" t="s">
        <v>4243</v>
      </c>
      <c r="DT13" t="s">
        <v>3274</v>
      </c>
      <c r="EK13" s="2" t="s">
        <v>4245</v>
      </c>
      <c r="EL13" s="2" t="s">
        <v>4246</v>
      </c>
      <c r="EM13" s="2" t="s">
        <v>4247</v>
      </c>
      <c r="EN13" s="2" t="s">
        <v>4248</v>
      </c>
      <c r="EP13" s="2" t="s">
        <v>4249</v>
      </c>
      <c r="ER13" s="2" t="s">
        <v>4197</v>
      </c>
      <c r="ES13" s="2" t="s">
        <v>5201</v>
      </c>
      <c r="EU13" s="2" t="s">
        <v>4118</v>
      </c>
      <c r="EV13" s="2" t="s">
        <v>5283</v>
      </c>
    </row>
    <row r="14" spans="2:152" x14ac:dyDescent="0.25">
      <c r="B14" s="2" t="s">
        <v>4250</v>
      </c>
      <c r="C14" s="2" t="s">
        <v>4251</v>
      </c>
      <c r="F14" s="2" t="s">
        <v>4252</v>
      </c>
      <c r="AL14" s="2" t="s">
        <v>4253</v>
      </c>
      <c r="AO14" t="s">
        <v>5784</v>
      </c>
      <c r="AQ14" t="s">
        <v>4254</v>
      </c>
      <c r="AR14" t="s">
        <v>4255</v>
      </c>
      <c r="AS14" t="s">
        <v>4256</v>
      </c>
      <c r="AT14" t="s">
        <v>4257</v>
      </c>
      <c r="BB14" t="s">
        <v>4258</v>
      </c>
      <c r="BC14" t="s">
        <v>4259</v>
      </c>
      <c r="BD14" t="s">
        <v>4260</v>
      </c>
      <c r="BG14" t="s">
        <v>4261</v>
      </c>
      <c r="BM14" t="s">
        <v>4262</v>
      </c>
      <c r="BN14" t="s">
        <v>4263</v>
      </c>
      <c r="BO14" t="s">
        <v>4264</v>
      </c>
      <c r="BP14" t="s">
        <v>4265</v>
      </c>
      <c r="BQ14" t="s">
        <v>4266</v>
      </c>
      <c r="BR14" t="s">
        <v>4420</v>
      </c>
      <c r="BS14" t="s">
        <v>4268</v>
      </c>
      <c r="BT14" t="s">
        <v>4269</v>
      </c>
      <c r="BU14" t="s">
        <v>4270</v>
      </c>
      <c r="BV14" t="s">
        <v>4271</v>
      </c>
      <c r="BW14" t="s">
        <v>4272</v>
      </c>
      <c r="BX14" t="s">
        <v>4273</v>
      </c>
      <c r="BY14" t="s">
        <v>4274</v>
      </c>
      <c r="CA14" t="s">
        <v>4275</v>
      </c>
      <c r="CE14" t="s">
        <v>4276</v>
      </c>
      <c r="CF14" t="s">
        <v>4277</v>
      </c>
      <c r="CH14" t="s">
        <v>4278</v>
      </c>
      <c r="CI14" t="s">
        <v>4279</v>
      </c>
      <c r="CM14" t="s">
        <v>4280</v>
      </c>
      <c r="CO14" t="s">
        <v>4281</v>
      </c>
      <c r="CQ14" t="s">
        <v>4282</v>
      </c>
      <c r="CT14" t="s">
        <v>4283</v>
      </c>
      <c r="CW14" t="s">
        <v>4284</v>
      </c>
      <c r="CZ14" t="s">
        <v>4285</v>
      </c>
      <c r="DA14" t="s">
        <v>4286</v>
      </c>
      <c r="DB14" t="s">
        <v>4287</v>
      </c>
      <c r="DC14" t="s">
        <v>4288</v>
      </c>
      <c r="DE14" t="s">
        <v>4289</v>
      </c>
      <c r="DF14" t="s">
        <v>4290</v>
      </c>
      <c r="DG14" t="s">
        <v>4291</v>
      </c>
      <c r="DH14" t="s">
        <v>4292</v>
      </c>
      <c r="DI14" t="s">
        <v>4293</v>
      </c>
      <c r="DJ14" t="s">
        <v>4294</v>
      </c>
      <c r="DK14" t="s">
        <v>4295</v>
      </c>
      <c r="DM14" t="s">
        <v>4296</v>
      </c>
      <c r="DN14" t="s">
        <v>4297</v>
      </c>
      <c r="DO14" t="s">
        <v>4298</v>
      </c>
      <c r="DS14" t="s">
        <v>4299</v>
      </c>
      <c r="DT14" t="s">
        <v>4562</v>
      </c>
      <c r="EK14" s="2" t="s">
        <v>4301</v>
      </c>
      <c r="EL14" s="2" t="s">
        <v>4302</v>
      </c>
      <c r="EM14" s="2" t="s">
        <v>4303</v>
      </c>
      <c r="EN14" s="2" t="s">
        <v>4304</v>
      </c>
      <c r="EP14" s="2" t="s">
        <v>4305</v>
      </c>
      <c r="ER14" s="2" t="s">
        <v>4258</v>
      </c>
      <c r="ES14" s="2" t="s">
        <v>5202</v>
      </c>
      <c r="EU14" s="2" t="s">
        <v>4184</v>
      </c>
      <c r="EV14" s="2" t="s">
        <v>5284</v>
      </c>
    </row>
    <row r="15" spans="2:152" x14ac:dyDescent="0.25">
      <c r="B15" s="2" t="s">
        <v>4306</v>
      </c>
      <c r="C15" s="2" t="s">
        <v>4307</v>
      </c>
      <c r="F15" s="2" t="s">
        <v>4308</v>
      </c>
      <c r="AO15" t="s">
        <v>5785</v>
      </c>
      <c r="AQ15" t="s">
        <v>4309</v>
      </c>
      <c r="AR15" t="s">
        <v>4310</v>
      </c>
      <c r="AS15" t="s">
        <v>4311</v>
      </c>
      <c r="AT15" t="s">
        <v>4312</v>
      </c>
      <c r="BB15" t="s">
        <v>4313</v>
      </c>
      <c r="BC15" t="s">
        <v>4314</v>
      </c>
      <c r="BD15" t="s">
        <v>4315</v>
      </c>
      <c r="BG15" t="s">
        <v>4316</v>
      </c>
      <c r="BM15" t="s">
        <v>4317</v>
      </c>
      <c r="BN15" t="s">
        <v>4318</v>
      </c>
      <c r="BO15" t="s">
        <v>4319</v>
      </c>
      <c r="BP15" t="s">
        <v>4320</v>
      </c>
      <c r="BQ15" t="s">
        <v>4321</v>
      </c>
      <c r="BR15" t="s">
        <v>3423</v>
      </c>
      <c r="BS15" t="s">
        <v>4323</v>
      </c>
      <c r="BT15" t="s">
        <v>4324</v>
      </c>
      <c r="BU15" t="s">
        <v>4325</v>
      </c>
      <c r="BV15" t="s">
        <v>4326</v>
      </c>
      <c r="BW15" t="s">
        <v>4327</v>
      </c>
      <c r="BX15" t="s">
        <v>4328</v>
      </c>
      <c r="BY15" t="s">
        <v>4329</v>
      </c>
      <c r="CA15" t="s">
        <v>4330</v>
      </c>
      <c r="CE15" t="s">
        <v>4331</v>
      </c>
      <c r="CF15" t="s">
        <v>4332</v>
      </c>
      <c r="CH15" t="s">
        <v>4333</v>
      </c>
      <c r="CI15" t="s">
        <v>4334</v>
      </c>
      <c r="CO15" t="s">
        <v>4335</v>
      </c>
      <c r="CQ15" t="s">
        <v>4336</v>
      </c>
      <c r="CT15" t="s">
        <v>4337</v>
      </c>
      <c r="CW15" t="s">
        <v>4338</v>
      </c>
      <c r="CZ15" t="s">
        <v>4339</v>
      </c>
      <c r="DA15" t="s">
        <v>4340</v>
      </c>
      <c r="DC15" t="s">
        <v>4341</v>
      </c>
      <c r="DE15" t="s">
        <v>4342</v>
      </c>
      <c r="DF15" t="s">
        <v>4343</v>
      </c>
      <c r="DG15" t="s">
        <v>4344</v>
      </c>
      <c r="DH15" t="s">
        <v>4345</v>
      </c>
      <c r="DI15" t="s">
        <v>4346</v>
      </c>
      <c r="DJ15" t="s">
        <v>4347</v>
      </c>
      <c r="DK15" t="s">
        <v>4348</v>
      </c>
      <c r="DM15" t="s">
        <v>4349</v>
      </c>
      <c r="DO15" t="s">
        <v>4350</v>
      </c>
      <c r="DS15" t="s">
        <v>4351</v>
      </c>
      <c r="DT15" t="s">
        <v>3571</v>
      </c>
      <c r="EK15" s="2" t="s">
        <v>4353</v>
      </c>
      <c r="EL15" s="2" t="s">
        <v>4354</v>
      </c>
      <c r="EM15" s="2" t="s">
        <v>4355</v>
      </c>
      <c r="EN15" s="2" t="s">
        <v>4356</v>
      </c>
      <c r="ER15" s="2" t="s">
        <v>4313</v>
      </c>
      <c r="ES15" s="2" t="s">
        <v>5203</v>
      </c>
      <c r="EU15" s="2" t="s">
        <v>4245</v>
      </c>
      <c r="EV15" s="2" t="s">
        <v>5285</v>
      </c>
    </row>
    <row r="16" spans="2:152" x14ac:dyDescent="0.25">
      <c r="B16" s="2" t="s">
        <v>4357</v>
      </c>
      <c r="C16" s="2" t="s">
        <v>4358</v>
      </c>
      <c r="F16" s="2" t="s">
        <v>4359</v>
      </c>
      <c r="AO16" t="s">
        <v>5786</v>
      </c>
      <c r="AQ16" t="s">
        <v>4360</v>
      </c>
      <c r="AR16" t="s">
        <v>4361</v>
      </c>
      <c r="AS16" t="s">
        <v>4362</v>
      </c>
      <c r="AT16" t="s">
        <v>4363</v>
      </c>
      <c r="BB16" t="s">
        <v>4364</v>
      </c>
      <c r="BC16" t="s">
        <v>4365</v>
      </c>
      <c r="BD16" t="s">
        <v>4366</v>
      </c>
      <c r="BG16" t="s">
        <v>4367</v>
      </c>
      <c r="BM16" t="s">
        <v>4368</v>
      </c>
      <c r="BN16" t="s">
        <v>4369</v>
      </c>
      <c r="BO16" t="s">
        <v>4370</v>
      </c>
      <c r="BP16" t="s">
        <v>4371</v>
      </c>
      <c r="BQ16" t="s">
        <v>4372</v>
      </c>
      <c r="BR16" t="s">
        <v>3701</v>
      </c>
      <c r="BS16" t="s">
        <v>4374</v>
      </c>
      <c r="BT16" t="s">
        <v>4375</v>
      </c>
      <c r="BU16" t="s">
        <v>4376</v>
      </c>
      <c r="BV16" t="s">
        <v>4377</v>
      </c>
      <c r="BW16" t="s">
        <v>4378</v>
      </c>
      <c r="BX16" t="s">
        <v>4379</v>
      </c>
      <c r="BY16" t="s">
        <v>4380</v>
      </c>
      <c r="CA16" t="s">
        <v>4381</v>
      </c>
      <c r="CE16" t="s">
        <v>4382</v>
      </c>
      <c r="CF16" t="s">
        <v>4383</v>
      </c>
      <c r="CH16" t="s">
        <v>4384</v>
      </c>
      <c r="CO16" t="s">
        <v>4385</v>
      </c>
      <c r="CT16" t="s">
        <v>4386</v>
      </c>
      <c r="CZ16" t="s">
        <v>4387</v>
      </c>
      <c r="DA16" t="s">
        <v>4388</v>
      </c>
      <c r="DC16" t="s">
        <v>4389</v>
      </c>
      <c r="DE16" t="s">
        <v>4390</v>
      </c>
      <c r="DF16" t="s">
        <v>4391</v>
      </c>
      <c r="DG16" t="s">
        <v>4392</v>
      </c>
      <c r="DH16" t="s">
        <v>4393</v>
      </c>
      <c r="DI16" t="s">
        <v>4394</v>
      </c>
      <c r="DJ16" t="s">
        <v>4395</v>
      </c>
      <c r="DK16" t="s">
        <v>4396</v>
      </c>
      <c r="DM16" t="s">
        <v>4397</v>
      </c>
      <c r="DO16" t="s">
        <v>4398</v>
      </c>
      <c r="DS16" t="s">
        <v>4399</v>
      </c>
      <c r="DT16" t="s">
        <v>4352</v>
      </c>
      <c r="EK16" s="2" t="s">
        <v>4401</v>
      </c>
      <c r="EL16" s="2" t="s">
        <v>4402</v>
      </c>
      <c r="EM16" s="2" t="s">
        <v>4403</v>
      </c>
      <c r="EN16" s="2" t="s">
        <v>4404</v>
      </c>
      <c r="ER16" s="2" t="s">
        <v>4364</v>
      </c>
      <c r="ES16" s="2" t="s">
        <v>5204</v>
      </c>
      <c r="EU16" s="2" t="s">
        <v>4301</v>
      </c>
      <c r="EV16" s="2" t="s">
        <v>5286</v>
      </c>
    </row>
    <row r="17" spans="2:152" x14ac:dyDescent="0.25">
      <c r="B17" s="2" t="s">
        <v>4405</v>
      </c>
      <c r="C17" s="2" t="s">
        <v>4406</v>
      </c>
      <c r="F17" s="2" t="s">
        <v>4407</v>
      </c>
      <c r="AO17" t="s">
        <v>5787</v>
      </c>
      <c r="AQ17" t="s">
        <v>4408</v>
      </c>
      <c r="AR17" t="s">
        <v>4409</v>
      </c>
      <c r="AS17" t="s">
        <v>4410</v>
      </c>
      <c r="AT17" t="s">
        <v>4411</v>
      </c>
      <c r="BB17" t="s">
        <v>4412</v>
      </c>
      <c r="BC17" t="s">
        <v>4413</v>
      </c>
      <c r="BD17" t="s">
        <v>4414</v>
      </c>
      <c r="BG17" t="s">
        <v>4415</v>
      </c>
      <c r="BN17" t="s">
        <v>4416</v>
      </c>
      <c r="BO17" t="s">
        <v>4417</v>
      </c>
      <c r="BP17" t="s">
        <v>4418</v>
      </c>
      <c r="BQ17" t="s">
        <v>4419</v>
      </c>
      <c r="BR17" t="s">
        <v>4076</v>
      </c>
      <c r="BS17" t="s">
        <v>4421</v>
      </c>
      <c r="BT17" t="s">
        <v>4422</v>
      </c>
      <c r="BU17" t="s">
        <v>4423</v>
      </c>
      <c r="BV17" t="s">
        <v>4424</v>
      </c>
      <c r="BW17" t="s">
        <v>4425</v>
      </c>
      <c r="BX17" t="s">
        <v>4426</v>
      </c>
      <c r="BY17" t="s">
        <v>4427</v>
      </c>
      <c r="CH17" t="s">
        <v>4428</v>
      </c>
      <c r="CO17" t="s">
        <v>4429</v>
      </c>
      <c r="CT17" t="s">
        <v>4430</v>
      </c>
      <c r="CZ17" t="s">
        <v>4431</v>
      </c>
      <c r="DA17" t="s">
        <v>4432</v>
      </c>
      <c r="DC17" t="s">
        <v>4433</v>
      </c>
      <c r="DE17" t="s">
        <v>4434</v>
      </c>
      <c r="DF17" t="s">
        <v>4435</v>
      </c>
      <c r="DG17" t="s">
        <v>4436</v>
      </c>
      <c r="DH17" t="s">
        <v>4437</v>
      </c>
      <c r="DI17" t="s">
        <v>4438</v>
      </c>
      <c r="DJ17" t="s">
        <v>4439</v>
      </c>
      <c r="DK17" t="s">
        <v>4440</v>
      </c>
      <c r="DM17" t="s">
        <v>4441</v>
      </c>
      <c r="DO17" t="s">
        <v>4442</v>
      </c>
      <c r="DS17" t="s">
        <v>4443</v>
      </c>
      <c r="DT17" t="s">
        <v>4183</v>
      </c>
      <c r="EK17" s="2" t="s">
        <v>4445</v>
      </c>
      <c r="EL17" s="2" t="s">
        <v>4446</v>
      </c>
      <c r="EM17" s="2" t="s">
        <v>4447</v>
      </c>
      <c r="EN17" s="2" t="s">
        <v>4447</v>
      </c>
      <c r="ER17" s="2" t="s">
        <v>4412</v>
      </c>
      <c r="ES17" s="2" t="s">
        <v>5205</v>
      </c>
      <c r="EU17" s="2" t="s">
        <v>4353</v>
      </c>
      <c r="EV17" s="2" t="s">
        <v>5287</v>
      </c>
    </row>
    <row r="18" spans="2:152" x14ac:dyDescent="0.25">
      <c r="B18" s="2" t="s">
        <v>4448</v>
      </c>
      <c r="C18" s="2" t="s">
        <v>4449</v>
      </c>
      <c r="F18" s="2" t="s">
        <v>4450</v>
      </c>
      <c r="AO18" t="s">
        <v>5788</v>
      </c>
      <c r="AQ18" t="s">
        <v>4451</v>
      </c>
      <c r="AR18" t="s">
        <v>4452</v>
      </c>
      <c r="AS18" t="s">
        <v>4453</v>
      </c>
      <c r="AT18" t="s">
        <v>4454</v>
      </c>
      <c r="BB18" t="s">
        <v>4455</v>
      </c>
      <c r="BC18" t="s">
        <v>4456</v>
      </c>
      <c r="BD18" t="s">
        <v>4457</v>
      </c>
      <c r="BG18" t="s">
        <v>4458</v>
      </c>
      <c r="BN18" t="s">
        <v>4459</v>
      </c>
      <c r="BO18" t="s">
        <v>4460</v>
      </c>
      <c r="BP18" t="s">
        <v>4461</v>
      </c>
      <c r="BQ18" t="s">
        <v>4462</v>
      </c>
      <c r="BR18" t="s">
        <v>4578</v>
      </c>
      <c r="BS18" t="s">
        <v>4464</v>
      </c>
      <c r="BT18" t="s">
        <v>4465</v>
      </c>
      <c r="BU18" t="s">
        <v>4466</v>
      </c>
      <c r="BV18" t="s">
        <v>4467</v>
      </c>
      <c r="BW18" t="s">
        <v>4468</v>
      </c>
      <c r="BX18" t="s">
        <v>4469</v>
      </c>
      <c r="BY18" t="s">
        <v>4470</v>
      </c>
      <c r="CH18" t="s">
        <v>4471</v>
      </c>
      <c r="CO18" t="s">
        <v>4472</v>
      </c>
      <c r="CZ18" t="s">
        <v>4473</v>
      </c>
      <c r="DA18" t="s">
        <v>4474</v>
      </c>
      <c r="DC18" t="s">
        <v>4475</v>
      </c>
      <c r="DE18" t="s">
        <v>4476</v>
      </c>
      <c r="DF18" t="s">
        <v>4477</v>
      </c>
      <c r="DG18" t="s">
        <v>4478</v>
      </c>
      <c r="DH18" t="s">
        <v>4479</v>
      </c>
      <c r="DI18" t="s">
        <v>4480</v>
      </c>
      <c r="DJ18" t="s">
        <v>4481</v>
      </c>
      <c r="DK18" t="s">
        <v>4482</v>
      </c>
      <c r="DM18" t="s">
        <v>4483</v>
      </c>
      <c r="DO18" t="s">
        <v>4484</v>
      </c>
      <c r="DS18" t="s">
        <v>4485</v>
      </c>
      <c r="DT18" t="s">
        <v>4526</v>
      </c>
      <c r="EK18" s="2" t="s">
        <v>4487</v>
      </c>
      <c r="EL18" s="2" t="s">
        <v>4488</v>
      </c>
      <c r="EM18" s="2" t="s">
        <v>4489</v>
      </c>
      <c r="EN18" s="2" t="s">
        <v>4490</v>
      </c>
      <c r="ER18" s="2" t="s">
        <v>4455</v>
      </c>
      <c r="ES18" s="2" t="s">
        <v>5206</v>
      </c>
      <c r="EU18" s="2" t="s">
        <v>4401</v>
      </c>
      <c r="EV18" s="2" t="s">
        <v>5288</v>
      </c>
    </row>
    <row r="19" spans="2:152" x14ac:dyDescent="0.25">
      <c r="B19" s="2" t="s">
        <v>4491</v>
      </c>
      <c r="C19" s="2" t="s">
        <v>4492</v>
      </c>
      <c r="F19" s="2" t="s">
        <v>4493</v>
      </c>
      <c r="AO19" t="s">
        <v>5789</v>
      </c>
      <c r="AQ19" t="s">
        <v>4494</v>
      </c>
      <c r="AR19" t="s">
        <v>4495</v>
      </c>
      <c r="AS19" t="s">
        <v>4496</v>
      </c>
      <c r="AT19" t="s">
        <v>4497</v>
      </c>
      <c r="BB19" t="s">
        <v>4498</v>
      </c>
      <c r="BC19" t="s">
        <v>4499</v>
      </c>
      <c r="BD19" t="s">
        <v>4500</v>
      </c>
      <c r="BG19" t="s">
        <v>4501</v>
      </c>
      <c r="BN19" t="s">
        <v>4502</v>
      </c>
      <c r="BP19" t="s">
        <v>4503</v>
      </c>
      <c r="BQ19" t="s">
        <v>4504</v>
      </c>
      <c r="BR19" t="s">
        <v>4610</v>
      </c>
      <c r="BS19" t="s">
        <v>4506</v>
      </c>
      <c r="BT19" t="s">
        <v>4507</v>
      </c>
      <c r="BU19" t="s">
        <v>4508</v>
      </c>
      <c r="BV19" t="s">
        <v>4509</v>
      </c>
      <c r="BX19" t="s">
        <v>4510</v>
      </c>
      <c r="BY19" t="s">
        <v>4511</v>
      </c>
      <c r="CH19" t="s">
        <v>4512</v>
      </c>
      <c r="CO19" t="s">
        <v>4513</v>
      </c>
      <c r="CZ19" t="s">
        <v>4514</v>
      </c>
      <c r="DA19" t="s">
        <v>4515</v>
      </c>
      <c r="DC19" t="s">
        <v>4516</v>
      </c>
      <c r="DE19" t="s">
        <v>4517</v>
      </c>
      <c r="DF19" t="s">
        <v>4518</v>
      </c>
      <c r="DG19" t="s">
        <v>4519</v>
      </c>
      <c r="DH19" t="s">
        <v>4520</v>
      </c>
      <c r="DI19" t="s">
        <v>4521</v>
      </c>
      <c r="DJ19" t="s">
        <v>4522</v>
      </c>
      <c r="DK19" t="s">
        <v>4523</v>
      </c>
      <c r="DO19" t="s">
        <v>4524</v>
      </c>
      <c r="DS19" t="s">
        <v>4525</v>
      </c>
      <c r="DT19" t="s">
        <v>4444</v>
      </c>
      <c r="EK19" s="2" t="s">
        <v>4527</v>
      </c>
      <c r="EL19" s="2" t="s">
        <v>4528</v>
      </c>
      <c r="EM19" s="2" t="s">
        <v>4529</v>
      </c>
      <c r="EN19" s="2" t="s">
        <v>4530</v>
      </c>
      <c r="ER19" s="2" t="s">
        <v>4498</v>
      </c>
      <c r="ES19" s="2" t="s">
        <v>5207</v>
      </c>
      <c r="EU19" s="2" t="s">
        <v>4445</v>
      </c>
      <c r="EV19" s="2" t="s">
        <v>5289</v>
      </c>
    </row>
    <row r="20" spans="2:152" x14ac:dyDescent="0.25">
      <c r="B20" s="2" t="s">
        <v>4531</v>
      </c>
      <c r="C20" s="2" t="s">
        <v>4532</v>
      </c>
      <c r="F20" s="2" t="s">
        <v>4533</v>
      </c>
      <c r="AO20" t="s">
        <v>5790</v>
      </c>
      <c r="AQ20" t="s">
        <v>4534</v>
      </c>
      <c r="AR20" t="s">
        <v>4535</v>
      </c>
      <c r="AS20" t="s">
        <v>4536</v>
      </c>
      <c r="AT20" t="s">
        <v>4537</v>
      </c>
      <c r="BB20" t="s">
        <v>4538</v>
      </c>
      <c r="BC20" t="s">
        <v>4539</v>
      </c>
      <c r="BG20" t="s">
        <v>4540</v>
      </c>
      <c r="BN20" t="s">
        <v>4541</v>
      </c>
      <c r="BP20" t="s">
        <v>4542</v>
      </c>
      <c r="BQ20" t="s">
        <v>4543</v>
      </c>
      <c r="BR20" t="s">
        <v>6018</v>
      </c>
      <c r="BS20" t="s">
        <v>4544</v>
      </c>
      <c r="BT20" t="s">
        <v>4545</v>
      </c>
      <c r="BU20" t="s">
        <v>4546</v>
      </c>
      <c r="BV20" t="s">
        <v>4547</v>
      </c>
      <c r="BX20" t="s">
        <v>4548</v>
      </c>
      <c r="BY20" t="s">
        <v>4549</v>
      </c>
      <c r="CH20" t="s">
        <v>4550</v>
      </c>
      <c r="CZ20" t="s">
        <v>4551</v>
      </c>
      <c r="DA20" t="s">
        <v>4552</v>
      </c>
      <c r="DC20" t="s">
        <v>4553</v>
      </c>
      <c r="DE20" t="s">
        <v>4554</v>
      </c>
      <c r="DF20" t="s">
        <v>4555</v>
      </c>
      <c r="DG20" t="s">
        <v>4556</v>
      </c>
      <c r="DH20" t="s">
        <v>4557</v>
      </c>
      <c r="DI20" t="s">
        <v>4558</v>
      </c>
      <c r="DJ20" t="s">
        <v>4559</v>
      </c>
      <c r="DK20" t="s">
        <v>4560</v>
      </c>
      <c r="DO20" t="s">
        <v>4561</v>
      </c>
      <c r="DT20" t="s">
        <v>4400</v>
      </c>
      <c r="EK20" s="2" t="s">
        <v>4563</v>
      </c>
      <c r="EL20" s="2" t="s">
        <v>4564</v>
      </c>
      <c r="EM20" s="2" t="s">
        <v>4565</v>
      </c>
      <c r="ER20" s="2" t="s">
        <v>4538</v>
      </c>
      <c r="ES20" s="2" t="s">
        <v>5208</v>
      </c>
      <c r="EU20" s="2" t="s">
        <v>4487</v>
      </c>
      <c r="EV20" s="2" t="s">
        <v>5290</v>
      </c>
    </row>
    <row r="21" spans="2:152" x14ac:dyDescent="0.25">
      <c r="B21" s="2" t="s">
        <v>4566</v>
      </c>
      <c r="C21" s="2" t="s">
        <v>4567</v>
      </c>
      <c r="F21" s="2" t="s">
        <v>4568</v>
      </c>
      <c r="AO21" t="s">
        <v>5791</v>
      </c>
      <c r="AQ21" t="s">
        <v>4569</v>
      </c>
      <c r="AR21" t="s">
        <v>4570</v>
      </c>
      <c r="AS21" t="s">
        <v>4571</v>
      </c>
      <c r="AT21" t="s">
        <v>4572</v>
      </c>
      <c r="BB21" t="s">
        <v>4573</v>
      </c>
      <c r="BC21" t="s">
        <v>4574</v>
      </c>
      <c r="BG21" t="s">
        <v>4575</v>
      </c>
      <c r="BN21" t="s">
        <v>4576</v>
      </c>
      <c r="BQ21" t="s">
        <v>4577</v>
      </c>
      <c r="BR21" t="s">
        <v>6019</v>
      </c>
      <c r="BT21" t="s">
        <v>4579</v>
      </c>
      <c r="BU21" t="s">
        <v>4580</v>
      </c>
      <c r="BV21" t="s">
        <v>4581</v>
      </c>
      <c r="BY21" t="s">
        <v>4582</v>
      </c>
      <c r="CH21" t="s">
        <v>4583</v>
      </c>
      <c r="CZ21" t="s">
        <v>4584</v>
      </c>
      <c r="DC21" t="s">
        <v>4585</v>
      </c>
      <c r="DE21" t="s">
        <v>4586</v>
      </c>
      <c r="DF21" t="s">
        <v>4587</v>
      </c>
      <c r="DG21" t="s">
        <v>4588</v>
      </c>
      <c r="DH21" t="s">
        <v>4589</v>
      </c>
      <c r="DI21" t="s">
        <v>4590</v>
      </c>
      <c r="DJ21" t="s">
        <v>4591</v>
      </c>
      <c r="DK21" t="s">
        <v>4592</v>
      </c>
      <c r="DO21" t="s">
        <v>4593</v>
      </c>
      <c r="DT21" t="s">
        <v>4594</v>
      </c>
      <c r="EK21" s="2" t="s">
        <v>4595</v>
      </c>
      <c r="EL21" s="2" t="s">
        <v>4596</v>
      </c>
      <c r="EM21" s="2" t="s">
        <v>4597</v>
      </c>
      <c r="ER21" s="2" t="s">
        <v>4573</v>
      </c>
      <c r="ES21" s="2" t="s">
        <v>5209</v>
      </c>
      <c r="EU21" s="2" t="s">
        <v>4527</v>
      </c>
      <c r="EV21" s="2" t="s">
        <v>5291</v>
      </c>
    </row>
    <row r="22" spans="2:152" x14ac:dyDescent="0.25">
      <c r="B22" s="2" t="s">
        <v>4598</v>
      </c>
      <c r="C22" s="2" t="s">
        <v>4599</v>
      </c>
      <c r="F22" s="2" t="s">
        <v>4600</v>
      </c>
      <c r="AO22" t="s">
        <v>5792</v>
      </c>
      <c r="AQ22" t="s">
        <v>4601</v>
      </c>
      <c r="AR22" t="s">
        <v>4602</v>
      </c>
      <c r="AS22" t="s">
        <v>4603</v>
      </c>
      <c r="AT22" t="s">
        <v>4604</v>
      </c>
      <c r="BB22" t="s">
        <v>4605</v>
      </c>
      <c r="BC22" t="s">
        <v>4606</v>
      </c>
      <c r="BG22" t="s">
        <v>4607</v>
      </c>
      <c r="BN22" t="s">
        <v>4608</v>
      </c>
      <c r="BQ22" t="s">
        <v>4609</v>
      </c>
      <c r="BR22" t="s">
        <v>3221</v>
      </c>
      <c r="BT22" t="s">
        <v>4611</v>
      </c>
      <c r="BU22" t="s">
        <v>4612</v>
      </c>
      <c r="BV22" t="s">
        <v>4613</v>
      </c>
      <c r="BY22" t="s">
        <v>4614</v>
      </c>
      <c r="CH22" t="s">
        <v>4615</v>
      </c>
      <c r="DC22" t="s">
        <v>4616</v>
      </c>
      <c r="DE22" t="s">
        <v>4617</v>
      </c>
      <c r="DF22" t="s">
        <v>4618</v>
      </c>
      <c r="DG22" t="s">
        <v>4619</v>
      </c>
      <c r="DH22" t="s">
        <v>4620</v>
      </c>
      <c r="DI22" t="s">
        <v>4621</v>
      </c>
      <c r="DJ22" t="s">
        <v>4622</v>
      </c>
      <c r="DK22" t="s">
        <v>4623</v>
      </c>
      <c r="DO22" t="s">
        <v>4624</v>
      </c>
      <c r="DT22" t="s">
        <v>4117</v>
      </c>
      <c r="EK22" s="2" t="s">
        <v>4626</v>
      </c>
      <c r="EL22" s="2" t="s">
        <v>4627</v>
      </c>
      <c r="EM22" s="2" t="s">
        <v>4628</v>
      </c>
      <c r="ER22" s="2" t="s">
        <v>4605</v>
      </c>
      <c r="ES22" s="2" t="s">
        <v>5210</v>
      </c>
      <c r="EU22" s="2" t="s">
        <v>4563</v>
      </c>
      <c r="EV22" s="2" t="s">
        <v>5293</v>
      </c>
    </row>
    <row r="23" spans="2:152" x14ac:dyDescent="0.25">
      <c r="B23" s="2" t="s">
        <v>4629</v>
      </c>
      <c r="C23" s="2" t="s">
        <v>4630</v>
      </c>
      <c r="F23" s="2" t="s">
        <v>4631</v>
      </c>
      <c r="AO23" t="s">
        <v>5793</v>
      </c>
      <c r="AQ23" t="s">
        <v>4632</v>
      </c>
      <c r="AR23" t="s">
        <v>4633</v>
      </c>
      <c r="AS23" t="s">
        <v>4634</v>
      </c>
      <c r="AT23" t="s">
        <v>4635</v>
      </c>
      <c r="BB23" t="s">
        <v>4636</v>
      </c>
      <c r="BC23" t="s">
        <v>4637</v>
      </c>
      <c r="BG23" t="s">
        <v>4638</v>
      </c>
      <c r="BN23" t="s">
        <v>4639</v>
      </c>
      <c r="BQ23" t="s">
        <v>4640</v>
      </c>
      <c r="BR23" t="s">
        <v>6020</v>
      </c>
      <c r="BT23" t="s">
        <v>4641</v>
      </c>
      <c r="BU23" t="s">
        <v>4642</v>
      </c>
      <c r="BY23" t="s">
        <v>4643</v>
      </c>
      <c r="CH23" t="s">
        <v>4644</v>
      </c>
      <c r="DC23" t="s">
        <v>4645</v>
      </c>
      <c r="DE23" t="s">
        <v>4646</v>
      </c>
      <c r="DF23" t="s">
        <v>4647</v>
      </c>
      <c r="DG23" t="s">
        <v>4648</v>
      </c>
      <c r="DH23" t="s">
        <v>4649</v>
      </c>
      <c r="DI23" t="s">
        <v>4650</v>
      </c>
      <c r="DJ23" t="s">
        <v>4651</v>
      </c>
      <c r="DK23" t="s">
        <v>4652</v>
      </c>
      <c r="DO23" t="s">
        <v>4653</v>
      </c>
      <c r="DT23" t="s">
        <v>4048</v>
      </c>
      <c r="EK23" s="2" t="s">
        <v>4654</v>
      </c>
      <c r="EL23" s="2" t="s">
        <v>4655</v>
      </c>
      <c r="EM23" s="2" t="s">
        <v>4656</v>
      </c>
      <c r="ER23" s="2" t="s">
        <v>4636</v>
      </c>
      <c r="ES23" s="2" t="s">
        <v>5211</v>
      </c>
      <c r="EU23" s="2" t="s">
        <v>4595</v>
      </c>
      <c r="EV23" s="2" t="s">
        <v>5292</v>
      </c>
    </row>
    <row r="24" spans="2:152" x14ac:dyDescent="0.25">
      <c r="B24" s="2" t="s">
        <v>4657</v>
      </c>
      <c r="C24" s="2" t="s">
        <v>4658</v>
      </c>
      <c r="F24" s="2" t="s">
        <v>4659</v>
      </c>
      <c r="AO24" t="s">
        <v>5794</v>
      </c>
      <c r="AQ24" t="s">
        <v>4660</v>
      </c>
      <c r="AR24" t="s">
        <v>4661</v>
      </c>
      <c r="AS24" t="s">
        <v>4662</v>
      </c>
      <c r="AT24" t="s">
        <v>4663</v>
      </c>
      <c r="BB24" t="s">
        <v>4664</v>
      </c>
      <c r="BC24" t="s">
        <v>4665</v>
      </c>
      <c r="BG24" t="s">
        <v>4666</v>
      </c>
      <c r="BQ24" t="s">
        <v>4667</v>
      </c>
      <c r="BR24" t="s">
        <v>6021</v>
      </c>
      <c r="BT24" t="s">
        <v>4668</v>
      </c>
      <c r="BU24" t="s">
        <v>4669</v>
      </c>
      <c r="BY24" t="s">
        <v>4670</v>
      </c>
      <c r="CH24" t="s">
        <v>4671</v>
      </c>
      <c r="DC24" t="s">
        <v>4672</v>
      </c>
      <c r="DE24" t="s">
        <v>4673</v>
      </c>
      <c r="DF24" t="s">
        <v>4674</v>
      </c>
      <c r="DG24" t="s">
        <v>4675</v>
      </c>
      <c r="DH24" t="s">
        <v>4676</v>
      </c>
      <c r="DI24" t="s">
        <v>4677</v>
      </c>
      <c r="DJ24" t="s">
        <v>4678</v>
      </c>
      <c r="DK24" t="s">
        <v>4679</v>
      </c>
      <c r="DO24" t="s">
        <v>4680</v>
      </c>
      <c r="EK24" s="2" t="s">
        <v>4681</v>
      </c>
      <c r="EL24" s="2" t="s">
        <v>4682</v>
      </c>
      <c r="EM24" s="2" t="s">
        <v>4683</v>
      </c>
      <c r="ER24" s="2" t="s">
        <v>4664</v>
      </c>
      <c r="ES24" s="2" t="s">
        <v>5212</v>
      </c>
      <c r="EU24" s="2" t="s">
        <v>4626</v>
      </c>
      <c r="EV24" s="2" t="s">
        <v>5304</v>
      </c>
    </row>
    <row r="25" spans="2:152" x14ac:dyDescent="0.25">
      <c r="B25" s="2" t="s">
        <v>4684</v>
      </c>
      <c r="C25" s="2" t="s">
        <v>4685</v>
      </c>
      <c r="F25" s="2" t="s">
        <v>4686</v>
      </c>
      <c r="AO25" t="s">
        <v>5795</v>
      </c>
      <c r="AQ25" t="s">
        <v>4687</v>
      </c>
      <c r="AR25" t="s">
        <v>4688</v>
      </c>
      <c r="AS25" t="s">
        <v>4689</v>
      </c>
      <c r="AT25" t="s">
        <v>4690</v>
      </c>
      <c r="BB25" t="s">
        <v>4691</v>
      </c>
      <c r="BC25" t="s">
        <v>4692</v>
      </c>
      <c r="BG25" t="s">
        <v>4693</v>
      </c>
      <c r="BR25" t="s">
        <v>6022</v>
      </c>
      <c r="BT25" t="s">
        <v>4694</v>
      </c>
      <c r="BU25" t="s">
        <v>4695</v>
      </c>
      <c r="DC25" t="s">
        <v>4696</v>
      </c>
      <c r="DE25" t="s">
        <v>4697</v>
      </c>
      <c r="DF25" t="s">
        <v>4698</v>
      </c>
      <c r="DG25" t="s">
        <v>4699</v>
      </c>
      <c r="DH25" t="s">
        <v>4700</v>
      </c>
      <c r="DI25" t="s">
        <v>4701</v>
      </c>
      <c r="DJ25" t="s">
        <v>4702</v>
      </c>
      <c r="DK25" t="s">
        <v>4703</v>
      </c>
      <c r="DO25" t="s">
        <v>4704</v>
      </c>
      <c r="EK25" s="2" t="s">
        <v>4705</v>
      </c>
      <c r="EL25" s="2" t="s">
        <v>4706</v>
      </c>
      <c r="EM25" s="2" t="s">
        <v>4707</v>
      </c>
      <c r="ER25" s="2" t="s">
        <v>4691</v>
      </c>
      <c r="ES25" s="2" t="s">
        <v>5213</v>
      </c>
      <c r="EU25" s="2" t="s">
        <v>4654</v>
      </c>
      <c r="EV25" s="2" t="s">
        <v>5294</v>
      </c>
    </row>
    <row r="26" spans="2:152" x14ac:dyDescent="0.25">
      <c r="B26" s="2" t="s">
        <v>4708</v>
      </c>
      <c r="F26" s="2" t="s">
        <v>4709</v>
      </c>
      <c r="AO26" t="s">
        <v>5796</v>
      </c>
      <c r="AQ26" t="s">
        <v>4710</v>
      </c>
      <c r="AR26" t="s">
        <v>4711</v>
      </c>
      <c r="AS26" t="s">
        <v>4712</v>
      </c>
      <c r="AT26" t="s">
        <v>4713</v>
      </c>
      <c r="BB26" t="s">
        <v>4714</v>
      </c>
      <c r="BC26" t="s">
        <v>4715</v>
      </c>
      <c r="BG26" t="s">
        <v>4716</v>
      </c>
      <c r="BT26" t="s">
        <v>4717</v>
      </c>
      <c r="BU26" t="s">
        <v>4718</v>
      </c>
      <c r="DC26" t="s">
        <v>4719</v>
      </c>
      <c r="DE26" t="s">
        <v>4720</v>
      </c>
      <c r="DF26" t="s">
        <v>4721</v>
      </c>
      <c r="DG26" t="s">
        <v>4722</v>
      </c>
      <c r="DH26" t="s">
        <v>4723</v>
      </c>
      <c r="DI26" t="s">
        <v>4724</v>
      </c>
      <c r="DJ26" t="s">
        <v>4725</v>
      </c>
      <c r="DK26" t="s">
        <v>4726</v>
      </c>
      <c r="DO26" t="s">
        <v>4727</v>
      </c>
      <c r="EK26" s="2" t="s">
        <v>4728</v>
      </c>
      <c r="EL26" s="2" t="s">
        <v>4729</v>
      </c>
      <c r="EM26" s="2" t="s">
        <v>4730</v>
      </c>
      <c r="ER26" s="2" t="s">
        <v>4714</v>
      </c>
      <c r="ES26" s="2" t="s">
        <v>5214</v>
      </c>
      <c r="EU26" s="2" t="s">
        <v>4681</v>
      </c>
      <c r="EV26" s="2" t="s">
        <v>5295</v>
      </c>
    </row>
    <row r="27" spans="2:152" x14ac:dyDescent="0.25">
      <c r="B27" s="2" t="s">
        <v>4731</v>
      </c>
      <c r="F27" s="2" t="s">
        <v>4732</v>
      </c>
      <c r="AO27" t="s">
        <v>5797</v>
      </c>
      <c r="AQ27" t="s">
        <v>4733</v>
      </c>
      <c r="AR27" t="s">
        <v>4734</v>
      </c>
      <c r="AS27" t="s">
        <v>4735</v>
      </c>
      <c r="AT27" t="s">
        <v>4736</v>
      </c>
      <c r="BB27" t="s">
        <v>4737</v>
      </c>
      <c r="BC27" t="s">
        <v>4738</v>
      </c>
      <c r="BG27" t="s">
        <v>4739</v>
      </c>
      <c r="BT27" t="s">
        <v>4740</v>
      </c>
      <c r="BU27" t="s">
        <v>4741</v>
      </c>
      <c r="DC27" t="s">
        <v>4742</v>
      </c>
      <c r="DE27" t="s">
        <v>4743</v>
      </c>
      <c r="DG27" t="s">
        <v>4744</v>
      </c>
      <c r="DI27" t="s">
        <v>4745</v>
      </c>
      <c r="DJ27" t="s">
        <v>4746</v>
      </c>
      <c r="DK27" t="s">
        <v>4747</v>
      </c>
      <c r="DO27" t="s">
        <v>4748</v>
      </c>
      <c r="EK27" s="2" t="s">
        <v>4749</v>
      </c>
      <c r="EL27" s="2" t="s">
        <v>4750</v>
      </c>
      <c r="EM27" s="2" t="s">
        <v>4751</v>
      </c>
      <c r="ER27" s="2" t="s">
        <v>4737</v>
      </c>
      <c r="ES27" s="2" t="s">
        <v>5215</v>
      </c>
      <c r="EU27" s="2" t="s">
        <v>4705</v>
      </c>
      <c r="EV27" s="2" t="s">
        <v>5296</v>
      </c>
    </row>
    <row r="28" spans="2:152" x14ac:dyDescent="0.25">
      <c r="B28" s="2" t="s">
        <v>4752</v>
      </c>
      <c r="F28" s="2" t="s">
        <v>4753</v>
      </c>
      <c r="AO28" t="s">
        <v>5798</v>
      </c>
      <c r="AQ28" t="s">
        <v>4754</v>
      </c>
      <c r="AR28" t="s">
        <v>4755</v>
      </c>
      <c r="AS28" t="s">
        <v>4756</v>
      </c>
      <c r="AT28" t="s">
        <v>4757</v>
      </c>
      <c r="BB28" t="s">
        <v>4758</v>
      </c>
      <c r="BC28" t="s">
        <v>4759</v>
      </c>
      <c r="BG28" t="s">
        <v>4760</v>
      </c>
      <c r="BT28" t="s">
        <v>4761</v>
      </c>
      <c r="BU28" t="s">
        <v>4762</v>
      </c>
      <c r="DC28" t="s">
        <v>4763</v>
      </c>
      <c r="DE28" t="s">
        <v>4764</v>
      </c>
      <c r="DG28" t="s">
        <v>4765</v>
      </c>
      <c r="DI28" t="s">
        <v>4766</v>
      </c>
      <c r="DJ28" t="s">
        <v>4767</v>
      </c>
      <c r="DK28" t="s">
        <v>4768</v>
      </c>
      <c r="DO28" t="s">
        <v>4769</v>
      </c>
      <c r="EK28" s="2" t="s">
        <v>4770</v>
      </c>
      <c r="EL28" s="2" t="s">
        <v>4771</v>
      </c>
      <c r="EM28" s="2" t="s">
        <v>4772</v>
      </c>
      <c r="ER28" s="2" t="s">
        <v>4758</v>
      </c>
      <c r="ES28" s="2" t="s">
        <v>5216</v>
      </c>
      <c r="EU28" s="2" t="s">
        <v>4728</v>
      </c>
      <c r="EV28" s="2" t="s">
        <v>5297</v>
      </c>
    </row>
    <row r="29" spans="2:152" x14ac:dyDescent="0.25">
      <c r="B29" s="2" t="s">
        <v>4773</v>
      </c>
      <c r="F29" s="2" t="s">
        <v>4774</v>
      </c>
      <c r="AO29" t="s">
        <v>5799</v>
      </c>
      <c r="AQ29" t="s">
        <v>4775</v>
      </c>
      <c r="AR29" t="s">
        <v>4776</v>
      </c>
      <c r="AS29" t="s">
        <v>4777</v>
      </c>
      <c r="AT29" t="s">
        <v>4778</v>
      </c>
      <c r="BB29" t="s">
        <v>4779</v>
      </c>
      <c r="BC29" t="s">
        <v>4780</v>
      </c>
      <c r="BG29" t="s">
        <v>4781</v>
      </c>
      <c r="BT29" t="s">
        <v>4782</v>
      </c>
      <c r="DC29" t="s">
        <v>4783</v>
      </c>
      <c r="DE29" t="s">
        <v>4784</v>
      </c>
      <c r="DI29" t="s">
        <v>4785</v>
      </c>
      <c r="DJ29" t="s">
        <v>4786</v>
      </c>
      <c r="DK29" t="s">
        <v>4787</v>
      </c>
      <c r="DO29" t="s">
        <v>4788</v>
      </c>
      <c r="EK29" s="2" t="s">
        <v>4789</v>
      </c>
      <c r="EL29" s="2" t="s">
        <v>4790</v>
      </c>
      <c r="EM29" s="2" t="s">
        <v>4791</v>
      </c>
      <c r="ER29" s="2" t="s">
        <v>4779</v>
      </c>
      <c r="ES29" s="2" t="s">
        <v>5217</v>
      </c>
      <c r="EU29" s="2" t="s">
        <v>4749</v>
      </c>
      <c r="EV29" s="2" t="s">
        <v>5298</v>
      </c>
    </row>
    <row r="30" spans="2:152" x14ac:dyDescent="0.25">
      <c r="B30" s="2" t="s">
        <v>4792</v>
      </c>
      <c r="F30" s="2" t="s">
        <v>4793</v>
      </c>
      <c r="AO30" t="s">
        <v>5800</v>
      </c>
      <c r="AQ30" t="s">
        <v>4794</v>
      </c>
      <c r="AR30" t="s">
        <v>4795</v>
      </c>
      <c r="AS30" t="s">
        <v>4796</v>
      </c>
      <c r="AT30" t="s">
        <v>4797</v>
      </c>
      <c r="BB30" t="s">
        <v>4798</v>
      </c>
      <c r="BC30" t="s">
        <v>4799</v>
      </c>
      <c r="BG30" t="s">
        <v>4800</v>
      </c>
      <c r="DE30" t="s">
        <v>4801</v>
      </c>
      <c r="DI30" t="s">
        <v>4802</v>
      </c>
      <c r="DJ30" t="s">
        <v>4803</v>
      </c>
      <c r="DK30" t="s">
        <v>4804</v>
      </c>
      <c r="DO30" t="s">
        <v>4805</v>
      </c>
      <c r="EK30" s="2" t="s">
        <v>4806</v>
      </c>
      <c r="EL30" s="2" t="s">
        <v>4807</v>
      </c>
      <c r="ER30" s="2" t="s">
        <v>4798</v>
      </c>
      <c r="ES30" s="2" t="s">
        <v>5218</v>
      </c>
      <c r="EU30" s="2" t="s">
        <v>4770</v>
      </c>
      <c r="EV30" s="2" t="s">
        <v>5299</v>
      </c>
    </row>
    <row r="31" spans="2:152" x14ac:dyDescent="0.25">
      <c r="B31" s="2" t="s">
        <v>4808</v>
      </c>
      <c r="F31" s="2" t="s">
        <v>4809</v>
      </c>
      <c r="AO31" t="s">
        <v>5801</v>
      </c>
      <c r="AQ31" t="s">
        <v>4810</v>
      </c>
      <c r="AR31" t="s">
        <v>4811</v>
      </c>
      <c r="AS31" t="s">
        <v>4812</v>
      </c>
      <c r="AT31" t="s">
        <v>4813</v>
      </c>
      <c r="BB31" t="s">
        <v>4814</v>
      </c>
      <c r="BC31" t="s">
        <v>4815</v>
      </c>
      <c r="BG31" t="s">
        <v>4816</v>
      </c>
      <c r="DE31" t="s">
        <v>4817</v>
      </c>
      <c r="DI31" t="s">
        <v>4818</v>
      </c>
      <c r="DJ31" t="s">
        <v>4819</v>
      </c>
      <c r="DK31" t="s">
        <v>4820</v>
      </c>
      <c r="DO31" t="s">
        <v>4821</v>
      </c>
      <c r="EK31" s="2" t="s">
        <v>4822</v>
      </c>
      <c r="EL31" s="2" t="s">
        <v>4823</v>
      </c>
      <c r="ER31" s="2" t="s">
        <v>4814</v>
      </c>
      <c r="ES31" s="2" t="s">
        <v>5219</v>
      </c>
      <c r="EU31" s="2" t="s">
        <v>4789</v>
      </c>
      <c r="EV31" s="2" t="s">
        <v>5300</v>
      </c>
    </row>
    <row r="32" spans="2:152" x14ac:dyDescent="0.25">
      <c r="B32" s="2" t="s">
        <v>4824</v>
      </c>
      <c r="F32" s="2" t="s">
        <v>4825</v>
      </c>
      <c r="AO32" t="s">
        <v>5802</v>
      </c>
      <c r="AQ32" t="s">
        <v>4826</v>
      </c>
      <c r="AR32" t="s">
        <v>4827</v>
      </c>
      <c r="AS32" t="s">
        <v>4828</v>
      </c>
      <c r="AT32" t="s">
        <v>4829</v>
      </c>
      <c r="BB32" t="s">
        <v>4830</v>
      </c>
      <c r="BC32" t="s">
        <v>4831</v>
      </c>
      <c r="DE32" t="s">
        <v>4832</v>
      </c>
      <c r="DI32" t="s">
        <v>4833</v>
      </c>
      <c r="DJ32" t="s">
        <v>4834</v>
      </c>
      <c r="DK32" t="s">
        <v>4835</v>
      </c>
      <c r="DO32" t="s">
        <v>4836</v>
      </c>
      <c r="EK32" s="2" t="s">
        <v>4837</v>
      </c>
      <c r="EL32" s="2" t="s">
        <v>4838</v>
      </c>
      <c r="ER32" s="2" t="s">
        <v>4830</v>
      </c>
      <c r="ES32" s="2" t="s">
        <v>5220</v>
      </c>
      <c r="EU32" s="2" t="s">
        <v>4806</v>
      </c>
      <c r="EV32" s="2" t="s">
        <v>5301</v>
      </c>
    </row>
    <row r="33" spans="2:152" x14ac:dyDescent="0.25">
      <c r="B33" s="2" t="s">
        <v>4839</v>
      </c>
      <c r="F33" s="2" t="s">
        <v>4840</v>
      </c>
      <c r="AO33" t="s">
        <v>5803</v>
      </c>
      <c r="AQ33" t="s">
        <v>4841</v>
      </c>
      <c r="AR33" t="s">
        <v>4842</v>
      </c>
      <c r="AS33" t="s">
        <v>4843</v>
      </c>
      <c r="AT33" t="s">
        <v>4844</v>
      </c>
      <c r="BB33" t="s">
        <v>4845</v>
      </c>
      <c r="BC33" t="s">
        <v>4846</v>
      </c>
      <c r="DE33" t="s">
        <v>4847</v>
      </c>
      <c r="DI33" t="s">
        <v>4848</v>
      </c>
      <c r="DJ33" t="s">
        <v>4849</v>
      </c>
      <c r="DK33" t="s">
        <v>4850</v>
      </c>
      <c r="DO33" t="s">
        <v>4851</v>
      </c>
      <c r="EK33" s="2" t="s">
        <v>4852</v>
      </c>
      <c r="EL33" s="2" t="s">
        <v>4853</v>
      </c>
      <c r="ER33" s="2" t="s">
        <v>4845</v>
      </c>
      <c r="ES33" s="2" t="s">
        <v>5221</v>
      </c>
      <c r="EU33" s="2" t="s">
        <v>4822</v>
      </c>
      <c r="EV33" s="2" t="s">
        <v>5302</v>
      </c>
    </row>
    <row r="34" spans="2:152" x14ac:dyDescent="0.25">
      <c r="B34" s="2" t="s">
        <v>4854</v>
      </c>
      <c r="F34" s="2" t="s">
        <v>4855</v>
      </c>
      <c r="AO34" t="s">
        <v>5804</v>
      </c>
      <c r="AQ34" t="s">
        <v>4856</v>
      </c>
      <c r="AR34" t="s">
        <v>4857</v>
      </c>
      <c r="AS34" t="s">
        <v>4858</v>
      </c>
      <c r="AT34" t="s">
        <v>4859</v>
      </c>
      <c r="BB34" t="s">
        <v>4860</v>
      </c>
      <c r="BC34" t="s">
        <v>4861</v>
      </c>
      <c r="DE34" t="s">
        <v>4862</v>
      </c>
      <c r="DI34" t="s">
        <v>4863</v>
      </c>
      <c r="DJ34" t="s">
        <v>4864</v>
      </c>
      <c r="DK34" t="s">
        <v>4865</v>
      </c>
      <c r="DO34" t="s">
        <v>4866</v>
      </c>
      <c r="EK34" s="2" t="s">
        <v>4867</v>
      </c>
      <c r="EL34" s="2" t="s">
        <v>4868</v>
      </c>
      <c r="ER34" s="2" t="s">
        <v>4860</v>
      </c>
      <c r="ES34" s="2" t="s">
        <v>5222</v>
      </c>
      <c r="EU34" s="2" t="s">
        <v>4837</v>
      </c>
      <c r="EV34" s="2" t="s">
        <v>5303</v>
      </c>
    </row>
    <row r="35" spans="2:152" x14ac:dyDescent="0.25">
      <c r="B35" s="2" t="s">
        <v>4869</v>
      </c>
      <c r="AO35" t="s">
        <v>5805</v>
      </c>
      <c r="AR35" t="s">
        <v>4870</v>
      </c>
      <c r="AS35" t="s">
        <v>4871</v>
      </c>
      <c r="AT35" t="s">
        <v>4872</v>
      </c>
      <c r="BB35" t="s">
        <v>4873</v>
      </c>
      <c r="BC35" t="s">
        <v>4874</v>
      </c>
      <c r="DE35" t="s">
        <v>4875</v>
      </c>
      <c r="DI35" t="s">
        <v>4876</v>
      </c>
      <c r="DJ35" t="s">
        <v>4877</v>
      </c>
      <c r="DO35" t="s">
        <v>4878</v>
      </c>
      <c r="EL35" s="2" t="s">
        <v>4879</v>
      </c>
      <c r="ER35" s="2" t="s">
        <v>4873</v>
      </c>
      <c r="ES35" s="2" t="s">
        <v>5223</v>
      </c>
    </row>
    <row r="36" spans="2:152" x14ac:dyDescent="0.25">
      <c r="B36" s="2" t="s">
        <v>4880</v>
      </c>
      <c r="AO36" t="s">
        <v>5806</v>
      </c>
      <c r="AR36" t="s">
        <v>4881</v>
      </c>
      <c r="AS36" t="s">
        <v>4882</v>
      </c>
      <c r="AT36" t="s">
        <v>4883</v>
      </c>
      <c r="BB36" t="s">
        <v>4884</v>
      </c>
      <c r="BC36" t="s">
        <v>4885</v>
      </c>
      <c r="DE36" t="s">
        <v>4886</v>
      </c>
      <c r="DI36" t="s">
        <v>4887</v>
      </c>
      <c r="DJ36" t="s">
        <v>4888</v>
      </c>
      <c r="DO36" t="s">
        <v>4889</v>
      </c>
      <c r="EL36" s="2" t="s">
        <v>4890</v>
      </c>
      <c r="ER36" s="2" t="s">
        <v>4884</v>
      </c>
      <c r="ES36" s="2" t="s">
        <v>5224</v>
      </c>
    </row>
    <row r="37" spans="2:152" x14ac:dyDescent="0.25">
      <c r="B37" s="2" t="s">
        <v>4891</v>
      </c>
      <c r="AO37" t="s">
        <v>5807</v>
      </c>
      <c r="AR37" t="s">
        <v>4892</v>
      </c>
      <c r="AS37" t="s">
        <v>4893</v>
      </c>
      <c r="AT37" t="s">
        <v>4894</v>
      </c>
      <c r="BB37" t="s">
        <v>4895</v>
      </c>
      <c r="BC37" t="s">
        <v>4896</v>
      </c>
      <c r="DE37" t="s">
        <v>4897</v>
      </c>
      <c r="DI37" t="s">
        <v>4898</v>
      </c>
      <c r="DJ37" t="s">
        <v>4899</v>
      </c>
      <c r="DO37" t="s">
        <v>4900</v>
      </c>
      <c r="EL37" s="2" t="s">
        <v>4901</v>
      </c>
      <c r="ER37" s="2" t="s">
        <v>4895</v>
      </c>
      <c r="ES37" s="2" t="s">
        <v>5225</v>
      </c>
    </row>
    <row r="38" spans="2:152" x14ac:dyDescent="0.25">
      <c r="B38" s="2" t="s">
        <v>4902</v>
      </c>
      <c r="AO38" t="s">
        <v>5808</v>
      </c>
      <c r="AR38" t="s">
        <v>4903</v>
      </c>
      <c r="AS38" t="s">
        <v>4904</v>
      </c>
      <c r="AT38" t="s">
        <v>4905</v>
      </c>
      <c r="BB38" t="s">
        <v>4906</v>
      </c>
      <c r="BC38" t="s">
        <v>4907</v>
      </c>
      <c r="DE38" t="s">
        <v>4908</v>
      </c>
      <c r="DI38" t="s">
        <v>4909</v>
      </c>
      <c r="DJ38" t="s">
        <v>4910</v>
      </c>
      <c r="DO38" t="s">
        <v>4911</v>
      </c>
      <c r="EL38" s="2" t="s">
        <v>4912</v>
      </c>
      <c r="ER38" s="2" t="s">
        <v>4906</v>
      </c>
      <c r="ES38" s="2" t="s">
        <v>5226</v>
      </c>
    </row>
    <row r="39" spans="2:152" x14ac:dyDescent="0.25">
      <c r="B39" s="2" t="s">
        <v>4913</v>
      </c>
      <c r="AO39" t="s">
        <v>5809</v>
      </c>
      <c r="AR39" t="s">
        <v>4914</v>
      </c>
      <c r="AS39" t="s">
        <v>4915</v>
      </c>
      <c r="BB39" t="s">
        <v>4916</v>
      </c>
      <c r="BC39" t="s">
        <v>4917</v>
      </c>
      <c r="DE39" t="s">
        <v>4918</v>
      </c>
      <c r="DI39" t="s">
        <v>4919</v>
      </c>
      <c r="DJ39" t="s">
        <v>4920</v>
      </c>
      <c r="DO39" t="s">
        <v>4921</v>
      </c>
      <c r="EL39" s="2" t="s">
        <v>4922</v>
      </c>
      <c r="ER39" s="2" t="s">
        <v>4916</v>
      </c>
      <c r="ES39" s="2" t="s">
        <v>5227</v>
      </c>
    </row>
    <row r="40" spans="2:152" x14ac:dyDescent="0.25">
      <c r="B40" s="2" t="s">
        <v>4923</v>
      </c>
      <c r="AO40" t="s">
        <v>5810</v>
      </c>
      <c r="AR40" t="s">
        <v>4924</v>
      </c>
      <c r="AS40" t="s">
        <v>4925</v>
      </c>
      <c r="BB40" t="s">
        <v>4926</v>
      </c>
      <c r="BC40" t="s">
        <v>4927</v>
      </c>
      <c r="DE40" t="s">
        <v>4928</v>
      </c>
      <c r="DI40" t="s">
        <v>4929</v>
      </c>
      <c r="DJ40" t="s">
        <v>4930</v>
      </c>
      <c r="DO40" t="s">
        <v>4931</v>
      </c>
      <c r="EL40" s="2" t="s">
        <v>4932</v>
      </c>
      <c r="ER40" s="2" t="s">
        <v>4926</v>
      </c>
      <c r="ES40" s="2" t="s">
        <v>5228</v>
      </c>
    </row>
    <row r="41" spans="2:152" x14ac:dyDescent="0.25">
      <c r="B41" s="2" t="s">
        <v>4933</v>
      </c>
      <c r="AO41" t="s">
        <v>5811</v>
      </c>
      <c r="AR41" t="s">
        <v>4934</v>
      </c>
      <c r="AS41" t="s">
        <v>4935</v>
      </c>
      <c r="BB41" t="s">
        <v>4936</v>
      </c>
      <c r="BC41" t="s">
        <v>4937</v>
      </c>
      <c r="DE41" t="s">
        <v>4938</v>
      </c>
      <c r="DJ41" t="s">
        <v>4939</v>
      </c>
      <c r="EL41" s="2" t="s">
        <v>4940</v>
      </c>
      <c r="ER41" s="2" t="s">
        <v>4936</v>
      </c>
      <c r="ES41" s="2" t="s">
        <v>5229</v>
      </c>
    </row>
    <row r="42" spans="2:152" x14ac:dyDescent="0.25">
      <c r="B42" s="2" t="s">
        <v>4941</v>
      </c>
      <c r="AO42" t="s">
        <v>5812</v>
      </c>
      <c r="AR42" t="s">
        <v>4942</v>
      </c>
      <c r="AS42" t="s">
        <v>4943</v>
      </c>
      <c r="BB42" t="s">
        <v>4944</v>
      </c>
      <c r="BC42" t="s">
        <v>4945</v>
      </c>
      <c r="DE42" t="s">
        <v>4946</v>
      </c>
      <c r="DJ42" t="s">
        <v>4947</v>
      </c>
      <c r="EL42" s="2" t="s">
        <v>4948</v>
      </c>
      <c r="ER42" s="2" t="s">
        <v>4944</v>
      </c>
      <c r="ES42" s="2" t="s">
        <v>5230</v>
      </c>
    </row>
    <row r="43" spans="2:152" x14ac:dyDescent="0.25">
      <c r="B43" s="2" t="s">
        <v>4949</v>
      </c>
      <c r="AO43" t="s">
        <v>5813</v>
      </c>
      <c r="AR43" t="s">
        <v>4950</v>
      </c>
      <c r="AS43" t="s">
        <v>4951</v>
      </c>
      <c r="BB43" t="s">
        <v>4952</v>
      </c>
      <c r="BC43" t="s">
        <v>4953</v>
      </c>
      <c r="DE43" t="s">
        <v>4954</v>
      </c>
      <c r="DJ43" t="s">
        <v>4955</v>
      </c>
      <c r="EL43" s="2" t="s">
        <v>4956</v>
      </c>
      <c r="ER43" s="2" t="s">
        <v>4952</v>
      </c>
      <c r="ES43" s="2" t="s">
        <v>5231</v>
      </c>
    </row>
    <row r="44" spans="2:152" x14ac:dyDescent="0.25">
      <c r="B44" s="2" t="s">
        <v>4957</v>
      </c>
      <c r="AO44" t="s">
        <v>5814</v>
      </c>
      <c r="AR44" t="s">
        <v>4958</v>
      </c>
      <c r="AS44" t="s">
        <v>4959</v>
      </c>
      <c r="BB44" t="s">
        <v>4960</v>
      </c>
      <c r="BC44" t="s">
        <v>4961</v>
      </c>
      <c r="DE44" t="s">
        <v>4962</v>
      </c>
      <c r="EL44" s="2" t="s">
        <v>4963</v>
      </c>
      <c r="ER44" s="2" t="s">
        <v>4960</v>
      </c>
      <c r="ES44" s="2" t="s">
        <v>5232</v>
      </c>
    </row>
    <row r="45" spans="2:152" x14ac:dyDescent="0.25">
      <c r="B45" s="2" t="s">
        <v>4964</v>
      </c>
      <c r="AO45" t="s">
        <v>5815</v>
      </c>
      <c r="AR45" t="s">
        <v>4965</v>
      </c>
      <c r="AS45" t="s">
        <v>4966</v>
      </c>
      <c r="BB45" t="s">
        <v>4967</v>
      </c>
      <c r="BC45" t="s">
        <v>4968</v>
      </c>
      <c r="DE45" t="s">
        <v>4969</v>
      </c>
      <c r="EL45" s="2" t="s">
        <v>4970</v>
      </c>
      <c r="ER45" s="2" t="s">
        <v>4967</v>
      </c>
      <c r="ES45" s="2" t="s">
        <v>5233</v>
      </c>
    </row>
    <row r="46" spans="2:152" x14ac:dyDescent="0.25">
      <c r="B46" s="2" t="s">
        <v>4971</v>
      </c>
      <c r="AO46" t="s">
        <v>5816</v>
      </c>
      <c r="AR46" t="s">
        <v>4972</v>
      </c>
      <c r="AS46" t="s">
        <v>4973</v>
      </c>
      <c r="BB46" t="s">
        <v>4974</v>
      </c>
      <c r="BC46" t="s">
        <v>4975</v>
      </c>
      <c r="DE46" t="s">
        <v>4976</v>
      </c>
      <c r="EL46" s="2" t="s">
        <v>4977</v>
      </c>
      <c r="ER46" s="2" t="s">
        <v>4974</v>
      </c>
      <c r="ES46" s="2" t="s">
        <v>5234</v>
      </c>
    </row>
    <row r="47" spans="2:152" x14ac:dyDescent="0.25">
      <c r="B47" s="2" t="s">
        <v>4978</v>
      </c>
      <c r="AO47" t="s">
        <v>5817</v>
      </c>
      <c r="AR47" t="s">
        <v>4979</v>
      </c>
      <c r="AS47" t="s">
        <v>4980</v>
      </c>
      <c r="BB47" t="s">
        <v>4981</v>
      </c>
      <c r="BC47" t="s">
        <v>4982</v>
      </c>
      <c r="DE47" t="s">
        <v>4983</v>
      </c>
      <c r="EL47" s="2" t="s">
        <v>4984</v>
      </c>
      <c r="ER47" s="2" t="s">
        <v>4981</v>
      </c>
      <c r="ES47" s="2" t="s">
        <v>5235</v>
      </c>
    </row>
    <row r="48" spans="2:152" x14ac:dyDescent="0.25">
      <c r="B48" s="2" t="s">
        <v>4985</v>
      </c>
      <c r="AO48" t="s">
        <v>5818</v>
      </c>
      <c r="AS48" t="s">
        <v>4986</v>
      </c>
      <c r="BB48" t="s">
        <v>4987</v>
      </c>
      <c r="BC48" t="s">
        <v>4988</v>
      </c>
      <c r="DE48" t="s">
        <v>4989</v>
      </c>
      <c r="EL48" s="2" t="s">
        <v>4990</v>
      </c>
      <c r="ER48" s="2" t="s">
        <v>4987</v>
      </c>
      <c r="ES48" s="2" t="s">
        <v>5236</v>
      </c>
    </row>
    <row r="49" spans="2:149" x14ac:dyDescent="0.25">
      <c r="B49" s="2" t="s">
        <v>4991</v>
      </c>
      <c r="AO49" t="s">
        <v>5819</v>
      </c>
      <c r="AS49" t="s">
        <v>4992</v>
      </c>
      <c r="BB49" t="s">
        <v>4993</v>
      </c>
      <c r="BC49" t="s">
        <v>4994</v>
      </c>
      <c r="DE49" t="s">
        <v>4995</v>
      </c>
      <c r="EL49" s="2" t="s">
        <v>4996</v>
      </c>
      <c r="ER49" s="2" t="s">
        <v>4993</v>
      </c>
      <c r="ES49" s="2" t="s">
        <v>5237</v>
      </c>
    </row>
    <row r="50" spans="2:149" x14ac:dyDescent="0.25">
      <c r="B50" s="2" t="s">
        <v>4997</v>
      </c>
      <c r="AO50" t="s">
        <v>5820</v>
      </c>
      <c r="AS50" t="s">
        <v>4998</v>
      </c>
      <c r="BB50" t="s">
        <v>4999</v>
      </c>
      <c r="BC50" t="s">
        <v>5000</v>
      </c>
      <c r="DE50" t="s">
        <v>5001</v>
      </c>
      <c r="EL50" s="2" t="s">
        <v>5002</v>
      </c>
      <c r="ER50" s="2" t="s">
        <v>4999</v>
      </c>
      <c r="ES50" s="2" t="s">
        <v>5238</v>
      </c>
    </row>
    <row r="51" spans="2:149" x14ac:dyDescent="0.25">
      <c r="B51" s="2" t="s">
        <v>5003</v>
      </c>
      <c r="AO51" t="s">
        <v>5821</v>
      </c>
      <c r="AS51" t="s">
        <v>5004</v>
      </c>
      <c r="BB51" t="s">
        <v>5005</v>
      </c>
      <c r="DE51" t="s">
        <v>5006</v>
      </c>
      <c r="EL51" s="2" t="s">
        <v>5007</v>
      </c>
      <c r="ER51" s="2" t="s">
        <v>5005</v>
      </c>
      <c r="ES51" s="2" t="s">
        <v>5239</v>
      </c>
    </row>
    <row r="52" spans="2:149" x14ac:dyDescent="0.25">
      <c r="B52" s="2" t="s">
        <v>5008</v>
      </c>
      <c r="AO52" t="s">
        <v>5822</v>
      </c>
      <c r="AS52" t="s">
        <v>5009</v>
      </c>
      <c r="BB52" t="s">
        <v>5010</v>
      </c>
      <c r="DE52" t="s">
        <v>5011</v>
      </c>
      <c r="EL52" s="2" t="s">
        <v>5012</v>
      </c>
      <c r="ER52" s="2" t="s">
        <v>5010</v>
      </c>
      <c r="ES52" s="2" t="s">
        <v>5240</v>
      </c>
    </row>
    <row r="53" spans="2:149" x14ac:dyDescent="0.25">
      <c r="B53" s="2" t="s">
        <v>5013</v>
      </c>
      <c r="AO53" t="s">
        <v>5823</v>
      </c>
      <c r="AS53" t="s">
        <v>5014</v>
      </c>
      <c r="BB53" t="s">
        <v>5015</v>
      </c>
      <c r="DE53" t="s">
        <v>5016</v>
      </c>
      <c r="EL53" s="2" t="s">
        <v>5017</v>
      </c>
      <c r="ER53" s="2" t="s">
        <v>5015</v>
      </c>
      <c r="ES53" s="2" t="s">
        <v>5241</v>
      </c>
    </row>
    <row r="54" spans="2:149" x14ac:dyDescent="0.25">
      <c r="B54" s="2" t="s">
        <v>5018</v>
      </c>
      <c r="AO54" t="s">
        <v>5824</v>
      </c>
      <c r="AS54" t="s">
        <v>5019</v>
      </c>
      <c r="BB54" t="s">
        <v>5020</v>
      </c>
      <c r="DE54" t="s">
        <v>5021</v>
      </c>
      <c r="EL54" s="2" t="s">
        <v>5022</v>
      </c>
      <c r="ER54" s="2" t="s">
        <v>5020</v>
      </c>
      <c r="ES54" s="2" t="s">
        <v>5242</v>
      </c>
    </row>
    <row r="55" spans="2:149" x14ac:dyDescent="0.25">
      <c r="B55" s="2" t="s">
        <v>5023</v>
      </c>
      <c r="AO55" t="s">
        <v>5825</v>
      </c>
      <c r="AS55" t="s">
        <v>5024</v>
      </c>
      <c r="BB55" t="s">
        <v>5025</v>
      </c>
      <c r="DE55" t="s">
        <v>5026</v>
      </c>
      <c r="EL55" s="2" t="s">
        <v>5027</v>
      </c>
      <c r="ER55" s="2" t="s">
        <v>5025</v>
      </c>
      <c r="ES55" s="2" t="s">
        <v>5243</v>
      </c>
    </row>
    <row r="56" spans="2:149" x14ac:dyDescent="0.25">
      <c r="B56" s="2" t="s">
        <v>5028</v>
      </c>
      <c r="AO56" t="s">
        <v>5826</v>
      </c>
      <c r="AS56" t="s">
        <v>5029</v>
      </c>
      <c r="BB56" t="s">
        <v>5030</v>
      </c>
      <c r="EL56" s="2" t="s">
        <v>5031</v>
      </c>
      <c r="ER56" s="2" t="s">
        <v>5030</v>
      </c>
      <c r="ES56" s="2" t="s">
        <v>5244</v>
      </c>
    </row>
    <row r="57" spans="2:149" x14ac:dyDescent="0.25">
      <c r="B57" s="2" t="s">
        <v>5032</v>
      </c>
      <c r="AO57" t="s">
        <v>5827</v>
      </c>
      <c r="AS57" t="s">
        <v>5033</v>
      </c>
      <c r="BB57" t="s">
        <v>5034</v>
      </c>
      <c r="EL57" s="2" t="s">
        <v>5035</v>
      </c>
      <c r="ER57" s="2" t="s">
        <v>5034</v>
      </c>
      <c r="ES57" s="2" t="s">
        <v>5245</v>
      </c>
    </row>
    <row r="58" spans="2:149" x14ac:dyDescent="0.25">
      <c r="B58" s="2" t="s">
        <v>5036</v>
      </c>
      <c r="AO58" t="s">
        <v>5828</v>
      </c>
      <c r="AS58" t="s">
        <v>5037</v>
      </c>
      <c r="BB58" t="s">
        <v>5038</v>
      </c>
      <c r="EL58" s="2" t="s">
        <v>5039</v>
      </c>
      <c r="ER58" s="2" t="s">
        <v>5038</v>
      </c>
      <c r="ES58" s="2" t="s">
        <v>5246</v>
      </c>
    </row>
    <row r="59" spans="2:149" x14ac:dyDescent="0.25">
      <c r="B59" s="2" t="s">
        <v>5040</v>
      </c>
      <c r="AO59" t="s">
        <v>5829</v>
      </c>
      <c r="AS59" t="s">
        <v>5041</v>
      </c>
      <c r="BB59" t="s">
        <v>5042</v>
      </c>
      <c r="EL59" s="2" t="s">
        <v>5043</v>
      </c>
      <c r="ER59" s="2" t="s">
        <v>5042</v>
      </c>
      <c r="ES59" s="2" t="s">
        <v>5247</v>
      </c>
    </row>
    <row r="60" spans="2:149" x14ac:dyDescent="0.25">
      <c r="B60" s="2" t="s">
        <v>5044</v>
      </c>
      <c r="AO60" t="s">
        <v>5830</v>
      </c>
      <c r="AS60" t="s">
        <v>5045</v>
      </c>
      <c r="BB60" t="s">
        <v>5046</v>
      </c>
      <c r="EL60" s="2" t="s">
        <v>5047</v>
      </c>
      <c r="ER60" s="2" t="s">
        <v>5046</v>
      </c>
      <c r="ES60" s="2" t="s">
        <v>5248</v>
      </c>
    </row>
    <row r="61" spans="2:149" x14ac:dyDescent="0.25">
      <c r="B61" s="2" t="s">
        <v>5048</v>
      </c>
      <c r="AO61" t="s">
        <v>5831</v>
      </c>
      <c r="AS61" t="s">
        <v>5049</v>
      </c>
      <c r="BB61" t="s">
        <v>5050</v>
      </c>
      <c r="EL61" s="2" t="s">
        <v>5051</v>
      </c>
      <c r="ER61" s="2" t="s">
        <v>5050</v>
      </c>
      <c r="ES61" s="2" t="s">
        <v>5249</v>
      </c>
    </row>
    <row r="62" spans="2:149" x14ac:dyDescent="0.25">
      <c r="B62" s="2" t="s">
        <v>5052</v>
      </c>
      <c r="AO62" t="s">
        <v>5832</v>
      </c>
      <c r="AS62" t="s">
        <v>5053</v>
      </c>
      <c r="BB62" t="s">
        <v>5054</v>
      </c>
      <c r="EL62" s="2" t="s">
        <v>5055</v>
      </c>
      <c r="ER62" s="2" t="s">
        <v>5054</v>
      </c>
      <c r="ES62" s="2" t="s">
        <v>5250</v>
      </c>
    </row>
    <row r="63" spans="2:149" x14ac:dyDescent="0.25">
      <c r="B63" s="2" t="s">
        <v>5056</v>
      </c>
      <c r="AO63" t="s">
        <v>5833</v>
      </c>
      <c r="AS63" t="s">
        <v>5057</v>
      </c>
      <c r="BB63" t="s">
        <v>5058</v>
      </c>
      <c r="EL63" s="2" t="s">
        <v>5059</v>
      </c>
      <c r="ER63" s="2" t="s">
        <v>5058</v>
      </c>
      <c r="ES63" s="2" t="s">
        <v>5251</v>
      </c>
    </row>
    <row r="64" spans="2:149" x14ac:dyDescent="0.25">
      <c r="B64" s="2" t="s">
        <v>5060</v>
      </c>
      <c r="AO64" t="s">
        <v>5834</v>
      </c>
      <c r="AS64" t="s">
        <v>5061</v>
      </c>
      <c r="BB64" t="s">
        <v>5062</v>
      </c>
      <c r="EL64" s="2" t="s">
        <v>5063</v>
      </c>
      <c r="ER64" s="2" t="s">
        <v>5062</v>
      </c>
      <c r="ES64" s="2" t="s">
        <v>5252</v>
      </c>
    </row>
    <row r="65" spans="2:149" x14ac:dyDescent="0.25">
      <c r="B65" s="2" t="s">
        <v>5064</v>
      </c>
      <c r="AO65" t="s">
        <v>5835</v>
      </c>
      <c r="AS65" t="s">
        <v>5065</v>
      </c>
      <c r="BB65" t="s">
        <v>5066</v>
      </c>
      <c r="EL65" s="2" t="s">
        <v>5067</v>
      </c>
      <c r="ER65" s="2" t="s">
        <v>5066</v>
      </c>
      <c r="ES65" s="2" t="s">
        <v>5253</v>
      </c>
    </row>
    <row r="66" spans="2:149" x14ac:dyDescent="0.25">
      <c r="B66" s="2" t="s">
        <v>5068</v>
      </c>
      <c r="AO66" t="s">
        <v>5836</v>
      </c>
      <c r="AS66" t="s">
        <v>5069</v>
      </c>
      <c r="BB66" t="s">
        <v>5070</v>
      </c>
      <c r="EL66" s="2" t="s">
        <v>5071</v>
      </c>
      <c r="ER66" s="2" t="s">
        <v>5070</v>
      </c>
      <c r="ES66" s="2" t="s">
        <v>5254</v>
      </c>
    </row>
    <row r="67" spans="2:149" x14ac:dyDescent="0.25">
      <c r="B67" s="2" t="s">
        <v>5072</v>
      </c>
      <c r="AO67" t="s">
        <v>5837</v>
      </c>
      <c r="AS67" t="s">
        <v>5073</v>
      </c>
      <c r="BB67" t="s">
        <v>5074</v>
      </c>
      <c r="EL67" s="2" t="s">
        <v>5075</v>
      </c>
      <c r="ER67" s="2" t="s">
        <v>5074</v>
      </c>
      <c r="ES67" s="2" t="s">
        <v>5255</v>
      </c>
    </row>
    <row r="68" spans="2:149" x14ac:dyDescent="0.25">
      <c r="B68" s="2" t="s">
        <v>5076</v>
      </c>
      <c r="AO68" t="s">
        <v>5838</v>
      </c>
      <c r="AS68" t="s">
        <v>5077</v>
      </c>
      <c r="BB68" t="s">
        <v>5078</v>
      </c>
      <c r="EL68" s="2" t="s">
        <v>5079</v>
      </c>
      <c r="ER68" s="2" t="s">
        <v>5078</v>
      </c>
      <c r="ES68" s="2" t="s">
        <v>5256</v>
      </c>
    </row>
    <row r="69" spans="2:149" x14ac:dyDescent="0.25">
      <c r="B69" s="2" t="s">
        <v>5080</v>
      </c>
      <c r="AO69" t="s">
        <v>5839</v>
      </c>
      <c r="AS69" t="s">
        <v>5081</v>
      </c>
      <c r="BB69" t="s">
        <v>5082</v>
      </c>
      <c r="EL69" s="2" t="s">
        <v>5083</v>
      </c>
      <c r="ER69" s="2" t="s">
        <v>5082</v>
      </c>
      <c r="ES69" s="2" t="s">
        <v>5257</v>
      </c>
    </row>
    <row r="70" spans="2:149" x14ac:dyDescent="0.25">
      <c r="B70" s="2" t="s">
        <v>5084</v>
      </c>
      <c r="AO70" t="s">
        <v>5840</v>
      </c>
      <c r="AS70" t="s">
        <v>5085</v>
      </c>
      <c r="BB70" t="s">
        <v>5086</v>
      </c>
      <c r="ER70" s="2" t="s">
        <v>5086</v>
      </c>
      <c r="ES70" s="2" t="s">
        <v>5258</v>
      </c>
    </row>
    <row r="71" spans="2:149" x14ac:dyDescent="0.25">
      <c r="B71" s="2" t="s">
        <v>5087</v>
      </c>
      <c r="AO71" t="s">
        <v>5841</v>
      </c>
      <c r="AS71" t="s">
        <v>5088</v>
      </c>
      <c r="BB71" t="s">
        <v>5089</v>
      </c>
      <c r="ER71" s="2" t="s">
        <v>5089</v>
      </c>
      <c r="ES71" s="2" t="s">
        <v>5259</v>
      </c>
    </row>
    <row r="72" spans="2:149" x14ac:dyDescent="0.25">
      <c r="B72" s="2" t="s">
        <v>5090</v>
      </c>
      <c r="AO72" t="s">
        <v>5842</v>
      </c>
      <c r="AS72" t="s">
        <v>5091</v>
      </c>
      <c r="BB72" t="s">
        <v>5092</v>
      </c>
      <c r="ER72" s="2" t="s">
        <v>5092</v>
      </c>
      <c r="ES72" s="2" t="s">
        <v>5260</v>
      </c>
    </row>
    <row r="73" spans="2:149" x14ac:dyDescent="0.25">
      <c r="B73" s="2" t="s">
        <v>5093</v>
      </c>
      <c r="AO73" t="s">
        <v>5843</v>
      </c>
      <c r="AS73" t="s">
        <v>5094</v>
      </c>
      <c r="BB73" t="s">
        <v>5095</v>
      </c>
      <c r="ER73" s="2" t="s">
        <v>5095</v>
      </c>
      <c r="ES73" s="2" t="s">
        <v>5261</v>
      </c>
    </row>
    <row r="74" spans="2:149" x14ac:dyDescent="0.25">
      <c r="B74" s="2" t="s">
        <v>5096</v>
      </c>
      <c r="AO74" t="s">
        <v>5844</v>
      </c>
      <c r="AS74" t="s">
        <v>5097</v>
      </c>
      <c r="BB74" t="s">
        <v>5098</v>
      </c>
      <c r="ER74" s="2" t="s">
        <v>5098</v>
      </c>
      <c r="ES74" s="2" t="s">
        <v>5262</v>
      </c>
    </row>
    <row r="75" spans="2:149" x14ac:dyDescent="0.25">
      <c r="B75" s="2" t="s">
        <v>5099</v>
      </c>
      <c r="AO75" t="s">
        <v>5845</v>
      </c>
      <c r="AS75" t="s">
        <v>5100</v>
      </c>
      <c r="BB75" t="s">
        <v>5101</v>
      </c>
      <c r="ER75" s="2" t="s">
        <v>5101</v>
      </c>
      <c r="ES75" s="2" t="s">
        <v>5263</v>
      </c>
    </row>
    <row r="76" spans="2:149" x14ac:dyDescent="0.25">
      <c r="B76" s="2" t="s">
        <v>5102</v>
      </c>
      <c r="AO76" t="s">
        <v>5846</v>
      </c>
      <c r="AS76" t="s">
        <v>5103</v>
      </c>
      <c r="BB76" t="s">
        <v>5104</v>
      </c>
      <c r="ER76" s="2" t="s">
        <v>5104</v>
      </c>
      <c r="ES76" s="2" t="s">
        <v>5264</v>
      </c>
    </row>
    <row r="77" spans="2:149" x14ac:dyDescent="0.25">
      <c r="B77" s="2" t="s">
        <v>5105</v>
      </c>
      <c r="AO77" t="s">
        <v>5847</v>
      </c>
      <c r="AS77" t="s">
        <v>5106</v>
      </c>
      <c r="BB77" t="s">
        <v>5107</v>
      </c>
      <c r="ER77" s="2" t="s">
        <v>5107</v>
      </c>
      <c r="ES77" s="2" t="s">
        <v>5265</v>
      </c>
    </row>
    <row r="78" spans="2:149" x14ac:dyDescent="0.25">
      <c r="B78" s="2" t="s">
        <v>5108</v>
      </c>
      <c r="AO78" t="s">
        <v>5848</v>
      </c>
      <c r="AS78" t="s">
        <v>5109</v>
      </c>
      <c r="BB78" t="s">
        <v>5110</v>
      </c>
      <c r="ER78" s="2" t="s">
        <v>5110</v>
      </c>
      <c r="ES78" s="2" t="s">
        <v>5266</v>
      </c>
    </row>
    <row r="79" spans="2:149" x14ac:dyDescent="0.25">
      <c r="B79" s="2" t="s">
        <v>5111</v>
      </c>
      <c r="AO79" t="s">
        <v>5849</v>
      </c>
      <c r="AS79" t="s">
        <v>5112</v>
      </c>
      <c r="BB79" t="s">
        <v>5113</v>
      </c>
      <c r="ER79" s="2" t="s">
        <v>5113</v>
      </c>
      <c r="ES79" s="2" t="s">
        <v>5267</v>
      </c>
    </row>
    <row r="80" spans="2:149" x14ac:dyDescent="0.25">
      <c r="B80" s="2" t="s">
        <v>5114</v>
      </c>
      <c r="AO80" t="s">
        <v>5850</v>
      </c>
      <c r="AS80" t="s">
        <v>5115</v>
      </c>
      <c r="BB80" t="s">
        <v>5116</v>
      </c>
      <c r="ER80" s="2" t="s">
        <v>5116</v>
      </c>
      <c r="ES80" s="2" t="s">
        <v>5268</v>
      </c>
    </row>
    <row r="81" spans="2:149" x14ac:dyDescent="0.25">
      <c r="B81" s="2" t="s">
        <v>5117</v>
      </c>
      <c r="AO81" t="s">
        <v>5851</v>
      </c>
      <c r="AS81" t="s">
        <v>5118</v>
      </c>
      <c r="BB81" t="s">
        <v>5119</v>
      </c>
      <c r="ER81" s="2" t="s">
        <v>5119</v>
      </c>
      <c r="ES81" s="2" t="s">
        <v>5269</v>
      </c>
    </row>
    <row r="82" spans="2:149" x14ac:dyDescent="0.25">
      <c r="B82" s="2" t="s">
        <v>5120</v>
      </c>
      <c r="AO82" t="s">
        <v>5852</v>
      </c>
      <c r="AS82" t="s">
        <v>5121</v>
      </c>
      <c r="BB82" t="s">
        <v>5122</v>
      </c>
      <c r="ER82" s="2" t="s">
        <v>5122</v>
      </c>
      <c r="ES82" s="2" t="s">
        <v>5270</v>
      </c>
    </row>
    <row r="83" spans="2:149" x14ac:dyDescent="0.25">
      <c r="B83" s="2" t="s">
        <v>5123</v>
      </c>
      <c r="AO83" t="s">
        <v>5853</v>
      </c>
      <c r="AS83" t="s">
        <v>5124</v>
      </c>
    </row>
    <row r="84" spans="2:149" x14ac:dyDescent="0.25">
      <c r="B84" s="2" t="s">
        <v>5125</v>
      </c>
      <c r="AO84" t="s">
        <v>5854</v>
      </c>
      <c r="AS84" t="s">
        <v>5126</v>
      </c>
    </row>
    <row r="85" spans="2:149" x14ac:dyDescent="0.25">
      <c r="B85" s="2" t="s">
        <v>5127</v>
      </c>
      <c r="AO85" t="s">
        <v>5855</v>
      </c>
      <c r="AS85" t="s">
        <v>5128</v>
      </c>
    </row>
    <row r="86" spans="2:149" x14ac:dyDescent="0.25">
      <c r="B86" s="2" t="s">
        <v>5129</v>
      </c>
      <c r="AO86" t="s">
        <v>5856</v>
      </c>
      <c r="AS86" t="s">
        <v>5130</v>
      </c>
    </row>
    <row r="87" spans="2:149" x14ac:dyDescent="0.25">
      <c r="B87" s="2" t="s">
        <v>5131</v>
      </c>
      <c r="AO87" t="s">
        <v>5857</v>
      </c>
      <c r="AS87" t="s">
        <v>5132</v>
      </c>
    </row>
    <row r="88" spans="2:149" x14ac:dyDescent="0.25">
      <c r="B88" s="2" t="s">
        <v>5133</v>
      </c>
      <c r="AO88" t="s">
        <v>5858</v>
      </c>
      <c r="AS88" t="s">
        <v>5134</v>
      </c>
    </row>
    <row r="89" spans="2:149" x14ac:dyDescent="0.25">
      <c r="B89" s="2" t="s">
        <v>5135</v>
      </c>
      <c r="AO89" t="s">
        <v>5859</v>
      </c>
      <c r="AS89" t="s">
        <v>5136</v>
      </c>
    </row>
    <row r="90" spans="2:149" x14ac:dyDescent="0.25">
      <c r="B90" s="2" t="s">
        <v>5137</v>
      </c>
      <c r="AO90" t="s">
        <v>5860</v>
      </c>
      <c r="AS90" t="s">
        <v>5138</v>
      </c>
    </row>
    <row r="91" spans="2:149" x14ac:dyDescent="0.25">
      <c r="B91" s="2" t="s">
        <v>5139</v>
      </c>
      <c r="AO91" t="s">
        <v>5861</v>
      </c>
      <c r="AS91" t="s">
        <v>5140</v>
      </c>
    </row>
    <row r="92" spans="2:149" x14ac:dyDescent="0.25">
      <c r="B92" s="2" t="s">
        <v>5141</v>
      </c>
      <c r="AO92" t="s">
        <v>5862</v>
      </c>
      <c r="AS92" t="s">
        <v>5142</v>
      </c>
    </row>
    <row r="93" spans="2:149" x14ac:dyDescent="0.25">
      <c r="B93" s="2" t="s">
        <v>5143</v>
      </c>
      <c r="AO93" t="s">
        <v>5863</v>
      </c>
      <c r="AS93" t="s">
        <v>5144</v>
      </c>
    </row>
    <row r="94" spans="2:149" x14ac:dyDescent="0.25">
      <c r="B94" s="2" t="s">
        <v>5145</v>
      </c>
      <c r="AO94" t="s">
        <v>5864</v>
      </c>
      <c r="AS94" t="s">
        <v>5146</v>
      </c>
    </row>
    <row r="95" spans="2:149" x14ac:dyDescent="0.25">
      <c r="B95" s="2" t="s">
        <v>5147</v>
      </c>
      <c r="AO95" t="s">
        <v>5865</v>
      </c>
      <c r="AS95" t="s">
        <v>5148</v>
      </c>
    </row>
    <row r="96" spans="2:149" x14ac:dyDescent="0.25">
      <c r="B96" s="2" t="s">
        <v>5149</v>
      </c>
      <c r="AO96" t="s">
        <v>5866</v>
      </c>
      <c r="AS96" t="s">
        <v>5150</v>
      </c>
    </row>
    <row r="97" spans="2:45" x14ac:dyDescent="0.25">
      <c r="B97" s="2" t="s">
        <v>5151</v>
      </c>
      <c r="AO97" t="s">
        <v>5867</v>
      </c>
      <c r="AS97" t="s">
        <v>5152</v>
      </c>
    </row>
    <row r="98" spans="2:45" x14ac:dyDescent="0.25">
      <c r="B98" s="2" t="s">
        <v>5153</v>
      </c>
      <c r="AO98" t="s">
        <v>5868</v>
      </c>
      <c r="AS98" t="s">
        <v>5154</v>
      </c>
    </row>
    <row r="99" spans="2:45" x14ac:dyDescent="0.25">
      <c r="B99" s="2" t="s">
        <v>5155</v>
      </c>
      <c r="AO99" t="s">
        <v>5869</v>
      </c>
      <c r="AS99" t="s">
        <v>5156</v>
      </c>
    </row>
    <row r="100" spans="2:45" x14ac:dyDescent="0.25">
      <c r="B100" s="2" t="s">
        <v>5157</v>
      </c>
      <c r="AO100" t="s">
        <v>5870</v>
      </c>
      <c r="AS100" t="s">
        <v>5158</v>
      </c>
    </row>
    <row r="101" spans="2:45" x14ac:dyDescent="0.25">
      <c r="B101" s="2" t="s">
        <v>5159</v>
      </c>
      <c r="AO101" t="s">
        <v>5871</v>
      </c>
      <c r="AS101" t="s">
        <v>5160</v>
      </c>
    </row>
    <row r="102" spans="2:45" x14ac:dyDescent="0.25">
      <c r="B102" s="2" t="s">
        <v>5161</v>
      </c>
      <c r="AO102" t="s">
        <v>5872</v>
      </c>
      <c r="AS102" t="s">
        <v>5162</v>
      </c>
    </row>
    <row r="103" spans="2:45" x14ac:dyDescent="0.25">
      <c r="B103" s="2" t="s">
        <v>5163</v>
      </c>
      <c r="AO103" t="s">
        <v>5873</v>
      </c>
      <c r="AS103" t="s">
        <v>5164</v>
      </c>
    </row>
    <row r="104" spans="2:45" x14ac:dyDescent="0.25">
      <c r="B104" s="2" t="s">
        <v>5165</v>
      </c>
      <c r="AO104" t="s">
        <v>5874</v>
      </c>
      <c r="AS104" t="s">
        <v>5166</v>
      </c>
    </row>
    <row r="105" spans="2:45" x14ac:dyDescent="0.25">
      <c r="B105" s="2" t="s">
        <v>5167</v>
      </c>
      <c r="AO105" t="s">
        <v>5875</v>
      </c>
      <c r="AS105" t="s">
        <v>5168</v>
      </c>
    </row>
    <row r="106" spans="2:45" x14ac:dyDescent="0.25">
      <c r="AO106" t="s">
        <v>5876</v>
      </c>
      <c r="AS106" t="s">
        <v>5169</v>
      </c>
    </row>
    <row r="107" spans="2:45" x14ac:dyDescent="0.25">
      <c r="AO107" t="s">
        <v>5877</v>
      </c>
      <c r="AS107" t="s">
        <v>5170</v>
      </c>
    </row>
    <row r="108" spans="2:45" x14ac:dyDescent="0.25">
      <c r="AO108" t="s">
        <v>5878</v>
      </c>
      <c r="AS108" t="s">
        <v>5171</v>
      </c>
    </row>
    <row r="109" spans="2:45" x14ac:dyDescent="0.25">
      <c r="AO109" t="s">
        <v>5879</v>
      </c>
      <c r="AS109" t="s">
        <v>5172</v>
      </c>
    </row>
    <row r="110" spans="2:45" x14ac:dyDescent="0.25">
      <c r="AO110" t="s">
        <v>5880</v>
      </c>
      <c r="AS110" t="s">
        <v>5173</v>
      </c>
    </row>
    <row r="111" spans="2:45" x14ac:dyDescent="0.25">
      <c r="AO111" t="s">
        <v>5881</v>
      </c>
      <c r="AS111" t="s">
        <v>5174</v>
      </c>
    </row>
    <row r="112" spans="2:45" x14ac:dyDescent="0.25">
      <c r="AO112" t="s">
        <v>5882</v>
      </c>
      <c r="AS112" t="s">
        <v>5175</v>
      </c>
    </row>
    <row r="113" spans="41:45" x14ac:dyDescent="0.25">
      <c r="AO113" t="s">
        <v>5883</v>
      </c>
      <c r="AS113" t="s">
        <v>5176</v>
      </c>
    </row>
    <row r="114" spans="41:45" x14ac:dyDescent="0.25">
      <c r="AO114" t="s">
        <v>5884</v>
      </c>
      <c r="AS114" t="s">
        <v>5177</v>
      </c>
    </row>
    <row r="115" spans="41:45" x14ac:dyDescent="0.25">
      <c r="AO115" t="s">
        <v>5885</v>
      </c>
    </row>
    <row r="116" spans="41:45" x14ac:dyDescent="0.25">
      <c r="AO116" t="s">
        <v>5886</v>
      </c>
    </row>
    <row r="117" spans="41:45" x14ac:dyDescent="0.25">
      <c r="AO117" t="s">
        <v>5887</v>
      </c>
    </row>
    <row r="118" spans="41:45" x14ac:dyDescent="0.25">
      <c r="AO118" t="s">
        <v>5888</v>
      </c>
    </row>
    <row r="119" spans="41:45" x14ac:dyDescent="0.25">
      <c r="AO119" t="s">
        <v>5889</v>
      </c>
    </row>
    <row r="120" spans="41:45" x14ac:dyDescent="0.25">
      <c r="AO120" t="s">
        <v>5890</v>
      </c>
    </row>
    <row r="121" spans="41:45" x14ac:dyDescent="0.25">
      <c r="AO121" t="s">
        <v>5891</v>
      </c>
    </row>
    <row r="122" spans="41:45" x14ac:dyDescent="0.25">
      <c r="AO122" t="s">
        <v>5892</v>
      </c>
    </row>
    <row r="123" spans="41:45" x14ac:dyDescent="0.25">
      <c r="AO123" t="s">
        <v>5893</v>
      </c>
    </row>
    <row r="124" spans="41:45" x14ac:dyDescent="0.25">
      <c r="AO124" t="s">
        <v>5894</v>
      </c>
    </row>
    <row r="125" spans="41:45" x14ac:dyDescent="0.25">
      <c r="AO125" t="s">
        <v>5895</v>
      </c>
    </row>
    <row r="126" spans="41:45" x14ac:dyDescent="0.25">
      <c r="AO126" t="s">
        <v>5896</v>
      </c>
    </row>
    <row r="127" spans="41:45" x14ac:dyDescent="0.25">
      <c r="AO127" t="s">
        <v>5897</v>
      </c>
    </row>
    <row r="128" spans="41:45" x14ac:dyDescent="0.25">
      <c r="AO128" t="s">
        <v>5898</v>
      </c>
    </row>
    <row r="129" spans="41:41" x14ac:dyDescent="0.25">
      <c r="AO129" t="s">
        <v>5899</v>
      </c>
    </row>
    <row r="130" spans="41:41" x14ac:dyDescent="0.25">
      <c r="AO130" t="s">
        <v>5900</v>
      </c>
    </row>
    <row r="131" spans="41:41" x14ac:dyDescent="0.25">
      <c r="AO131" t="s">
        <v>5901</v>
      </c>
    </row>
    <row r="132" spans="41:41" x14ac:dyDescent="0.25">
      <c r="AO132" t="s">
        <v>5902</v>
      </c>
    </row>
    <row r="133" spans="41:41" x14ac:dyDescent="0.25">
      <c r="AO133" t="s">
        <v>5903</v>
      </c>
    </row>
    <row r="134" spans="41:41" x14ac:dyDescent="0.25">
      <c r="AO134" t="s">
        <v>5904</v>
      </c>
    </row>
    <row r="135" spans="41:41" x14ac:dyDescent="0.25">
      <c r="AO135" t="s">
        <v>5905</v>
      </c>
    </row>
    <row r="136" spans="41:41" x14ac:dyDescent="0.25">
      <c r="AO136" t="s">
        <v>5906</v>
      </c>
    </row>
    <row r="137" spans="41:41" x14ac:dyDescent="0.25">
      <c r="AO137" t="s">
        <v>5907</v>
      </c>
    </row>
    <row r="138" spans="41:41" x14ac:dyDescent="0.25">
      <c r="AO138" t="s">
        <v>5908</v>
      </c>
    </row>
    <row r="139" spans="41:41" x14ac:dyDescent="0.25">
      <c r="AO139" t="s">
        <v>5909</v>
      </c>
    </row>
    <row r="140" spans="41:41" x14ac:dyDescent="0.25">
      <c r="AO140" t="s">
        <v>5910</v>
      </c>
    </row>
    <row r="141" spans="41:41" x14ac:dyDescent="0.25">
      <c r="AO141" t="s">
        <v>5911</v>
      </c>
    </row>
    <row r="142" spans="41:41" x14ac:dyDescent="0.25">
      <c r="AO142" t="s">
        <v>5912</v>
      </c>
    </row>
    <row r="143" spans="41:41" x14ac:dyDescent="0.25">
      <c r="AO143" t="s">
        <v>5913</v>
      </c>
    </row>
    <row r="144" spans="41:41" x14ac:dyDescent="0.25">
      <c r="AO144" t="s">
        <v>5914</v>
      </c>
    </row>
    <row r="145" spans="41:41" x14ac:dyDescent="0.25">
      <c r="AO145" t="s">
        <v>5915</v>
      </c>
    </row>
    <row r="146" spans="41:41" x14ac:dyDescent="0.25">
      <c r="AO146" t="s">
        <v>5916</v>
      </c>
    </row>
    <row r="147" spans="41:41" x14ac:dyDescent="0.25">
      <c r="AO147" t="s">
        <v>5917</v>
      </c>
    </row>
    <row r="148" spans="41:41" x14ac:dyDescent="0.25">
      <c r="AO148" t="s">
        <v>5918</v>
      </c>
    </row>
    <row r="149" spans="41:41" x14ac:dyDescent="0.25">
      <c r="AO149" t="s">
        <v>5919</v>
      </c>
    </row>
    <row r="150" spans="41:41" x14ac:dyDescent="0.25">
      <c r="AO150" t="s">
        <v>5920</v>
      </c>
    </row>
    <row r="151" spans="41:41" x14ac:dyDescent="0.25">
      <c r="AO151" t="s">
        <v>5921</v>
      </c>
    </row>
    <row r="152" spans="41:41" x14ac:dyDescent="0.25">
      <c r="AO152" t="s">
        <v>5922</v>
      </c>
    </row>
    <row r="153" spans="41:41" x14ac:dyDescent="0.25">
      <c r="AO153" t="s">
        <v>5923</v>
      </c>
    </row>
    <row r="154" spans="41:41" x14ac:dyDescent="0.25">
      <c r="AO154" t="s">
        <v>5924</v>
      </c>
    </row>
    <row r="155" spans="41:41" x14ac:dyDescent="0.25">
      <c r="AO155" t="s">
        <v>5925</v>
      </c>
    </row>
    <row r="156" spans="41:41" x14ac:dyDescent="0.25">
      <c r="AO156" t="s">
        <v>5926</v>
      </c>
    </row>
    <row r="157" spans="41:41" x14ac:dyDescent="0.25">
      <c r="AO157" t="s">
        <v>5927</v>
      </c>
    </row>
    <row r="158" spans="41:41" x14ac:dyDescent="0.25">
      <c r="AO158" t="s">
        <v>5928</v>
      </c>
    </row>
    <row r="159" spans="41:41" x14ac:dyDescent="0.25">
      <c r="AO159" t="s">
        <v>5929</v>
      </c>
    </row>
    <row r="160" spans="41:41" x14ac:dyDescent="0.25">
      <c r="AO160" t="s">
        <v>5930</v>
      </c>
    </row>
    <row r="161" spans="41:41" x14ac:dyDescent="0.25">
      <c r="AO161" t="s">
        <v>5931</v>
      </c>
    </row>
    <row r="162" spans="41:41" x14ac:dyDescent="0.25">
      <c r="AO162" t="s">
        <v>5932</v>
      </c>
    </row>
    <row r="163" spans="41:41" x14ac:dyDescent="0.25">
      <c r="AO163" t="s">
        <v>5933</v>
      </c>
    </row>
    <row r="164" spans="41:41" x14ac:dyDescent="0.25">
      <c r="AO164" t="s">
        <v>5934</v>
      </c>
    </row>
    <row r="165" spans="41:41" x14ac:dyDescent="0.25">
      <c r="AO165" t="s">
        <v>5935</v>
      </c>
    </row>
    <row r="166" spans="41:41" x14ac:dyDescent="0.25">
      <c r="AO166" t="s">
        <v>5936</v>
      </c>
    </row>
    <row r="167" spans="41:41" x14ac:dyDescent="0.25">
      <c r="AO167" t="s">
        <v>5937</v>
      </c>
    </row>
    <row r="168" spans="41:41" x14ac:dyDescent="0.25">
      <c r="AO168" t="s">
        <v>5938</v>
      </c>
    </row>
    <row r="169" spans="41:41" x14ac:dyDescent="0.25">
      <c r="AO169" t="s">
        <v>5939</v>
      </c>
    </row>
    <row r="170" spans="41:41" x14ac:dyDescent="0.25">
      <c r="AO170" t="s">
        <v>5940</v>
      </c>
    </row>
    <row r="171" spans="41:41" x14ac:dyDescent="0.25">
      <c r="AO171" t="s">
        <v>5941</v>
      </c>
    </row>
    <row r="172" spans="41:41" x14ac:dyDescent="0.25">
      <c r="AO172" t="s">
        <v>5942</v>
      </c>
    </row>
    <row r="173" spans="41:41" x14ac:dyDescent="0.25">
      <c r="AO173" t="s">
        <v>5943</v>
      </c>
    </row>
    <row r="174" spans="41:41" x14ac:dyDescent="0.25">
      <c r="AO174" t="s">
        <v>5944</v>
      </c>
    </row>
    <row r="175" spans="41:41" x14ac:dyDescent="0.25">
      <c r="AO175" t="s">
        <v>5945</v>
      </c>
    </row>
    <row r="176" spans="41:41" x14ac:dyDescent="0.25">
      <c r="AO176" t="s">
        <v>5946</v>
      </c>
    </row>
    <row r="177" spans="41:41" x14ac:dyDescent="0.25">
      <c r="AO177" t="s">
        <v>5947</v>
      </c>
    </row>
    <row r="178" spans="41:41" x14ac:dyDescent="0.25">
      <c r="AO178" t="s">
        <v>5948</v>
      </c>
    </row>
    <row r="179" spans="41:41" x14ac:dyDescent="0.25">
      <c r="AO179" t="s">
        <v>5949</v>
      </c>
    </row>
    <row r="180" spans="41:41" x14ac:dyDescent="0.25">
      <c r="AO180" t="s">
        <v>5950</v>
      </c>
    </row>
    <row r="181" spans="41:41" x14ac:dyDescent="0.25">
      <c r="AO181" t="s">
        <v>5951</v>
      </c>
    </row>
    <row r="182" spans="41:41" x14ac:dyDescent="0.25">
      <c r="AO182" t="s">
        <v>5952</v>
      </c>
    </row>
    <row r="183" spans="41:41" x14ac:dyDescent="0.25">
      <c r="AO183" t="s">
        <v>5953</v>
      </c>
    </row>
    <row r="184" spans="41:41" x14ac:dyDescent="0.25">
      <c r="AO184" t="s">
        <v>5954</v>
      </c>
    </row>
    <row r="185" spans="41:41" x14ac:dyDescent="0.25">
      <c r="AO185" t="s">
        <v>5955</v>
      </c>
    </row>
    <row r="186" spans="41:41" x14ac:dyDescent="0.25">
      <c r="AO186" t="s">
        <v>5956</v>
      </c>
    </row>
    <row r="187" spans="41:41" x14ac:dyDescent="0.25">
      <c r="AO187" t="s">
        <v>5957</v>
      </c>
    </row>
    <row r="188" spans="41:41" x14ac:dyDescent="0.25">
      <c r="AO188" t="s">
        <v>5958</v>
      </c>
    </row>
    <row r="189" spans="41:41" x14ac:dyDescent="0.25">
      <c r="AO189" t="s">
        <v>5959</v>
      </c>
    </row>
    <row r="190" spans="41:41" x14ac:dyDescent="0.25">
      <c r="AO190" t="s">
        <v>5960</v>
      </c>
    </row>
    <row r="191" spans="41:41" x14ac:dyDescent="0.25">
      <c r="AO191" t="s">
        <v>5961</v>
      </c>
    </row>
    <row r="192" spans="41:41" x14ac:dyDescent="0.25">
      <c r="AO192" t="s">
        <v>5962</v>
      </c>
    </row>
    <row r="193" spans="41:41" x14ac:dyDescent="0.25">
      <c r="AO193" t="s">
        <v>5963</v>
      </c>
    </row>
    <row r="194" spans="41:41" x14ac:dyDescent="0.25">
      <c r="AO194" t="s">
        <v>5964</v>
      </c>
    </row>
    <row r="195" spans="41:41" x14ac:dyDescent="0.25">
      <c r="AO195" t="s">
        <v>5965</v>
      </c>
    </row>
    <row r="196" spans="41:41" x14ac:dyDescent="0.25">
      <c r="AO196" t="s">
        <v>5966</v>
      </c>
    </row>
    <row r="197" spans="41:41" x14ac:dyDescent="0.25">
      <c r="AO197" t="s">
        <v>5967</v>
      </c>
    </row>
    <row r="198" spans="41:41" x14ac:dyDescent="0.25">
      <c r="AO198" t="s">
        <v>5968</v>
      </c>
    </row>
    <row r="199" spans="41:41" x14ac:dyDescent="0.25">
      <c r="AO199" t="s">
        <v>5969</v>
      </c>
    </row>
    <row r="200" spans="41:41" x14ac:dyDescent="0.25">
      <c r="AO200" t="s">
        <v>5970</v>
      </c>
    </row>
    <row r="201" spans="41:41" x14ac:dyDescent="0.25">
      <c r="AO201" t="s">
        <v>5971</v>
      </c>
    </row>
    <row r="202" spans="41:41" x14ac:dyDescent="0.25">
      <c r="AO202" t="s">
        <v>5972</v>
      </c>
    </row>
    <row r="203" spans="41:41" x14ac:dyDescent="0.25">
      <c r="AO203" t="s">
        <v>5973</v>
      </c>
    </row>
    <row r="204" spans="41:41" x14ac:dyDescent="0.25">
      <c r="AO204" t="s">
        <v>5974</v>
      </c>
    </row>
    <row r="205" spans="41:41" x14ac:dyDescent="0.25">
      <c r="AO205" t="s">
        <v>5975</v>
      </c>
    </row>
    <row r="206" spans="41:41" x14ac:dyDescent="0.25">
      <c r="AO206" t="s">
        <v>5976</v>
      </c>
    </row>
    <row r="207" spans="41:41" x14ac:dyDescent="0.25">
      <c r="AO207" t="s">
        <v>5977</v>
      </c>
    </row>
    <row r="208" spans="41:41" x14ac:dyDescent="0.25">
      <c r="AO208" t="s">
        <v>5978</v>
      </c>
    </row>
    <row r="209" spans="41:41" x14ac:dyDescent="0.25">
      <c r="AO209" t="s">
        <v>5979</v>
      </c>
    </row>
    <row r="210" spans="41:41" x14ac:dyDescent="0.25">
      <c r="AO210" t="s">
        <v>5980</v>
      </c>
    </row>
    <row r="211" spans="41:41" x14ac:dyDescent="0.25">
      <c r="AO211" t="s">
        <v>5981</v>
      </c>
    </row>
    <row r="212" spans="41:41" x14ac:dyDescent="0.25">
      <c r="AO212" t="s">
        <v>5982</v>
      </c>
    </row>
    <row r="213" spans="41:41" x14ac:dyDescent="0.25">
      <c r="AO213" t="s">
        <v>5983</v>
      </c>
    </row>
    <row r="214" spans="41:41" x14ac:dyDescent="0.25">
      <c r="AO214" t="s">
        <v>5984</v>
      </c>
    </row>
    <row r="215" spans="41:41" x14ac:dyDescent="0.25">
      <c r="AO215" t="s">
        <v>5985</v>
      </c>
    </row>
    <row r="216" spans="41:41" x14ac:dyDescent="0.25">
      <c r="AO216" t="s">
        <v>5986</v>
      </c>
    </row>
    <row r="217" spans="41:41" x14ac:dyDescent="0.25">
      <c r="AO217" t="s">
        <v>5987</v>
      </c>
    </row>
    <row r="218" spans="41:41" x14ac:dyDescent="0.25">
      <c r="AO218" t="s">
        <v>5988</v>
      </c>
    </row>
    <row r="219" spans="41:41" x14ac:dyDescent="0.25">
      <c r="AO219" t="s">
        <v>5989</v>
      </c>
    </row>
    <row r="220" spans="41:41" x14ac:dyDescent="0.25">
      <c r="AO220" t="s">
        <v>5990</v>
      </c>
    </row>
    <row r="221" spans="41:41" x14ac:dyDescent="0.25">
      <c r="AO221" t="s">
        <v>5991</v>
      </c>
    </row>
    <row r="222" spans="41:41" x14ac:dyDescent="0.25">
      <c r="AO222" t="s">
        <v>5992</v>
      </c>
    </row>
    <row r="223" spans="41:41" x14ac:dyDescent="0.25">
      <c r="AO223" t="s">
        <v>5993</v>
      </c>
    </row>
    <row r="224" spans="41:41" x14ac:dyDescent="0.25">
      <c r="AO224" t="s">
        <v>5994</v>
      </c>
    </row>
    <row r="225" spans="41:41" x14ac:dyDescent="0.25">
      <c r="AO225" t="s">
        <v>5995</v>
      </c>
    </row>
    <row r="226" spans="41:41" x14ac:dyDescent="0.25">
      <c r="AO226" t="s">
        <v>5996</v>
      </c>
    </row>
    <row r="227" spans="41:41" x14ac:dyDescent="0.25">
      <c r="AO227" t="s">
        <v>5997</v>
      </c>
    </row>
    <row r="228" spans="41:41" x14ac:dyDescent="0.25">
      <c r="AO228" t="s">
        <v>5998</v>
      </c>
    </row>
    <row r="229" spans="41:41" x14ac:dyDescent="0.25">
      <c r="AO229" t="s">
        <v>5999</v>
      </c>
    </row>
    <row r="230" spans="41:41" x14ac:dyDescent="0.25">
      <c r="AO230" t="s">
        <v>6000</v>
      </c>
    </row>
    <row r="231" spans="41:41" x14ac:dyDescent="0.25">
      <c r="AO231" t="s">
        <v>6001</v>
      </c>
    </row>
    <row r="232" spans="41:41" x14ac:dyDescent="0.25">
      <c r="AO232" t="s">
        <v>6002</v>
      </c>
    </row>
    <row r="233" spans="41:41" x14ac:dyDescent="0.25">
      <c r="AO233" t="s">
        <v>6003</v>
      </c>
    </row>
    <row r="234" spans="41:41" x14ac:dyDescent="0.25">
      <c r="AO234" t="s">
        <v>6004</v>
      </c>
    </row>
    <row r="235" spans="41:41" x14ac:dyDescent="0.25">
      <c r="AO235" t="s">
        <v>6005</v>
      </c>
    </row>
    <row r="236" spans="41:41" x14ac:dyDescent="0.25">
      <c r="AO236" t="s">
        <v>6006</v>
      </c>
    </row>
    <row r="237" spans="41:41" x14ac:dyDescent="0.25">
      <c r="AO237" t="s">
        <v>6007</v>
      </c>
    </row>
    <row r="238" spans="41:41" x14ac:dyDescent="0.25">
      <c r="AO238" t="s">
        <v>6008</v>
      </c>
    </row>
    <row r="239" spans="41:41" x14ac:dyDescent="0.25">
      <c r="AO239" t="s">
        <v>6009</v>
      </c>
    </row>
    <row r="240" spans="41:41" x14ac:dyDescent="0.25">
      <c r="AO240" t="s">
        <v>6010</v>
      </c>
    </row>
    <row r="241" spans="41:41" x14ac:dyDescent="0.25">
      <c r="AO241" t="s">
        <v>6011</v>
      </c>
    </row>
    <row r="242" spans="41:41" x14ac:dyDescent="0.25">
      <c r="AO242" t="s">
        <v>6012</v>
      </c>
    </row>
    <row r="243" spans="41:41" x14ac:dyDescent="0.25">
      <c r="AO243" t="s">
        <v>6013</v>
      </c>
    </row>
    <row r="244" spans="41:41" x14ac:dyDescent="0.25">
      <c r="AO244" t="s">
        <v>6014</v>
      </c>
    </row>
    <row r="245" spans="41:41" x14ac:dyDescent="0.25">
      <c r="AO245" t="s">
        <v>6015</v>
      </c>
    </row>
    <row r="246" spans="41:41" x14ac:dyDescent="0.25">
      <c r="AO246" t="s">
        <v>6016</v>
      </c>
    </row>
    <row r="247" spans="41:41" x14ac:dyDescent="0.25">
      <c r="AO247" t="s">
        <v>6017</v>
      </c>
    </row>
  </sheetData>
  <sheetProtection password="C9D6" sheet="1" objects="1" scenarios="1"/>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
  <sheetViews>
    <sheetView workbookViewId="0"/>
  </sheetViews>
  <sheetFormatPr defaultColWidth="11.42578125" defaultRowHeight="15" x14ac:dyDescent="0.25"/>
  <sheetData>
    <row r="1" spans="1:1" x14ac:dyDescent="0.25">
      <c r="A1">
        <v>1</v>
      </c>
    </row>
    <row r="2" spans="1:1" x14ac:dyDescent="0.25">
      <c r="A2">
        <v>2017</v>
      </c>
    </row>
    <row r="3" spans="1:1" x14ac:dyDescent="0.25">
      <c r="A3">
        <v>2</v>
      </c>
    </row>
    <row r="4" spans="1:1" x14ac:dyDescent="0.25">
      <c r="A4" t="s">
        <v>5178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6836E750C38943A6C2BEF7CA346743" ma:contentTypeVersion="0" ma:contentTypeDescription="Create a new document." ma:contentTypeScope="" ma:versionID="e13ff64039b6aeb7fca4f0af7a516c63">
  <xsd:schema xmlns:xsd="http://www.w3.org/2001/XMLSchema" xmlns:xs="http://www.w3.org/2001/XMLSchema" xmlns:p="http://schemas.microsoft.com/office/2006/metadata/properties" targetNamespace="http://schemas.microsoft.com/office/2006/metadata/properties" ma:root="true" ma:fieldsID="280f7f7522f218e81b2b69d9e7d12a8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B176716-40DB-4B5E-9E1C-44418DF97188}"/>
</file>

<file path=customXml/itemProps2.xml><?xml version="1.0" encoding="utf-8"?>
<ds:datastoreItem xmlns:ds="http://schemas.openxmlformats.org/officeDocument/2006/customXml" ds:itemID="{F4F3D423-C80D-470B-B43B-ED1817F53303}"/>
</file>

<file path=customXml/itemProps3.xml><?xml version="1.0" encoding="utf-8"?>
<ds:datastoreItem xmlns:ds="http://schemas.openxmlformats.org/officeDocument/2006/customXml" ds:itemID="{7E6BE9C4-136E-406F-B551-B2EF315450B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572</vt:i4>
      </vt:variant>
    </vt:vector>
  </HeadingPairs>
  <TitlesOfParts>
    <vt:vector size="604" baseType="lpstr">
      <vt:lpstr>Inicio</vt:lpstr>
      <vt:lpstr>Contribuyente</vt:lpstr>
      <vt:lpstr>Contador</vt:lpstr>
      <vt:lpstr>Representante</vt:lpstr>
      <vt:lpstr>Generales</vt:lpstr>
      <vt:lpstr>ANEXO 5</vt:lpstr>
      <vt:lpstr>ANEXO 7</vt:lpstr>
      <vt:lpstr>ANEXO 6</vt:lpstr>
      <vt:lpstr>ANEXO 8</vt:lpstr>
      <vt:lpstr>ANEXO 2</vt:lpstr>
      <vt:lpstr>ANEXO 10</vt:lpstr>
      <vt:lpstr>ANEXO 3</vt:lpstr>
      <vt:lpstr>ANEXO 1</vt:lpstr>
      <vt:lpstr>ANEXO 14</vt:lpstr>
      <vt:lpstr>ANEXO 4</vt:lpstr>
      <vt:lpstr>ANEXO 20</vt:lpstr>
      <vt:lpstr>ANEXO 11</vt:lpstr>
      <vt:lpstr>ANEXO 15</vt:lpstr>
      <vt:lpstr>ANEXO 9</vt:lpstr>
      <vt:lpstr>ANEXO 18</vt:lpstr>
      <vt:lpstr>ANEXO 12</vt:lpstr>
      <vt:lpstr>ANEXO 13</vt:lpstr>
      <vt:lpstr>ANEXO 16</vt:lpstr>
      <vt:lpstr>ANEXO 17</vt:lpstr>
      <vt:lpstr>ANEXO 19</vt:lpstr>
      <vt:lpstr>ANEXO 21</vt:lpstr>
      <vt:lpstr>ANEXO 22</vt:lpstr>
      <vt:lpstr>ANEXO 23</vt:lpstr>
      <vt:lpstr>CDF</vt:lpstr>
      <vt:lpstr>MPT</vt:lpstr>
      <vt:lpstr>Cat</vt:lpstr>
      <vt:lpstr>i|dSoft</vt:lpstr>
      <vt:lpstr>ADMIN_AGUASCA</vt:lpstr>
      <vt:lpstr>ADMIN_BAJACAL</vt:lpstr>
      <vt:lpstr>ADMIN_BAJACALSUR</vt:lpstr>
      <vt:lpstr>ADMIN_CAMPECHE</vt:lpstr>
      <vt:lpstr>ADMIN_CAT</vt:lpstr>
      <vt:lpstr>ADMIN_CHIAPAS</vt:lpstr>
      <vt:lpstr>ADMIN_CHIHUAHUA</vt:lpstr>
      <vt:lpstr>ADMIN_COAHUILA</vt:lpstr>
      <vt:lpstr>ADMIN_COLIMA</vt:lpstr>
      <vt:lpstr>ADMIN_DISTRITOFEDERAL</vt:lpstr>
      <vt:lpstr>ADMIN_DURANGO</vt:lpstr>
      <vt:lpstr>ADMIN_GRANDES</vt:lpstr>
      <vt:lpstr>ADMIN_GUANAJUATO</vt:lpstr>
      <vt:lpstr>ADMIN_GUERRERO</vt:lpstr>
      <vt:lpstr>ADMIN_HIDALGO</vt:lpstr>
      <vt:lpstr>ADMIN_HIDROCARBUROS</vt:lpstr>
      <vt:lpstr>ADMIN_JALISCO</vt:lpstr>
      <vt:lpstr>ADMIN_MEXICO</vt:lpstr>
      <vt:lpstr>ADMIN_MICHOACAN</vt:lpstr>
      <vt:lpstr>ADMIN_MORELOS</vt:lpstr>
      <vt:lpstr>ADMIN_NAYARIT</vt:lpstr>
      <vt:lpstr>ADMIN_NUEVOLEON</vt:lpstr>
      <vt:lpstr>ADMIN_OAXACA</vt:lpstr>
      <vt:lpstr>ADMIN_PUEBLA</vt:lpstr>
      <vt:lpstr>ADMIN_QUERETARO</vt:lpstr>
      <vt:lpstr>ADMIN_QUINTANAROO</vt:lpstr>
      <vt:lpstr>ADMIN_SANLUISPOTOSI</vt:lpstr>
      <vt:lpstr>ADMIN_SINALOA</vt:lpstr>
      <vt:lpstr>ADMIN_SONORA</vt:lpstr>
      <vt:lpstr>ADMIN_TABASCO</vt:lpstr>
      <vt:lpstr>ADMIN_TAMAULIPAS</vt:lpstr>
      <vt:lpstr>ADMIN_TLAXCALA</vt:lpstr>
      <vt:lpstr>ADMIN_VERACRUZ</vt:lpstr>
      <vt:lpstr>ADMIN_YUCATAN</vt:lpstr>
      <vt:lpstr>ADMIN_ZACATECAS</vt:lpstr>
      <vt:lpstr>Contribuyente!B_A_ADRICONTRI_CONTRI_SECTOR</vt:lpstr>
      <vt:lpstr>Contribuyente!B_A_DECLARATORIA_CONTRI</vt:lpstr>
      <vt:lpstr>Contribuyente!B_A_PERSONA_PER_COD</vt:lpstr>
      <vt:lpstr>Contribuyente!B_A_PERSONA_PER_COL</vt:lpstr>
      <vt:lpstr>Contribuyente!B_A_PERSONA_PER_CURP</vt:lpstr>
      <vt:lpstr>Contribuyente!B_A_PERSONA_PER_DEL</vt:lpstr>
      <vt:lpstr>Contribuyente!B_A_PERSONA_PER_DOM</vt:lpstr>
      <vt:lpstr>Contribuyente!B_A_PERSONA_PER_EDO</vt:lpstr>
      <vt:lpstr>Contribuyente!B_A_PERSONA_PER_EXT</vt:lpstr>
      <vt:lpstr>Contribuyente!B_A_PERSONA_PER_MAIL</vt:lpstr>
      <vt:lpstr>Contribuyente!B_A_PERSONA_PER_NOM</vt:lpstr>
      <vt:lpstr>Contribuyente!B_A_PERSONA_PER_POB</vt:lpstr>
      <vt:lpstr>Contribuyente!B_A_PERSONA_PER_RFC</vt:lpstr>
      <vt:lpstr>Contribuyente!B_A_PERSONA_PER_TEL</vt:lpstr>
      <vt:lpstr>Contador!B_B_DECLARATORIA_CPI</vt:lpstr>
      <vt:lpstr>Contador!B_B_DESPACHO_DES_COL</vt:lpstr>
      <vt:lpstr>Contador!B_B_DESPACHO_DES_NOM</vt:lpstr>
      <vt:lpstr>Contador!B_B_DESPACHO_DES_NUM</vt:lpstr>
      <vt:lpstr>Contador!B_B_DESPACHO_DES_RFC</vt:lpstr>
      <vt:lpstr>Contador!B_B_PERSONA_PER_COD</vt:lpstr>
      <vt:lpstr>Contador!B_B_PERSONA_PER_COL</vt:lpstr>
      <vt:lpstr>Contador!B_B_PERSONA_PER_CURP</vt:lpstr>
      <vt:lpstr>Contador!B_B_PERSONA_PER_DEL</vt:lpstr>
      <vt:lpstr>Contador!B_B_PERSONA_PER_DOM</vt:lpstr>
      <vt:lpstr>Contador!B_B_PERSONA_PER_EDO</vt:lpstr>
      <vt:lpstr>Contador!B_B_PERSONA_PER_EXT</vt:lpstr>
      <vt:lpstr>Contador!B_B_PERSONA_PER_MAIL</vt:lpstr>
      <vt:lpstr>Contador!B_B_PERSONA_PER_MAILBUZON</vt:lpstr>
      <vt:lpstr>Contador!B_B_PERSONA_PER_NOM</vt:lpstr>
      <vt:lpstr>Contador!B_B_PERSONA_PER_POB</vt:lpstr>
      <vt:lpstr>Contador!B_B_PERSONA_PER_RFC</vt:lpstr>
      <vt:lpstr>Contador!B_B_PERSONA_PER_TEL</vt:lpstr>
      <vt:lpstr>Representante!B_C_adirepr_REPR_ENTIDADNOT</vt:lpstr>
      <vt:lpstr>Representante!B_C_adirepr_REPR_FECAPOSTILLA</vt:lpstr>
      <vt:lpstr>Representante!B_C_adirepr_REPR_FECCERTPOD</vt:lpstr>
      <vt:lpstr>Representante!B_C_adirepr_REPR_NOESCRITURA</vt:lpstr>
      <vt:lpstr>Representante!B_C_adirepr_REPR_NONOTARIA</vt:lpstr>
      <vt:lpstr>Representante!B_C_DECLARATORIA_RL</vt:lpstr>
      <vt:lpstr>Representante!B_C_PERSONA_PER_COD</vt:lpstr>
      <vt:lpstr>Representante!B_C_PERSONA_PER_COL</vt:lpstr>
      <vt:lpstr>Representante!B_C_PERSONA_PER_CURP</vt:lpstr>
      <vt:lpstr>Representante!B_C_PERSONA_PER_DEL</vt:lpstr>
      <vt:lpstr>Representante!B_C_PERSONA_PER_DES</vt:lpstr>
      <vt:lpstr>Representante!B_C_PERSONA_PER_DOM</vt:lpstr>
      <vt:lpstr>Representante!B_C_PERSONA_PER_EDO</vt:lpstr>
      <vt:lpstr>Representante!B_C_PERSONA_PER_MAIL</vt:lpstr>
      <vt:lpstr>Representante!B_C_PERSONA_PER_NOM</vt:lpstr>
      <vt:lpstr>Representante!B_C_PERSONA_PER_POB</vt:lpstr>
      <vt:lpstr>Representante!B_C_PERSONA_PER_RES</vt:lpstr>
      <vt:lpstr>Representante!B_C_PERSONA_PER_RFC</vt:lpstr>
      <vt:lpstr>Representante!B_C_PERSONA_PER_TEL</vt:lpstr>
      <vt:lpstr>Generales!B_D_CUANTITATIVOS_CUA_ALAF</vt:lpstr>
      <vt:lpstr>Generales!B_D_CUANTITATIVOS_CUA_AUTOCOM</vt:lpstr>
      <vt:lpstr>Generales!B_D_CUANTITATIVOS_CUA_FECFIN</vt:lpstr>
      <vt:lpstr>Generales!B_D_CUANTITATIVOS_CUA_FECINI</vt:lpstr>
      <vt:lpstr>Generales!B_D_CUANTITATIVOS_CUA_FINANT</vt:lpstr>
      <vt:lpstr>Generales!B_D_CUANTITATIVOS_CUA_FRACCION</vt:lpstr>
      <vt:lpstr>Generales!B_D_CUANTITATIVOS_CUA_FRACCION_ACTIVO</vt:lpstr>
      <vt:lpstr>Generales!B_D_CUANTITATIVOS_CUA_FRACCION_MOTIVO</vt:lpstr>
      <vt:lpstr>Generales!B_D_CUANTITATIVOS_CUA_FRACCION_TRABAJADORES</vt:lpstr>
      <vt:lpstr>Generales!B_D_CUANTITATIVOS_CUA_INIANT</vt:lpstr>
      <vt:lpstr>Generales!B_D_CUANTITATIVOS_CUA_TCUNIFICADO</vt:lpstr>
      <vt:lpstr>Generales!B_D_CUANTITATIVOS_CUA_TIPOOPINION</vt:lpstr>
      <vt:lpstr>'ANEXO 1'!C_1</vt:lpstr>
      <vt:lpstr>'ANEXO 10'!C_1</vt:lpstr>
      <vt:lpstr>'ANEXO 11'!C_1</vt:lpstr>
      <vt:lpstr>'ANEXO 12'!C_1</vt:lpstr>
      <vt:lpstr>'ANEXO 13'!C_1</vt:lpstr>
      <vt:lpstr>'ANEXO 14'!C_1</vt:lpstr>
      <vt:lpstr>'ANEXO 15'!C_1</vt:lpstr>
      <vt:lpstr>'ANEXO 16'!C_1</vt:lpstr>
      <vt:lpstr>'ANEXO 17'!C_1</vt:lpstr>
      <vt:lpstr>'ANEXO 18'!C_1</vt:lpstr>
      <vt:lpstr>'ANEXO 19'!C_1</vt:lpstr>
      <vt:lpstr>'ANEXO 2'!C_1</vt:lpstr>
      <vt:lpstr>'ANEXO 20'!C_1</vt:lpstr>
      <vt:lpstr>'ANEXO 21'!C_1</vt:lpstr>
      <vt:lpstr>'ANEXO 22'!C_1</vt:lpstr>
      <vt:lpstr>'ANEXO 23'!C_1</vt:lpstr>
      <vt:lpstr>'ANEXO 3'!C_1</vt:lpstr>
      <vt:lpstr>'ANEXO 4'!C_1</vt:lpstr>
      <vt:lpstr>'ANEXO 5'!C_1</vt:lpstr>
      <vt:lpstr>'ANEXO 6'!C_1</vt:lpstr>
      <vt:lpstr>'ANEXO 7'!C_1</vt:lpstr>
      <vt:lpstr>'ANEXO 8'!C_1</vt:lpstr>
      <vt:lpstr>'ANEXO 9'!C_1</vt:lpstr>
      <vt:lpstr>CDF!C_1</vt:lpstr>
      <vt:lpstr>Contador!C_1</vt:lpstr>
      <vt:lpstr>Contribuyente!C_1</vt:lpstr>
      <vt:lpstr>Generales!C_1</vt:lpstr>
      <vt:lpstr>MPT!C_1</vt:lpstr>
      <vt:lpstr>Representante!C_1</vt:lpstr>
      <vt:lpstr>'ANEXO 10'!C_10</vt:lpstr>
      <vt:lpstr>'ANEXO 12'!C_10</vt:lpstr>
      <vt:lpstr>'ANEXO 22'!C_10</vt:lpstr>
      <vt:lpstr>'ANEXO 23'!C_10</vt:lpstr>
      <vt:lpstr>'ANEXO 3'!C_10</vt:lpstr>
      <vt:lpstr>'ANEXO 10'!C_11</vt:lpstr>
      <vt:lpstr>'ANEXO 22'!C_11</vt:lpstr>
      <vt:lpstr>'ANEXO 23'!C_11</vt:lpstr>
      <vt:lpstr>'ANEXO 3'!C_11</vt:lpstr>
      <vt:lpstr>'ANEXO 7'!C_11</vt:lpstr>
      <vt:lpstr>'ANEXO 10'!C_12</vt:lpstr>
      <vt:lpstr>'ANEXO 22'!C_12</vt:lpstr>
      <vt:lpstr>'ANEXO 3'!C_12</vt:lpstr>
      <vt:lpstr>'ANEXO 7'!C_121</vt:lpstr>
      <vt:lpstr>'ANEXO 7'!C_122</vt:lpstr>
      <vt:lpstr>'ANEXO 7'!C_123</vt:lpstr>
      <vt:lpstr>'ANEXO 7'!C_124</vt:lpstr>
      <vt:lpstr>'ANEXO 7'!C_125</vt:lpstr>
      <vt:lpstr>'ANEXO 7'!C_126</vt:lpstr>
      <vt:lpstr>'ANEXO 7'!C_127</vt:lpstr>
      <vt:lpstr>'ANEXO 22'!C_13</vt:lpstr>
      <vt:lpstr>'ANEXO 7'!C_13</vt:lpstr>
      <vt:lpstr>'ANEXO 2'!C_133</vt:lpstr>
      <vt:lpstr>'ANEXO 2'!C_134</vt:lpstr>
      <vt:lpstr>'ANEXO 2'!C_136</vt:lpstr>
      <vt:lpstr>'ANEXO 2'!C_137</vt:lpstr>
      <vt:lpstr>'ANEXO 22'!C_14</vt:lpstr>
      <vt:lpstr>'ANEXO 4'!C_141</vt:lpstr>
      <vt:lpstr>'ANEXO 22'!C_15</vt:lpstr>
      <vt:lpstr>'ANEXO 6'!C_157</vt:lpstr>
      <vt:lpstr>'ANEXO 7'!C_158</vt:lpstr>
      <vt:lpstr>'ANEXO 7'!C_159</vt:lpstr>
      <vt:lpstr>'ANEXO 22'!C_16</vt:lpstr>
      <vt:lpstr>'ANEXO 7'!C_160</vt:lpstr>
      <vt:lpstr>'ANEXO 7'!C_161</vt:lpstr>
      <vt:lpstr>'ANEXO 7'!C_162</vt:lpstr>
      <vt:lpstr>'ANEXO 7'!C_163</vt:lpstr>
      <vt:lpstr>'ANEXO 7'!C_164</vt:lpstr>
      <vt:lpstr>'ANEXO 7'!C_165</vt:lpstr>
      <vt:lpstr>'ANEXO 7'!C_166</vt:lpstr>
      <vt:lpstr>'ANEXO 7'!C_167</vt:lpstr>
      <vt:lpstr>'ANEXO 7'!C_168</vt:lpstr>
      <vt:lpstr>'ANEXO 7'!C_169</vt:lpstr>
      <vt:lpstr>'ANEXO 22'!C_17</vt:lpstr>
      <vt:lpstr>'ANEXO 7'!C_170</vt:lpstr>
      <vt:lpstr>'ANEXO 7'!C_171</vt:lpstr>
      <vt:lpstr>'ANEXO 7'!C_172</vt:lpstr>
      <vt:lpstr>'ANEXO 7'!C_173</vt:lpstr>
      <vt:lpstr>'ANEXO 7'!C_174</vt:lpstr>
      <vt:lpstr>'ANEXO 7'!C_175</vt:lpstr>
      <vt:lpstr>'ANEXO 7'!C_176</vt:lpstr>
      <vt:lpstr>'ANEXO 7'!C_177</vt:lpstr>
      <vt:lpstr>'ANEXO 22'!C_18</vt:lpstr>
      <vt:lpstr>'ANEXO 22'!C_19</vt:lpstr>
      <vt:lpstr>'ANEXO 10'!C_2</vt:lpstr>
      <vt:lpstr>'ANEXO 12'!C_2</vt:lpstr>
      <vt:lpstr>'ANEXO 13'!C_2</vt:lpstr>
      <vt:lpstr>'ANEXO 14'!C_2</vt:lpstr>
      <vt:lpstr>'ANEXO 16'!C_2</vt:lpstr>
      <vt:lpstr>'ANEXO 19'!C_2</vt:lpstr>
      <vt:lpstr>'ANEXO 20'!C_2</vt:lpstr>
      <vt:lpstr>'ANEXO 21'!C_2</vt:lpstr>
      <vt:lpstr>'ANEXO 22'!C_2</vt:lpstr>
      <vt:lpstr>'ANEXO 23'!C_2</vt:lpstr>
      <vt:lpstr>'ANEXO 3'!C_2</vt:lpstr>
      <vt:lpstr>'ANEXO 5'!C_2</vt:lpstr>
      <vt:lpstr>'ANEXO 9'!C_2</vt:lpstr>
      <vt:lpstr>CDF!C_2</vt:lpstr>
      <vt:lpstr>'ANEXO 22'!C_20</vt:lpstr>
      <vt:lpstr>'ANEXO 22'!C_21</vt:lpstr>
      <vt:lpstr>'ANEXO 22'!C_22</vt:lpstr>
      <vt:lpstr>'ANEXO 1'!C_225</vt:lpstr>
      <vt:lpstr>'ANEXO 1'!C_267</vt:lpstr>
      <vt:lpstr>'ANEXO 1'!C_268</vt:lpstr>
      <vt:lpstr>'ANEXO 1'!C_269</vt:lpstr>
      <vt:lpstr>'ANEXO 16'!C_27</vt:lpstr>
      <vt:lpstr>'ANEXO 1'!C_270</vt:lpstr>
      <vt:lpstr>'ANEXO 1'!C_271</vt:lpstr>
      <vt:lpstr>'ANEXO 16'!C_28</vt:lpstr>
      <vt:lpstr>'ANEXO 10'!C_3</vt:lpstr>
      <vt:lpstr>'ANEXO 12'!C_3</vt:lpstr>
      <vt:lpstr>'ANEXO 13'!C_3</vt:lpstr>
      <vt:lpstr>'ANEXO 14'!C_3</vt:lpstr>
      <vt:lpstr>'ANEXO 16'!C_3</vt:lpstr>
      <vt:lpstr>'ANEXO 19'!C_3</vt:lpstr>
      <vt:lpstr>'ANEXO 20'!C_3</vt:lpstr>
      <vt:lpstr>'ANEXO 21'!C_3</vt:lpstr>
      <vt:lpstr>'ANEXO 22'!C_3</vt:lpstr>
      <vt:lpstr>'ANEXO 23'!C_3</vt:lpstr>
      <vt:lpstr>'ANEXO 3'!C_3</vt:lpstr>
      <vt:lpstr>'ANEXO 7'!C_3</vt:lpstr>
      <vt:lpstr>'ANEXO 8'!C_3</vt:lpstr>
      <vt:lpstr>'ANEXO 9'!C_3</vt:lpstr>
      <vt:lpstr>'ANEXO 9'!C_363</vt:lpstr>
      <vt:lpstr>'ANEXO 10'!C_4</vt:lpstr>
      <vt:lpstr>'ANEXO 12'!C_4</vt:lpstr>
      <vt:lpstr>'ANEXO 13'!C_4</vt:lpstr>
      <vt:lpstr>'ANEXO 14'!C_4</vt:lpstr>
      <vt:lpstr>'ANEXO 19'!C_4</vt:lpstr>
      <vt:lpstr>'ANEXO 20'!C_4</vt:lpstr>
      <vt:lpstr>'ANEXO 21'!C_4</vt:lpstr>
      <vt:lpstr>'ANEXO 22'!C_4</vt:lpstr>
      <vt:lpstr>'ANEXO 23'!C_4</vt:lpstr>
      <vt:lpstr>'ANEXO 3'!C_4</vt:lpstr>
      <vt:lpstr>'ANEXO 9'!C_4</vt:lpstr>
      <vt:lpstr>'ANEXO 5'!C_47</vt:lpstr>
      <vt:lpstr>'ANEXO 5'!C_48</vt:lpstr>
      <vt:lpstr>'ANEXO 5'!C_49</vt:lpstr>
      <vt:lpstr>'ANEXO 10'!C_5</vt:lpstr>
      <vt:lpstr>'ANEXO 12'!C_5</vt:lpstr>
      <vt:lpstr>'ANEXO 13'!C_5</vt:lpstr>
      <vt:lpstr>'ANEXO 14'!C_5</vt:lpstr>
      <vt:lpstr>'ANEXO 16'!C_5</vt:lpstr>
      <vt:lpstr>'ANEXO 20'!C_5</vt:lpstr>
      <vt:lpstr>'ANEXO 21'!C_5</vt:lpstr>
      <vt:lpstr>'ANEXO 22'!C_5</vt:lpstr>
      <vt:lpstr>'ANEXO 23'!C_5</vt:lpstr>
      <vt:lpstr>'ANEXO 3'!C_5</vt:lpstr>
      <vt:lpstr>'ANEXO 5'!C_5</vt:lpstr>
      <vt:lpstr>'ANEXO 7'!C_5</vt:lpstr>
      <vt:lpstr>'ANEXO 8'!C_5</vt:lpstr>
      <vt:lpstr>'ANEXO 9'!C_5</vt:lpstr>
      <vt:lpstr>'ANEXO 5'!C_51</vt:lpstr>
      <vt:lpstr>'ANEXO 5'!C_52</vt:lpstr>
      <vt:lpstr>'ANEXO 5'!C_53</vt:lpstr>
      <vt:lpstr>'ANEXO 5'!C_54</vt:lpstr>
      <vt:lpstr>'ANEXO 3'!C_55</vt:lpstr>
      <vt:lpstr>'ANEXO 5'!C_55</vt:lpstr>
      <vt:lpstr>'ANEXO 3'!C_56</vt:lpstr>
      <vt:lpstr>'ANEXO 10'!C_6</vt:lpstr>
      <vt:lpstr>'ANEXO 12'!C_6</vt:lpstr>
      <vt:lpstr>'ANEXO 13'!C_6</vt:lpstr>
      <vt:lpstr>'ANEXO 14'!C_6</vt:lpstr>
      <vt:lpstr>'ANEXO 16'!C_6</vt:lpstr>
      <vt:lpstr>'ANEXO 20'!C_6</vt:lpstr>
      <vt:lpstr>'ANEXO 21'!C_6</vt:lpstr>
      <vt:lpstr>'ANEXO 22'!C_6</vt:lpstr>
      <vt:lpstr>'ANEXO 23'!C_6</vt:lpstr>
      <vt:lpstr>'ANEXO 3'!C_6</vt:lpstr>
      <vt:lpstr>'ANEXO 3'!C_60</vt:lpstr>
      <vt:lpstr>'ANEXO 3'!C_61</vt:lpstr>
      <vt:lpstr>'ANEXO 10'!C_7</vt:lpstr>
      <vt:lpstr>'ANEXO 12'!C_7</vt:lpstr>
      <vt:lpstr>'ANEXO 13'!C_7</vt:lpstr>
      <vt:lpstr>'ANEXO 14'!C_7</vt:lpstr>
      <vt:lpstr>'ANEXO 16'!C_7</vt:lpstr>
      <vt:lpstr>'ANEXO 21'!C_7</vt:lpstr>
      <vt:lpstr>'ANEXO 22'!C_7</vt:lpstr>
      <vt:lpstr>'ANEXO 23'!C_7</vt:lpstr>
      <vt:lpstr>'ANEXO 3'!C_7</vt:lpstr>
      <vt:lpstr>'ANEXO 7'!C_7</vt:lpstr>
      <vt:lpstr>'ANEXO 10'!C_8</vt:lpstr>
      <vt:lpstr>'ANEXO 12'!C_8</vt:lpstr>
      <vt:lpstr>'ANEXO 14'!C_8</vt:lpstr>
      <vt:lpstr>'ANEXO 21'!C_8</vt:lpstr>
      <vt:lpstr>'ANEXO 22'!C_8</vt:lpstr>
      <vt:lpstr>'ANEXO 23'!C_8</vt:lpstr>
      <vt:lpstr>'ANEXO 8'!C_84</vt:lpstr>
      <vt:lpstr>'ANEXO 2'!C_85</vt:lpstr>
      <vt:lpstr>'ANEXO 8'!C_85</vt:lpstr>
      <vt:lpstr>'ANEXO 8'!C_86</vt:lpstr>
      <vt:lpstr>'ANEXO 3'!C_88</vt:lpstr>
      <vt:lpstr>'ANEXO 3'!C_89</vt:lpstr>
      <vt:lpstr>'ANEXO 10'!C_9</vt:lpstr>
      <vt:lpstr>'ANEXO 12'!C_9</vt:lpstr>
      <vt:lpstr>'ANEXO 14'!C_9</vt:lpstr>
      <vt:lpstr>'ANEXO 21'!C_9</vt:lpstr>
      <vt:lpstr>'ANEXO 22'!C_9</vt:lpstr>
      <vt:lpstr>'ANEXO 23'!C_9</vt:lpstr>
      <vt:lpstr>'ANEXO 7'!C_9</vt:lpstr>
      <vt:lpstr>'ANEXO 3'!C_90</vt:lpstr>
      <vt:lpstr>'ANEXO 3'!C_91</vt:lpstr>
      <vt:lpstr>'ANEXO 3'!C_96</vt:lpstr>
      <vt:lpstr>CATALOGCOLUMN100</vt:lpstr>
      <vt:lpstr>CATALOGCOLUMN101</vt:lpstr>
      <vt:lpstr>CATALOGCOLUMN102</vt:lpstr>
      <vt:lpstr>CATALOGCOLUMN103</vt:lpstr>
      <vt:lpstr>CATALOGCOLUMN104</vt:lpstr>
      <vt:lpstr>CATALOGCOLUMN105</vt:lpstr>
      <vt:lpstr>CATALOGCOLUMN106</vt:lpstr>
      <vt:lpstr>CATALOGCOLUMN107</vt:lpstr>
      <vt:lpstr>CATALOGCOLUMN109</vt:lpstr>
      <vt:lpstr>CATALOGCOLUMN11</vt:lpstr>
      <vt:lpstr>CATALOGCOLUMN110</vt:lpstr>
      <vt:lpstr>CATALOGCOLUMN111</vt:lpstr>
      <vt:lpstr>CATALOGCOLUMN112</vt:lpstr>
      <vt:lpstr>CATALOGCOLUMN113</vt:lpstr>
      <vt:lpstr>CATALOGCOLUMN114</vt:lpstr>
      <vt:lpstr>CATALOGCOLUMN115</vt:lpstr>
      <vt:lpstr>CATALOGCOLUMN116</vt:lpstr>
      <vt:lpstr>CATALOGCOLUMN117</vt:lpstr>
      <vt:lpstr>CATALOGCOLUMN118</vt:lpstr>
      <vt:lpstr>CATALOGCOLUMN119</vt:lpstr>
      <vt:lpstr>CATALOGCOLUMN12</vt:lpstr>
      <vt:lpstr>CATALOGCOLUMN120</vt:lpstr>
      <vt:lpstr>CATALOGCOLUMN121</vt:lpstr>
      <vt:lpstr>CATALOGCOLUMN122</vt:lpstr>
      <vt:lpstr>CATALOGCOLUMN123</vt:lpstr>
      <vt:lpstr>CATALOGCOLUMN124</vt:lpstr>
      <vt:lpstr>CATALOGCOLUMN125</vt:lpstr>
      <vt:lpstr>CATALOGCOLUMN126</vt:lpstr>
      <vt:lpstr>CATALOGCOLUMN127</vt:lpstr>
      <vt:lpstr>CATALOGCOLUMN128</vt:lpstr>
      <vt:lpstr>CATALOGCOLUMN129</vt:lpstr>
      <vt:lpstr>CATALOGCOLUMN133</vt:lpstr>
      <vt:lpstr>CATALOGCOLUMN134</vt:lpstr>
      <vt:lpstr>CATALOGCOLUMN135</vt:lpstr>
      <vt:lpstr>CATALOGCOLUMN136</vt:lpstr>
      <vt:lpstr>CATALOGCOLUMN137</vt:lpstr>
      <vt:lpstr>CATALOGCOLUMN138</vt:lpstr>
      <vt:lpstr>CATALOGCOLUMN139</vt:lpstr>
      <vt:lpstr>CATALOGCOLUMN14</vt:lpstr>
      <vt:lpstr>CATALOGCOLUMN140</vt:lpstr>
      <vt:lpstr>CATALOGCOLUMN141</vt:lpstr>
      <vt:lpstr>CATALOGCOLUMN142</vt:lpstr>
      <vt:lpstr>CATALOGCOLUMN143</vt:lpstr>
      <vt:lpstr>CATALOGCOLUMN144</vt:lpstr>
      <vt:lpstr>CATALOGCOLUMN145</vt:lpstr>
      <vt:lpstr>CATALOGCOLUMN146</vt:lpstr>
      <vt:lpstr>CATALOGCOLUMN16</vt:lpstr>
      <vt:lpstr>CATALOGCOLUMN38</vt:lpstr>
      <vt:lpstr>CATALOGCOLUMN39</vt:lpstr>
      <vt:lpstr>CATALOGCOLUMN40</vt:lpstr>
      <vt:lpstr>CATALOGCOLUMN41</vt:lpstr>
      <vt:lpstr>CATALOGCOLUMN42</vt:lpstr>
      <vt:lpstr>CATALOGCOLUMN43</vt:lpstr>
      <vt:lpstr>CATALOGCOLUMN44</vt:lpstr>
      <vt:lpstr>CATALOGCOLUMN45</vt:lpstr>
      <vt:lpstr>CATALOGCOLUMN46</vt:lpstr>
      <vt:lpstr>CATALOGCOLUMN54</vt:lpstr>
      <vt:lpstr>CATALOGCOLUMN55</vt:lpstr>
      <vt:lpstr>CATALOGCOLUMN56</vt:lpstr>
      <vt:lpstr>CATALOGCOLUMN57</vt:lpstr>
      <vt:lpstr>CATALOGCOLUMN58</vt:lpstr>
      <vt:lpstr>CATALOGCOLUMN59</vt:lpstr>
      <vt:lpstr>CATALOGCOLUMN6</vt:lpstr>
      <vt:lpstr>CATALOGCOLUMN60</vt:lpstr>
      <vt:lpstr>CATALOGCOLUMN61</vt:lpstr>
      <vt:lpstr>CATALOGCOLUMN62</vt:lpstr>
      <vt:lpstr>CATALOGCOLUMN63</vt:lpstr>
      <vt:lpstr>CATALOGCOLUMN64</vt:lpstr>
      <vt:lpstr>CATALOGCOLUMN65</vt:lpstr>
      <vt:lpstr>CATALOGCOLUMN66</vt:lpstr>
      <vt:lpstr>CATALOGCOLUMN67</vt:lpstr>
      <vt:lpstr>CATALOGCOLUMN68</vt:lpstr>
      <vt:lpstr>CATALOGCOLUMN69</vt:lpstr>
      <vt:lpstr>CATALOGCOLUMN7</vt:lpstr>
      <vt:lpstr>CATALOGCOLUMN70</vt:lpstr>
      <vt:lpstr>CATALOGCOLUMN71</vt:lpstr>
      <vt:lpstr>CATALOGCOLUMN72</vt:lpstr>
      <vt:lpstr>CATALOGCOLUMN73</vt:lpstr>
      <vt:lpstr>CATALOGCOLUMN74</vt:lpstr>
      <vt:lpstr>CATALOGCOLUMN75</vt:lpstr>
      <vt:lpstr>CATALOGCOLUMN76</vt:lpstr>
      <vt:lpstr>CATALOGCOLUMN77</vt:lpstr>
      <vt:lpstr>CATALOGCOLUMN78</vt:lpstr>
      <vt:lpstr>CATALOGCOLUMN79</vt:lpstr>
      <vt:lpstr>CATALOGCOLUMN80</vt:lpstr>
      <vt:lpstr>CATALOGCOLUMN81</vt:lpstr>
      <vt:lpstr>CATALOGCOLUMN82</vt:lpstr>
      <vt:lpstr>CATALOGCOLUMN83</vt:lpstr>
      <vt:lpstr>CATALOGCOLUMN84</vt:lpstr>
      <vt:lpstr>CATALOGCOLUMN85</vt:lpstr>
      <vt:lpstr>CATALOGCOLUMN86</vt:lpstr>
      <vt:lpstr>CATALOGCOLUMN87</vt:lpstr>
      <vt:lpstr>CATALOGCOLUMN88</vt:lpstr>
      <vt:lpstr>CATALOGCOLUMN89</vt:lpstr>
      <vt:lpstr>CATALOGCOLUMN9</vt:lpstr>
      <vt:lpstr>CATALOGCOLUMN90</vt:lpstr>
      <vt:lpstr>CATALOGCOLUMN91</vt:lpstr>
      <vt:lpstr>CATALOGCOLUMN92</vt:lpstr>
      <vt:lpstr>CATALOGCOLUMN93</vt:lpstr>
      <vt:lpstr>CATALOGCOLUMN94</vt:lpstr>
      <vt:lpstr>CATALOGCOLUMN95</vt:lpstr>
      <vt:lpstr>CATALOGCOLUMN96</vt:lpstr>
      <vt:lpstr>CATALOGCOLUMN97</vt:lpstr>
      <vt:lpstr>CATALOGCOLUMN98</vt:lpstr>
      <vt:lpstr>CATALOGCOLUMN99</vt:lpstr>
      <vt:lpstr>CATALOGCOLUMNFILTERED100</vt:lpstr>
      <vt:lpstr>CATALOGCOLUMNFILTERED101</vt:lpstr>
      <vt:lpstr>CATALOGCOLUMNFILTERED102</vt:lpstr>
      <vt:lpstr>CATALOGCOLUMNFILTERED103</vt:lpstr>
      <vt:lpstr>CATALOGCOLUMNFILTERED104</vt:lpstr>
      <vt:lpstr>CATALOGCOLUMNFILTERED105</vt:lpstr>
      <vt:lpstr>CATALOGCOLUMNFILTERED106</vt:lpstr>
      <vt:lpstr>CATALOGCOLUMNFILTERED107</vt:lpstr>
      <vt:lpstr>CATALOGCOLUMNFILTERED109</vt:lpstr>
      <vt:lpstr>CATALOGCOLUMNFILTERED11</vt:lpstr>
      <vt:lpstr>CATALOGCOLUMNFILTERED110</vt:lpstr>
      <vt:lpstr>CATALOGCOLUMNFILTERED111</vt:lpstr>
      <vt:lpstr>CATALOGCOLUMNFILTERED112</vt:lpstr>
      <vt:lpstr>CATALOGCOLUMNFILTERED113</vt:lpstr>
      <vt:lpstr>CATALOGCOLUMNFILTERED114</vt:lpstr>
      <vt:lpstr>CATALOGCOLUMNFILTERED115</vt:lpstr>
      <vt:lpstr>CATALOGCOLUMNFILTERED116</vt:lpstr>
      <vt:lpstr>CATALOGCOLUMNFILTERED117</vt:lpstr>
      <vt:lpstr>CATALOGCOLUMNFILTERED118</vt:lpstr>
      <vt:lpstr>CATALOGCOLUMNFILTERED119</vt:lpstr>
      <vt:lpstr>CATALOGCOLUMNFILTERED12</vt:lpstr>
      <vt:lpstr>CATALOGCOLUMNFILTERED120</vt:lpstr>
      <vt:lpstr>CATALOGCOLUMNFILTERED121</vt:lpstr>
      <vt:lpstr>CATALOGCOLUMNFILTERED122</vt:lpstr>
      <vt:lpstr>CATALOGCOLUMNFILTERED123</vt:lpstr>
      <vt:lpstr>CATALOGCOLUMNFILTERED124</vt:lpstr>
      <vt:lpstr>CATALOGCOLUMNFILTERED125</vt:lpstr>
      <vt:lpstr>CATALOGCOLUMNFILTERED126</vt:lpstr>
      <vt:lpstr>CATALOGCOLUMNFILTERED127</vt:lpstr>
      <vt:lpstr>CATALOGCOLUMNFILTERED128</vt:lpstr>
      <vt:lpstr>CATALOGCOLUMNFILTERED129</vt:lpstr>
      <vt:lpstr>CATALOGCOLUMNFILTERED133</vt:lpstr>
      <vt:lpstr>CATALOGCOLUMNFILTERED134</vt:lpstr>
      <vt:lpstr>CATALOGCOLUMNFILTERED135</vt:lpstr>
      <vt:lpstr>CATALOGCOLUMNFILTERED136</vt:lpstr>
      <vt:lpstr>CATALOGCOLUMNFILTERED137</vt:lpstr>
      <vt:lpstr>CATALOGCOLUMNFILTERED138</vt:lpstr>
      <vt:lpstr>CATALOGCOLUMNFILTERED139</vt:lpstr>
      <vt:lpstr>CATALOGCOLUMNFILTERED14</vt:lpstr>
      <vt:lpstr>CATALOGCOLUMNFILTERED140</vt:lpstr>
      <vt:lpstr>CATALOGCOLUMNFILTERED141</vt:lpstr>
      <vt:lpstr>CATALOGCOLUMNFILTERED142</vt:lpstr>
      <vt:lpstr>CATALOGCOLUMNFILTERED143</vt:lpstr>
      <vt:lpstr>CATALOGCOLUMNFILTERED144</vt:lpstr>
      <vt:lpstr>CATALOGCOLUMNFILTERED145</vt:lpstr>
      <vt:lpstr>CATALOGCOLUMNFILTERED146</vt:lpstr>
      <vt:lpstr>CATALOGCOLUMNFILTERED16</vt:lpstr>
      <vt:lpstr>CATALOGCOLUMNFILTERED38</vt:lpstr>
      <vt:lpstr>CATALOGCOLUMNFILTERED39</vt:lpstr>
      <vt:lpstr>CATALOGCOLUMNFILTERED40</vt:lpstr>
      <vt:lpstr>CATALOGCOLUMNFILTERED41</vt:lpstr>
      <vt:lpstr>CATALOGCOLUMNFILTERED42</vt:lpstr>
      <vt:lpstr>CATALOGCOLUMNFILTERED43</vt:lpstr>
      <vt:lpstr>CATALOGCOLUMNFILTERED44</vt:lpstr>
      <vt:lpstr>CATALOGCOLUMNFILTERED45</vt:lpstr>
      <vt:lpstr>CATALOGCOLUMNFILTERED46</vt:lpstr>
      <vt:lpstr>CATALOGCOLUMNFILTERED54</vt:lpstr>
      <vt:lpstr>CATALOGCOLUMNFILTERED55</vt:lpstr>
      <vt:lpstr>CATALOGCOLUMNFILTERED56</vt:lpstr>
      <vt:lpstr>CATALOGCOLUMNFILTERED57</vt:lpstr>
      <vt:lpstr>CATALOGCOLUMNFILTERED58</vt:lpstr>
      <vt:lpstr>CATALOGCOLUMNFILTERED59</vt:lpstr>
      <vt:lpstr>CATALOGCOLUMNFILTERED6</vt:lpstr>
      <vt:lpstr>CATALOGCOLUMNFILTERED60</vt:lpstr>
      <vt:lpstr>CATALOGCOLUMNFILTERED61</vt:lpstr>
      <vt:lpstr>CATALOGCOLUMNFILTERED62</vt:lpstr>
      <vt:lpstr>CATALOGCOLUMNFILTERED63</vt:lpstr>
      <vt:lpstr>CATALOGCOLUMNFILTERED64</vt:lpstr>
      <vt:lpstr>CATALOGCOLUMNFILTERED65</vt:lpstr>
      <vt:lpstr>CATALOGCOLUMNFILTERED66</vt:lpstr>
      <vt:lpstr>CATALOGCOLUMNFILTERED67</vt:lpstr>
      <vt:lpstr>CATALOGCOLUMNFILTERED68</vt:lpstr>
      <vt:lpstr>CATALOGCOLUMNFILTERED69</vt:lpstr>
      <vt:lpstr>CATALOGCOLUMNFILTERED7</vt:lpstr>
      <vt:lpstr>CATALOGCOLUMNFILTERED70</vt:lpstr>
      <vt:lpstr>CATALOGCOLUMNFILTERED71</vt:lpstr>
      <vt:lpstr>CATALOGCOLUMNFILTERED72</vt:lpstr>
      <vt:lpstr>CATALOGCOLUMNFILTERED73</vt:lpstr>
      <vt:lpstr>CATALOGCOLUMNFILTERED74</vt:lpstr>
      <vt:lpstr>CATALOGCOLUMNFILTERED75</vt:lpstr>
      <vt:lpstr>CATALOGCOLUMNFILTERED76</vt:lpstr>
      <vt:lpstr>CATALOGCOLUMNFILTERED77</vt:lpstr>
      <vt:lpstr>CATALOGCOLUMNFILTERED78</vt:lpstr>
      <vt:lpstr>CATALOGCOLUMNFILTERED79</vt:lpstr>
      <vt:lpstr>CATALOGCOLUMNFILTERED80</vt:lpstr>
      <vt:lpstr>CATALOGCOLUMNFILTERED81</vt:lpstr>
      <vt:lpstr>CATALOGCOLUMNFILTERED82</vt:lpstr>
      <vt:lpstr>CATALOGCOLUMNFILTERED83</vt:lpstr>
      <vt:lpstr>CATALOGCOLUMNFILTERED84</vt:lpstr>
      <vt:lpstr>CATALOGCOLUMNFILTERED85</vt:lpstr>
      <vt:lpstr>CATALOGCOLUMNFILTERED86</vt:lpstr>
      <vt:lpstr>CATALOGCOLUMNFILTERED87</vt:lpstr>
      <vt:lpstr>CATALOGCOLUMNFILTERED88</vt:lpstr>
      <vt:lpstr>CATALOGCOLUMNFILTERED89</vt:lpstr>
      <vt:lpstr>CATALOGCOLUMNFILTERED9</vt:lpstr>
      <vt:lpstr>CATALOGCOLUMNFILTERED90</vt:lpstr>
      <vt:lpstr>CATALOGCOLUMNFILTERED91</vt:lpstr>
      <vt:lpstr>CATALOGCOLUMNFILTERED92</vt:lpstr>
      <vt:lpstr>CATALOGCOLUMNFILTERED93</vt:lpstr>
      <vt:lpstr>CATALOGCOLUMNFILTERED94</vt:lpstr>
      <vt:lpstr>CATALOGCOLUMNFILTERED95</vt:lpstr>
      <vt:lpstr>CATALOGCOLUMNFILTERED96</vt:lpstr>
      <vt:lpstr>CATALOGCOLUMNFILTERED97</vt:lpstr>
      <vt:lpstr>CATALOGCOLUMNFILTERED98</vt:lpstr>
      <vt:lpstr>CATALOGCOLUMNFILTERED99</vt:lpstr>
      <vt:lpstr>'ANEXO 1'!ENDC</vt:lpstr>
      <vt:lpstr>'ANEXO 10'!ENDC</vt:lpstr>
      <vt:lpstr>'ANEXO 11'!ENDC</vt:lpstr>
      <vt:lpstr>'ANEXO 12'!ENDC</vt:lpstr>
      <vt:lpstr>'ANEXO 13'!ENDC</vt:lpstr>
      <vt:lpstr>'ANEXO 14'!ENDC</vt:lpstr>
      <vt:lpstr>'ANEXO 15'!ENDC</vt:lpstr>
      <vt:lpstr>'ANEXO 16'!ENDC</vt:lpstr>
      <vt:lpstr>'ANEXO 17'!ENDC</vt:lpstr>
      <vt:lpstr>'ANEXO 18'!ENDC</vt:lpstr>
      <vt:lpstr>'ANEXO 19'!ENDC</vt:lpstr>
      <vt:lpstr>'ANEXO 2'!ENDC</vt:lpstr>
      <vt:lpstr>'ANEXO 20'!ENDC</vt:lpstr>
      <vt:lpstr>'ANEXO 21'!ENDC</vt:lpstr>
      <vt:lpstr>'ANEXO 22'!ENDC</vt:lpstr>
      <vt:lpstr>'ANEXO 23'!ENDC</vt:lpstr>
      <vt:lpstr>'ANEXO 3'!ENDC</vt:lpstr>
      <vt:lpstr>'ANEXO 4'!ENDC</vt:lpstr>
      <vt:lpstr>'ANEXO 5'!ENDC</vt:lpstr>
      <vt:lpstr>'ANEXO 6'!ENDC</vt:lpstr>
      <vt:lpstr>'ANEXO 7'!ENDC</vt:lpstr>
      <vt:lpstr>'ANEXO 8'!ENDC</vt:lpstr>
      <vt:lpstr>'ANEXO 9'!ENDC</vt:lpstr>
      <vt:lpstr>CDF!ENDC</vt:lpstr>
      <vt:lpstr>Contador!ENDC</vt:lpstr>
      <vt:lpstr>Contribuyente!ENDC</vt:lpstr>
      <vt:lpstr>Generales!ENDC</vt:lpstr>
      <vt:lpstr>MPT!ENDC</vt:lpstr>
      <vt:lpstr>Representante!ENDC</vt:lpstr>
      <vt:lpstr>'ANEXO 1'!ENDR</vt:lpstr>
      <vt:lpstr>'ANEXO 10'!ENDR</vt:lpstr>
      <vt:lpstr>'ANEXO 11'!ENDR</vt:lpstr>
      <vt:lpstr>'ANEXO 12'!ENDR</vt:lpstr>
      <vt:lpstr>'ANEXO 13'!ENDR</vt:lpstr>
      <vt:lpstr>'ANEXO 14'!ENDR</vt:lpstr>
      <vt:lpstr>'ANEXO 15'!ENDR</vt:lpstr>
      <vt:lpstr>'ANEXO 16'!ENDR</vt:lpstr>
      <vt:lpstr>'ANEXO 17'!ENDR</vt:lpstr>
      <vt:lpstr>'ANEXO 18'!ENDR</vt:lpstr>
      <vt:lpstr>'ANEXO 19'!ENDR</vt:lpstr>
      <vt:lpstr>'ANEXO 2'!ENDR</vt:lpstr>
      <vt:lpstr>'ANEXO 20'!ENDR</vt:lpstr>
      <vt:lpstr>'ANEXO 21'!ENDR</vt:lpstr>
      <vt:lpstr>'ANEXO 22'!ENDR</vt:lpstr>
      <vt:lpstr>'ANEXO 23'!ENDR</vt:lpstr>
      <vt:lpstr>'ANEXO 3'!ENDR</vt:lpstr>
      <vt:lpstr>'ANEXO 4'!ENDR</vt:lpstr>
      <vt:lpstr>'ANEXO 5'!ENDR</vt:lpstr>
      <vt:lpstr>'ANEXO 6'!ENDR</vt:lpstr>
      <vt:lpstr>'ANEXO 7'!ENDR</vt:lpstr>
      <vt:lpstr>'ANEXO 8'!ENDR</vt:lpstr>
      <vt:lpstr>'ANEXO 9'!ENDR</vt:lpstr>
      <vt:lpstr>CDF!ENDR</vt:lpstr>
      <vt:lpstr>Contador!ENDR</vt:lpstr>
      <vt:lpstr>Contribuyente!ENDR</vt:lpstr>
      <vt:lpstr>Generales!ENDR</vt:lpstr>
      <vt:lpstr>MPT!ENDR</vt:lpstr>
      <vt:lpstr>Representante!ENDR</vt:lpstr>
      <vt:lpstr>SECTOR_CAT</vt:lpstr>
      <vt:lpstr>SEDE_GRANDES</vt:lpstr>
      <vt:lpstr>SEDE_HIDROCARBUROS</vt:lpstr>
      <vt:lpstr>Generales!SISCOSTEO_SELEC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dc:creator>
  <cp:lastModifiedBy>LAURA SORIANO</cp:lastModifiedBy>
  <dcterms:created xsi:type="dcterms:W3CDTF">2017-04-20T16:45:28Z</dcterms:created>
  <dcterms:modified xsi:type="dcterms:W3CDTF">2019-01-02T19:36:14Z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0x010100296836E750C38943A6C2BEF7CA346743</vt:lpwstr>
  </property>
</Properties>
</file>