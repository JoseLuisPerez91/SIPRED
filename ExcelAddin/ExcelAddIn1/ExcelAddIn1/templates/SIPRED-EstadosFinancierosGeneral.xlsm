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defaultThemeVersion="124226"/>
  <mc:AlternateContent xmlns:mc="http://schemas.openxmlformats.org/markup-compatibility/2006">
    <mc:Choice Requires="x15">
      <x15ac:absPath xmlns:x15ac="http://schemas.microsoft.com/office/spreadsheetml/2010/11/ac" url="C:\Users\raul.may\Documents\GitHub\SIPRED\ExcelAddin\ExcelAddIn1\ExcelAddIn1\templates\"/>
    </mc:Choice>
  </mc:AlternateContent>
  <xr:revisionPtr revIDLastSave="0" documentId="13_ncr:1_{A3DE6EBC-66F2-448C-B746-91E29419AAF2}" xr6:coauthVersionLast="36" xr6:coauthVersionMax="36" xr10:uidLastSave="{00000000-0000-0000-0000-000000000000}"/>
  <bookViews>
    <workbookView xWindow="-12" yWindow="-12" windowWidth="14520" windowHeight="12840" tabRatio="685" activeTab="1" xr2:uid="{00000000-000D-0000-FFFF-FFFF00000000}"/>
  </bookViews>
  <sheets>
    <sheet name="Inicio" sheetId="32" r:id="rId1"/>
    <sheet name="SIPRED" sheetId="33" r:id="rId2"/>
    <sheet name="Contribuyente" sheetId="1" r:id="rId3"/>
    <sheet name="Contador" sheetId="2" r:id="rId4"/>
    <sheet name="Representante" sheetId="3" r:id="rId5"/>
    <sheet name="Generales" sheetId="4" r:id="rId6"/>
    <sheet name="ANEXO 5" sheetId="9" r:id="rId7"/>
    <sheet name="ANEXO 7" sheetId="11" r:id="rId8"/>
    <sheet name="ANEXO 6" sheetId="10" r:id="rId9"/>
    <sheet name="ANEXO 8" sheetId="12" r:id="rId10"/>
    <sheet name="ANEXO 2" sheetId="6" r:id="rId11"/>
    <sheet name="ANEXO 10" sheetId="14" r:id="rId12"/>
    <sheet name="ANEXO 3" sheetId="7" r:id="rId13"/>
    <sheet name="ANEXO 1" sheetId="5" r:id="rId14"/>
    <sheet name="ANEXO 14" sheetId="18" r:id="rId15"/>
    <sheet name="ANEXO 4" sheetId="8" r:id="rId16"/>
    <sheet name="ANEXO 20" sheetId="24" r:id="rId17"/>
    <sheet name="ANEXO 11" sheetId="15" r:id="rId18"/>
    <sheet name="ANEXO 15" sheetId="19" r:id="rId19"/>
    <sheet name="ANEXO 9" sheetId="13" r:id="rId20"/>
    <sheet name="ANEXO 18" sheetId="22" r:id="rId21"/>
    <sheet name="ANEXO 12" sheetId="16" r:id="rId22"/>
    <sheet name="ANEXO 13" sheetId="17" r:id="rId23"/>
    <sheet name="ANEXO 16" sheetId="20" r:id="rId24"/>
    <sheet name="ANEXO 17" sheetId="21" r:id="rId25"/>
    <sheet name="ANEXO 19" sheetId="23" r:id="rId26"/>
    <sheet name="ANEXO 21" sheetId="25" r:id="rId27"/>
    <sheet name="ANEXO 22" sheetId="26" r:id="rId28"/>
    <sheet name="ANEXO 23" sheetId="27" r:id="rId29"/>
    <sheet name="CDF" sheetId="28" r:id="rId30"/>
    <sheet name="MPT" sheetId="29" r:id="rId31"/>
    <sheet name="Cat" sheetId="30" state="hidden" r:id="rId32"/>
    <sheet name="i|dSoft" sheetId="31" state="hidden" r:id="rId33"/>
  </sheets>
  <definedNames>
    <definedName name="_xlnm._FilterDatabase" localSheetId="24" hidden="1">'ANEXO 17'!$C$2:$C$289</definedName>
    <definedName name="_xlnm._FilterDatabase" localSheetId="20" hidden="1">'ANEXO 18'!$C$2:$C$154</definedName>
    <definedName name="_xlnm._FilterDatabase" localSheetId="15" hidden="1">'ANEXO 4'!$C$2:$D$149</definedName>
    <definedName name="_xlnm._FilterDatabase" localSheetId="8" hidden="1">'ANEXO 6'!$C$2:$D$99</definedName>
    <definedName name="_xlnm._FilterDatabase" localSheetId="29" hidden="1">CDF!$C$2:$D$78</definedName>
    <definedName name="_xlnm._FilterDatabase" localSheetId="3" hidden="1">Contador!$C$2:$C$29</definedName>
    <definedName name="_xlnm._FilterDatabase" localSheetId="2" hidden="1">Contribuyente!$C$2:$C$25</definedName>
    <definedName name="_xlnm._FilterDatabase" localSheetId="5" hidden="1">Generales!$C$2:$C$440</definedName>
    <definedName name="_xlnm._FilterDatabase" localSheetId="30" hidden="1">MPT!$C$2:$C$111</definedName>
    <definedName name="_xlnm._FilterDatabase" localSheetId="4"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2">Contribuyente!$C$17</definedName>
    <definedName name="B_A_DECLARATORIA_CONTRI" localSheetId="2">Contribuyente!$C$24</definedName>
    <definedName name="B_A_PERSONA_PER_COD" localSheetId="2">Contribuyente!$C$11</definedName>
    <definedName name="B_A_PERSONA_PER_COL" localSheetId="2">Contribuyente!$C$10</definedName>
    <definedName name="B_A_PERSONA_PER_CURP" localSheetId="2">Contribuyente!$C$5</definedName>
    <definedName name="B_A_PERSONA_PER_DEL" localSheetId="2">Contribuyente!$C$9</definedName>
    <definedName name="B_A_PERSONA_PER_DOM" localSheetId="2">Contribuyente!$C$12</definedName>
    <definedName name="B_A_PERSONA_PER_EDO" localSheetId="2">Contribuyente!$C$8</definedName>
    <definedName name="B_A_PERSONA_PER_EXT" localSheetId="2">Contribuyente!$C$18</definedName>
    <definedName name="B_A_PERSONA_PER_MAIL" localSheetId="2">Contribuyente!$C$15</definedName>
    <definedName name="B_A_PERSONA_PER_NOM" localSheetId="2">Contribuyente!$C$4</definedName>
    <definedName name="B_A_PERSONA_PER_POB" localSheetId="2">Contribuyente!$C$13</definedName>
    <definedName name="B_A_PERSONA_PER_RFC" localSheetId="2">Contribuyente!$C$3</definedName>
    <definedName name="B_A_PERSONA_PER_TEL" localSheetId="2">Contribuyente!$C$14</definedName>
    <definedName name="B_B_DECLARATORIA_CPI" localSheetId="3">Contador!$C$28</definedName>
    <definedName name="B_B_DESPACHO_DES_COL" localSheetId="3">Contador!$C$18</definedName>
    <definedName name="B_B_DESPACHO_DES_NOM" localSheetId="3">Contador!$C$20</definedName>
    <definedName name="B_B_DESPACHO_DES_NUM" localSheetId="3">Contador!$C$22</definedName>
    <definedName name="B_B_DESPACHO_DES_RFC" localSheetId="3">Contador!$C$21</definedName>
    <definedName name="B_B_PERSONA_PER_COD" localSheetId="3">Contador!$C$12</definedName>
    <definedName name="B_B_PERSONA_PER_COL" localSheetId="3">Contador!$C$11</definedName>
    <definedName name="B_B_PERSONA_PER_CURP" localSheetId="3">Contador!$C$5</definedName>
    <definedName name="B_B_PERSONA_PER_DEL" localSheetId="3">Contador!$C$10</definedName>
    <definedName name="B_B_PERSONA_PER_DOM" localSheetId="3">Contador!$C$13</definedName>
    <definedName name="B_B_PERSONA_PER_EDO" localSheetId="3">Contador!$C$9</definedName>
    <definedName name="B_B_PERSONA_PER_EXT" localSheetId="3">Contador!$C$6</definedName>
    <definedName name="B_B_PERSONA_PER_MAIL" localSheetId="3">Contador!$C$16</definedName>
    <definedName name="B_B_PERSONA_PER_MAILBUZON" localSheetId="3">Contador!$C$17</definedName>
    <definedName name="B_B_PERSONA_PER_NOM" localSheetId="3">Contador!$C$4</definedName>
    <definedName name="B_B_PERSONA_PER_POB" localSheetId="3">Contador!$C$14</definedName>
    <definedName name="B_B_PERSONA_PER_RFC" localSheetId="3">Contador!$C$3</definedName>
    <definedName name="B_B_PERSONA_PER_TEL" localSheetId="3">Contador!$C$15</definedName>
    <definedName name="B_C_adirepr_REPR_ENTIDADNOT" localSheetId="4">Representante!$C$21</definedName>
    <definedName name="B_C_adirepr_REPR_FECAPOSTILLA" localSheetId="4">Representante!$C$23</definedName>
    <definedName name="B_C_adirepr_REPR_FECCERTPOD" localSheetId="4">Representante!$C$22</definedName>
    <definedName name="B_C_adirepr_REPR_NOESCRITURA" localSheetId="4">Representante!$C$19</definedName>
    <definedName name="B_C_adirepr_REPR_NONOTARIA" localSheetId="4">Representante!$C$20</definedName>
    <definedName name="B_C_DECLARATORIA_RL" localSheetId="4">Representante!$C$29</definedName>
    <definedName name="B_C_PERSONA_PER_COD" localSheetId="4">Representante!$C$13</definedName>
    <definedName name="B_C_PERSONA_PER_COL" localSheetId="4">Representante!$C$12</definedName>
    <definedName name="B_C_PERSONA_PER_CURP" localSheetId="4">Representante!$C$7</definedName>
    <definedName name="B_C_PERSONA_PER_DEL" localSheetId="4">Representante!$C$11</definedName>
    <definedName name="B_C_PERSONA_PER_DES" localSheetId="4">Representante!$C$6</definedName>
    <definedName name="B_C_PERSONA_PER_DOM" localSheetId="4">Representante!$C$14</definedName>
    <definedName name="B_C_PERSONA_PER_EDO" localSheetId="4">Representante!$C$10</definedName>
    <definedName name="B_C_PERSONA_PER_MAIL" localSheetId="4">Representante!$C$17</definedName>
    <definedName name="B_C_PERSONA_PER_NOM" localSheetId="4">Representante!$C$4</definedName>
    <definedName name="B_C_PERSONA_PER_POB" localSheetId="4">Representante!$C$15</definedName>
    <definedName name="B_C_PERSONA_PER_RES" localSheetId="4">Representante!$C$5</definedName>
    <definedName name="B_C_PERSONA_PER_RFC" localSheetId="4">Representante!$C$3</definedName>
    <definedName name="B_C_PERSONA_PER_TEL" localSheetId="4">Representante!$C$16</definedName>
    <definedName name="B_D_CUANTITATIVOS_CUA_ALAF" localSheetId="5">Generales!$C$7</definedName>
    <definedName name="B_D_CUANTITATIVOS_CUA_AUTOCOM" localSheetId="5">Generales!$C$3</definedName>
    <definedName name="B_D_CUANTITATIVOS_CUA_FECFIN" localSheetId="5">Generales!$C$29</definedName>
    <definedName name="B_D_CUANTITATIVOS_CUA_FECINI" localSheetId="5">Generales!$C$28</definedName>
    <definedName name="B_D_CUANTITATIVOS_CUA_FINANT" localSheetId="5">Generales!$C$32</definedName>
    <definedName name="B_D_CUANTITATIVOS_CUA_FRACCION" localSheetId="5">Generales!$C$9</definedName>
    <definedName name="B_D_CUANTITATIVOS_CUA_FRACCION_ACTIVO" localSheetId="5">Generales!$C$10</definedName>
    <definedName name="B_D_CUANTITATIVOS_CUA_FRACCION_MOTIVO" localSheetId="5">Generales!$C$13</definedName>
    <definedName name="B_D_CUANTITATIVOS_CUA_FRACCION_TRABAJADORES" localSheetId="5">Generales!$C$11</definedName>
    <definedName name="B_D_CUANTITATIVOS_CUA_INIANT" localSheetId="5">Generales!$C$31</definedName>
    <definedName name="B_D_CUANTITATIVOS_CUA_TCUNIFICADO" localSheetId="5">Generales!$C$21</definedName>
    <definedName name="B_D_CUANTITATIVOS_CUA_TIPOOPINION" localSheetId="5">Generales!$C$42</definedName>
    <definedName name="C_1" localSheetId="13">'ANEXO 1'!$D$2</definedName>
    <definedName name="C_1" localSheetId="11">'ANEXO 10'!$C$2</definedName>
    <definedName name="C_1" localSheetId="17">'ANEXO 11'!$C$2</definedName>
    <definedName name="C_1" localSheetId="21">'ANEXO 12'!$C$2</definedName>
    <definedName name="C_1" localSheetId="22">'ANEXO 13'!$C$2</definedName>
    <definedName name="C_1" localSheetId="14">'ANEXO 14'!$C$2</definedName>
    <definedName name="C_1" localSheetId="18">'ANEXO 15'!$C$2</definedName>
    <definedName name="C_1" localSheetId="23">'ANEXO 16'!$C$2</definedName>
    <definedName name="C_1" localSheetId="24">'ANEXO 17'!$C$2</definedName>
    <definedName name="C_1" localSheetId="20">'ANEXO 18'!$C$2</definedName>
    <definedName name="C_1" localSheetId="25">'ANEXO 19'!$C$2</definedName>
    <definedName name="C_1" localSheetId="10">'ANEXO 2'!$F$2</definedName>
    <definedName name="C_1" localSheetId="16">'ANEXO 20'!$C$2</definedName>
    <definedName name="C_1" localSheetId="26">'ANEXO 21'!$C$2</definedName>
    <definedName name="C_1" localSheetId="27">'ANEXO 22'!$C$2</definedName>
    <definedName name="C_1" localSheetId="28">'ANEXO 23'!$C$2</definedName>
    <definedName name="C_1" localSheetId="12">'ANEXO 3'!$C$2</definedName>
    <definedName name="C_1" localSheetId="15">'ANEXO 4'!$D$2</definedName>
    <definedName name="C_1" localSheetId="6">'ANEXO 5'!$J$2</definedName>
    <definedName name="C_1" localSheetId="8">'ANEXO 6'!$D$2</definedName>
    <definedName name="C_1" localSheetId="7">'ANEXO 7'!$D$2</definedName>
    <definedName name="C_1" localSheetId="9">'ANEXO 8'!$D$2</definedName>
    <definedName name="C_1" localSheetId="19">'ANEXO 9'!$G$2</definedName>
    <definedName name="C_1" localSheetId="29">CDF!$D$2</definedName>
    <definedName name="C_1" localSheetId="3">Contador!$C$2</definedName>
    <definedName name="C_1" localSheetId="2">Contribuyente!$C$2</definedName>
    <definedName name="C_1" localSheetId="5">Generales!$C$2</definedName>
    <definedName name="C_1" localSheetId="30">MPT!$C$2</definedName>
    <definedName name="C_1" localSheetId="4">Representante!$C$2</definedName>
    <definedName name="C_10" localSheetId="11">'ANEXO 10'!$L$2</definedName>
    <definedName name="C_10" localSheetId="21">'ANEXO 12'!$L$2</definedName>
    <definedName name="C_10" localSheetId="27">'ANEXO 22'!$L$2</definedName>
    <definedName name="C_10" localSheetId="28">'ANEXO 23'!$L$2</definedName>
    <definedName name="C_10" localSheetId="12">'ANEXO 3'!$P$2</definedName>
    <definedName name="C_11" localSheetId="11">'ANEXO 10'!$M$2</definedName>
    <definedName name="C_11" localSheetId="27">'ANEXO 22'!$M$2</definedName>
    <definedName name="C_11" localSheetId="28">'ANEXO 23'!$M$2</definedName>
    <definedName name="C_11" localSheetId="12">'ANEXO 3'!$T$2</definedName>
    <definedName name="C_11" localSheetId="7">'ANEXO 7'!$AH$2</definedName>
    <definedName name="C_12" localSheetId="11">'ANEXO 10'!$N$2</definedName>
    <definedName name="C_12" localSheetId="27">'ANEXO 22'!$N$2</definedName>
    <definedName name="C_12" localSheetId="12">'ANEXO 3'!$U$2</definedName>
    <definedName name="C_121" localSheetId="7">'ANEXO 7'!$C$2</definedName>
    <definedName name="C_122" localSheetId="7">'ANEXO 7'!$J$2</definedName>
    <definedName name="C_123" localSheetId="7">'ANEXO 7'!$Q$2</definedName>
    <definedName name="C_124" localSheetId="7">'ANEXO 7'!$X$2</definedName>
    <definedName name="C_125" localSheetId="7">'ANEXO 7'!$AE$2</definedName>
    <definedName name="C_126" localSheetId="7">'ANEXO 7'!$AG$2</definedName>
    <definedName name="C_127" localSheetId="7">'ANEXO 7'!$AI$2</definedName>
    <definedName name="C_13" localSheetId="27">'ANEXO 22'!$O$2</definedName>
    <definedName name="C_13" localSheetId="7">'ANEXO 7'!$AJ$2</definedName>
    <definedName name="C_133" localSheetId="10">'ANEXO 2'!$D$2</definedName>
    <definedName name="C_134" localSheetId="10">'ANEXO 2'!$E$2</definedName>
    <definedName name="C_136" localSheetId="10">'ANEXO 2'!$G$2</definedName>
    <definedName name="C_137" localSheetId="10">'ANEXO 2'!$H$2</definedName>
    <definedName name="C_14" localSheetId="27">'ANEXO 22'!$P$2</definedName>
    <definedName name="C_141" localSheetId="15">'ANEXO 4'!$C$2</definedName>
    <definedName name="C_15" localSheetId="27">'ANEXO 22'!$Q$2</definedName>
    <definedName name="C_157" localSheetId="8">'ANEXO 6'!$C$2</definedName>
    <definedName name="C_158" localSheetId="7">'ANEXO 7'!$E$2</definedName>
    <definedName name="C_159" localSheetId="7">'ANEXO 7'!$F$2</definedName>
    <definedName name="C_16" localSheetId="27">'ANEXO 22'!$R$2</definedName>
    <definedName name="C_160" localSheetId="7">'ANEXO 7'!$G$2</definedName>
    <definedName name="C_161" localSheetId="7">'ANEXO 7'!$H$2</definedName>
    <definedName name="C_162" localSheetId="7">'ANEXO 7'!$I$2</definedName>
    <definedName name="C_163" localSheetId="7">'ANEXO 7'!$L$2</definedName>
    <definedName name="C_164" localSheetId="7">'ANEXO 7'!$M$2</definedName>
    <definedName name="C_165" localSheetId="7">'ANEXO 7'!$N$2</definedName>
    <definedName name="C_166" localSheetId="7">'ANEXO 7'!$O$2</definedName>
    <definedName name="C_167" localSheetId="7">'ANEXO 7'!$P$2</definedName>
    <definedName name="C_168" localSheetId="7">'ANEXO 7'!$S$2</definedName>
    <definedName name="C_169" localSheetId="7">'ANEXO 7'!$T$2</definedName>
    <definedName name="C_17" localSheetId="27">'ANEXO 22'!$S$2</definedName>
    <definedName name="C_170" localSheetId="7">'ANEXO 7'!$U$2</definedName>
    <definedName name="C_171" localSheetId="7">'ANEXO 7'!$V$2</definedName>
    <definedName name="C_172" localSheetId="7">'ANEXO 7'!$W$2</definedName>
    <definedName name="C_173" localSheetId="7">'ANEXO 7'!$Z$2</definedName>
    <definedName name="C_174" localSheetId="7">'ANEXO 7'!$AA$2</definedName>
    <definedName name="C_175" localSheetId="7">'ANEXO 7'!$AB$2</definedName>
    <definedName name="C_176" localSheetId="7">'ANEXO 7'!$AC$2</definedName>
    <definedName name="C_177" localSheetId="7">'ANEXO 7'!$AD$2</definedName>
    <definedName name="C_18" localSheetId="27">'ANEXO 22'!$T$2</definedName>
    <definedName name="C_19" localSheetId="27">'ANEXO 22'!$U$2</definedName>
    <definedName name="C_2" localSheetId="11">'ANEXO 10'!$D$2</definedName>
    <definedName name="C_2" localSheetId="21">'ANEXO 12'!$D$2</definedName>
    <definedName name="C_2" localSheetId="22">'ANEXO 13'!$D$2</definedName>
    <definedName name="C_2" localSheetId="14">'ANEXO 14'!$D$2</definedName>
    <definedName name="C_2" localSheetId="23">'ANEXO 16'!$D$2</definedName>
    <definedName name="C_2" localSheetId="25">'ANEXO 19'!$D$2</definedName>
    <definedName name="C_2" localSheetId="16">'ANEXO 20'!$D$2</definedName>
    <definedName name="C_2" localSheetId="26">'ANEXO 21'!$D$2</definedName>
    <definedName name="C_2" localSheetId="27">'ANEXO 22'!$D$2</definedName>
    <definedName name="C_2" localSheetId="28">'ANEXO 23'!$D$2</definedName>
    <definedName name="C_2" localSheetId="12">'ANEXO 3'!$D$2</definedName>
    <definedName name="C_2" localSheetId="6">'ANEXO 5'!$K$2</definedName>
    <definedName name="C_2" localSheetId="19">'ANEXO 9'!$F$2</definedName>
    <definedName name="C_2" localSheetId="29">CDF!$C$2</definedName>
    <definedName name="C_20" localSheetId="27">'ANEXO 22'!$V$2</definedName>
    <definedName name="C_21" localSheetId="27">'ANEXO 22'!$W$2</definedName>
    <definedName name="C_22" localSheetId="27">'ANEXO 22'!$X$2</definedName>
    <definedName name="C_225" localSheetId="13">'ANEXO 1'!$C$2</definedName>
    <definedName name="C_267" localSheetId="13">'ANEXO 1'!$E$2</definedName>
    <definedName name="C_268" localSheetId="13">'ANEXO 1'!$F$2</definedName>
    <definedName name="C_269" localSheetId="13">'ANEXO 1'!$G$2</definedName>
    <definedName name="C_27" localSheetId="23">'ANEXO 16'!$G$2</definedName>
    <definedName name="C_270" localSheetId="13">'ANEXO 1'!$H$2</definedName>
    <definedName name="C_271" localSheetId="13">'ANEXO 1'!$I$2</definedName>
    <definedName name="C_28" localSheetId="23">'ANEXO 16'!$E$2</definedName>
    <definedName name="C_3" localSheetId="11">'ANEXO 10'!$E$2</definedName>
    <definedName name="C_3" localSheetId="21">'ANEXO 12'!$E$2</definedName>
    <definedName name="C_3" localSheetId="22">'ANEXO 13'!$E$2</definedName>
    <definedName name="C_3" localSheetId="14">'ANEXO 14'!$E$2</definedName>
    <definedName name="C_3" localSheetId="23">'ANEXO 16'!$F$2</definedName>
    <definedName name="C_3" localSheetId="25">'ANEXO 19'!$E$2</definedName>
    <definedName name="C_3" localSheetId="16">'ANEXO 20'!$E$2</definedName>
    <definedName name="C_3" localSheetId="26">'ANEXO 21'!$E$2</definedName>
    <definedName name="C_3" localSheetId="27">'ANEXO 22'!$E$2</definedName>
    <definedName name="C_3" localSheetId="28">'ANEXO 23'!$E$2</definedName>
    <definedName name="C_3" localSheetId="12">'ANEXO 3'!$E$2</definedName>
    <definedName name="C_3" localSheetId="7">'ANEXO 7'!$K$2</definedName>
    <definedName name="C_3" localSheetId="9">'ANEXO 8'!$F$2</definedName>
    <definedName name="C_3" localSheetId="19">'ANEXO 9'!$E$2</definedName>
    <definedName name="C_363" localSheetId="19">'ANEXO 9'!$H$2</definedName>
    <definedName name="C_4" localSheetId="11">'ANEXO 10'!$F$2</definedName>
    <definedName name="C_4" localSheetId="21">'ANEXO 12'!$F$2</definedName>
    <definedName name="C_4" localSheetId="22">'ANEXO 13'!$F$2</definedName>
    <definedName name="C_4" localSheetId="14">'ANEXO 14'!$F$2</definedName>
    <definedName name="C_4" localSheetId="25">'ANEXO 19'!$F$2</definedName>
    <definedName name="C_4" localSheetId="16">'ANEXO 20'!$F$2</definedName>
    <definedName name="C_4" localSheetId="26">'ANEXO 21'!$F$2</definedName>
    <definedName name="C_4" localSheetId="27">'ANEXO 22'!$F$2</definedName>
    <definedName name="C_4" localSheetId="28">'ANEXO 23'!$F$2</definedName>
    <definedName name="C_4" localSheetId="12">'ANEXO 3'!$F$2</definedName>
    <definedName name="C_4" localSheetId="19">'ANEXO 9'!$D$2</definedName>
    <definedName name="C_47" localSheetId="6">'ANEXO 5'!$C$2</definedName>
    <definedName name="C_48" localSheetId="6">'ANEXO 5'!$D$2</definedName>
    <definedName name="C_49" localSheetId="6">'ANEXO 5'!$L$2</definedName>
    <definedName name="C_5" localSheetId="11">'ANEXO 10'!$G$2</definedName>
    <definedName name="C_5" localSheetId="21">'ANEXO 12'!$G$2</definedName>
    <definedName name="C_5" localSheetId="22">'ANEXO 13'!$G$2</definedName>
    <definedName name="C_5" localSheetId="14">'ANEXO 14'!$G$2</definedName>
    <definedName name="C_5" localSheetId="23">'ANEXO 16'!$H$2</definedName>
    <definedName name="C_5" localSheetId="16">'ANEXO 20'!$G$2</definedName>
    <definedName name="C_5" localSheetId="26">'ANEXO 21'!$G$2</definedName>
    <definedName name="C_5" localSheetId="27">'ANEXO 22'!$G$2</definedName>
    <definedName name="C_5" localSheetId="28">'ANEXO 23'!$G$2</definedName>
    <definedName name="C_5" localSheetId="12">'ANEXO 3'!$G$2</definedName>
    <definedName name="C_5" localSheetId="6">'ANEXO 5'!$M$2</definedName>
    <definedName name="C_5" localSheetId="7">'ANEXO 7'!$R$2</definedName>
    <definedName name="C_5" localSheetId="9">'ANEXO 8'!$H$2</definedName>
    <definedName name="C_5" localSheetId="19">'ANEXO 9'!$C$2</definedName>
    <definedName name="C_51" localSheetId="6">'ANEXO 5'!$E$2</definedName>
    <definedName name="C_52" localSheetId="6">'ANEXO 5'!$F$2</definedName>
    <definedName name="C_53" localSheetId="6">'ANEXO 5'!$G$2</definedName>
    <definedName name="C_54" localSheetId="6">'ANEXO 5'!$H$2</definedName>
    <definedName name="C_55" localSheetId="12">'ANEXO 3'!$L$2</definedName>
    <definedName name="C_55" localSheetId="6">'ANEXO 5'!$I$2</definedName>
    <definedName name="C_56" localSheetId="12">'ANEXO 3'!$N$2</definedName>
    <definedName name="C_6" localSheetId="11">'ANEXO 10'!$H$2</definedName>
    <definedName name="C_6" localSheetId="21">'ANEXO 12'!$H$2</definedName>
    <definedName name="C_6" localSheetId="22">'ANEXO 13'!$H$2</definedName>
    <definedName name="C_6" localSheetId="14">'ANEXO 14'!$H$2</definedName>
    <definedName name="C_6" localSheetId="23">'ANEXO 16'!$I$2</definedName>
    <definedName name="C_6" localSheetId="16">'ANEXO 20'!$H$2</definedName>
    <definedName name="C_6" localSheetId="26">'ANEXO 21'!$H$2</definedName>
    <definedName name="C_6" localSheetId="27">'ANEXO 22'!$H$2</definedName>
    <definedName name="C_6" localSheetId="28">'ANEXO 23'!$H$2</definedName>
    <definedName name="C_6" localSheetId="12">'ANEXO 3'!$H$2</definedName>
    <definedName name="C_60" localSheetId="12">'ANEXO 3'!$R$2</definedName>
    <definedName name="C_61" localSheetId="12">'ANEXO 3'!$S$2</definedName>
    <definedName name="C_7" localSheetId="11">'ANEXO 10'!$I$2</definedName>
    <definedName name="C_7" localSheetId="21">'ANEXO 12'!$I$2</definedName>
    <definedName name="C_7" localSheetId="22">'ANEXO 13'!$I$2</definedName>
    <definedName name="C_7" localSheetId="14">'ANEXO 14'!$I$2</definedName>
    <definedName name="C_7" localSheetId="23">'ANEXO 16'!$J$2</definedName>
    <definedName name="C_7" localSheetId="26">'ANEXO 21'!$I$2</definedName>
    <definedName name="C_7" localSheetId="27">'ANEXO 22'!$I$2</definedName>
    <definedName name="C_7" localSheetId="28">'ANEXO 23'!$I$2</definedName>
    <definedName name="C_7" localSheetId="12">'ANEXO 3'!$I$2</definedName>
    <definedName name="C_7" localSheetId="7">'ANEXO 7'!$Y$2</definedName>
    <definedName name="C_8" localSheetId="11">'ANEXO 10'!$J$2</definedName>
    <definedName name="C_8" localSheetId="21">'ANEXO 12'!$J$2</definedName>
    <definedName name="C_8" localSheetId="14">'ANEXO 14'!$J$2</definedName>
    <definedName name="C_8" localSheetId="26">'ANEXO 21'!$J$2</definedName>
    <definedName name="C_8" localSheetId="27">'ANEXO 22'!$J$2</definedName>
    <definedName name="C_8" localSheetId="28">'ANEXO 23'!$J$2</definedName>
    <definedName name="C_84" localSheetId="9">'ANEXO 8'!$C$2</definedName>
    <definedName name="C_85" localSheetId="10">'ANEXO 2'!$C$2</definedName>
    <definedName name="C_85" localSheetId="9">'ANEXO 8'!$E$2</definedName>
    <definedName name="C_86" localSheetId="9">'ANEXO 8'!$G$2</definedName>
    <definedName name="C_88" localSheetId="12">'ANEXO 3'!$J$2</definedName>
    <definedName name="C_89" localSheetId="12">'ANEXO 3'!$K$2</definedName>
    <definedName name="C_9" localSheetId="11">'ANEXO 10'!$K$2</definedName>
    <definedName name="C_9" localSheetId="21">'ANEXO 12'!$K$2</definedName>
    <definedName name="C_9" localSheetId="14">'ANEXO 14'!$K$2</definedName>
    <definedName name="C_9" localSheetId="26">'ANEXO 21'!$K$2</definedName>
    <definedName name="C_9" localSheetId="27">'ANEXO 22'!$K$2</definedName>
    <definedName name="C_9" localSheetId="28">'ANEXO 23'!$K$2</definedName>
    <definedName name="C_9" localSheetId="7">'ANEXO 7'!$AF$2</definedName>
    <definedName name="C_90" localSheetId="12">'ANEXO 3'!$M$2</definedName>
    <definedName name="C_91" localSheetId="12">'ANEXO 3'!$O$2</definedName>
    <definedName name="C_96" localSheetId="12">'ANEXO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3">'ANEXO 1'!$J$2</definedName>
    <definedName name="ENDC" localSheetId="11">'ANEXO 10'!$O$2</definedName>
    <definedName name="ENDC" localSheetId="17">'ANEXO 11'!$D$2</definedName>
    <definedName name="ENDC" localSheetId="21">'ANEXO 12'!$M$2</definedName>
    <definedName name="ENDC" localSheetId="22">'ANEXO 13'!$J$2</definedName>
    <definedName name="ENDC" localSheetId="14">'ANEXO 14'!$L$2</definedName>
    <definedName name="ENDC" localSheetId="18">'ANEXO 15'!$D$2</definedName>
    <definedName name="ENDC" localSheetId="23">'ANEXO 16'!$K$2</definedName>
    <definedName name="ENDC" localSheetId="24">'ANEXO 17'!$D$2</definedName>
    <definedName name="ENDC" localSheetId="20">'ANEXO 18'!$D$2</definedName>
    <definedName name="ENDC" localSheetId="25">'ANEXO 19'!$G$2</definedName>
    <definedName name="ENDC" localSheetId="10">'ANEXO 2'!$I$2</definedName>
    <definedName name="ENDC" localSheetId="16">'ANEXO 20'!$I$2</definedName>
    <definedName name="ENDC" localSheetId="26">'ANEXO 21'!$L$2</definedName>
    <definedName name="ENDC" localSheetId="27">'ANEXO 22'!$Y$2</definedName>
    <definedName name="ENDC" localSheetId="28">'ANEXO 23'!$N$2</definedName>
    <definedName name="ENDC" localSheetId="12">'ANEXO 3'!$V$2</definedName>
    <definedName name="ENDC" localSheetId="15">'ANEXO 4'!$E$2</definedName>
    <definedName name="ENDC" localSheetId="6">'ANEXO 5'!$N$2</definedName>
    <definedName name="ENDC" localSheetId="8">'ANEXO 6'!$E$2</definedName>
    <definedName name="ENDC" localSheetId="7">'ANEXO 7'!$AK$2</definedName>
    <definedName name="ENDC" localSheetId="9">'ANEXO 8'!$I$2</definedName>
    <definedName name="ENDC" localSheetId="19">'ANEXO 9'!$I$2</definedName>
    <definedName name="ENDC" localSheetId="29">CDF!$E$2</definedName>
    <definedName name="ENDC" localSheetId="3">Contador!$D$2</definedName>
    <definedName name="ENDC" localSheetId="2">Contribuyente!$D$2</definedName>
    <definedName name="ENDC" localSheetId="5">Generales!$D$2</definedName>
    <definedName name="ENDC" localSheetId="30">MPT!$D$2</definedName>
    <definedName name="ENDC" localSheetId="4">Representante!$D$2</definedName>
    <definedName name="ENDR" localSheetId="13">'ANEXO 1'!$A$247</definedName>
    <definedName name="ENDR" localSheetId="11">'ANEXO 10'!$A$184</definedName>
    <definedName name="ENDR" localSheetId="17">'ANEXO 11'!$A$151</definedName>
    <definedName name="ENDR" localSheetId="21">'ANEXO 12'!$A$13</definedName>
    <definedName name="ENDR" localSheetId="22">'ANEXO 13'!$A$13</definedName>
    <definedName name="ENDR" localSheetId="14">'ANEXO 14'!$A$11</definedName>
    <definedName name="ENDR" localSheetId="18">'ANEXO 15'!$A$104</definedName>
    <definedName name="ENDR" localSheetId="23">'ANEXO 16'!$A$23</definedName>
    <definedName name="ENDR" localSheetId="24">'ANEXO 17'!$A$289</definedName>
    <definedName name="ENDR" localSheetId="20">'ANEXO 18'!$A$154</definedName>
    <definedName name="ENDR" localSheetId="25">'ANEXO 19'!$A$76</definedName>
    <definedName name="ENDR" localSheetId="10">'ANEXO 2'!$A$100</definedName>
    <definedName name="ENDR" localSheetId="16">'ANEXO 20'!$A$49</definedName>
    <definedName name="ENDR" localSheetId="26">'ANEXO 21'!$A$23</definedName>
    <definedName name="ENDR" localSheetId="27">'ANEXO 22'!$A$22</definedName>
    <definedName name="ENDR" localSheetId="28">'ANEXO 23'!$A$33</definedName>
    <definedName name="ENDR" localSheetId="12">'ANEXO 3'!$A$59</definedName>
    <definedName name="ENDR" localSheetId="15">'ANEXO 4'!$A$149</definedName>
    <definedName name="ENDR" localSheetId="6">'ANEXO 5'!$A$44</definedName>
    <definedName name="ENDR" localSheetId="8">'ANEXO 6'!$A$99</definedName>
    <definedName name="ENDR" localSheetId="7">'ANEXO 7'!$A$123</definedName>
    <definedName name="ENDR" localSheetId="9">'ANEXO 8'!$A$70</definedName>
    <definedName name="ENDR" localSheetId="19">'ANEXO 9'!$A$346</definedName>
    <definedName name="ENDR" localSheetId="29">CDF!$A$78</definedName>
    <definedName name="ENDR" localSheetId="3">Contador!$A$29</definedName>
    <definedName name="ENDR" localSheetId="2">Contribuyente!$A$25</definedName>
    <definedName name="ENDR" localSheetId="5">Generales!$A$440</definedName>
    <definedName name="ENDR" localSheetId="30">MPT!$A$111</definedName>
    <definedName name="ENDR" localSheetId="4">Representante!$A$30</definedName>
    <definedName name="SECTOR_CAT">Cat!$ER$1:$ES$82</definedName>
    <definedName name="SEDE_GRANDES">Cat!$EK$33</definedName>
    <definedName name="SEDE_HIDROCARBUROS">Cat!$EK$34</definedName>
    <definedName name="SISCOSTEO_SELEC" localSheetId="5">Generales!$Y$1</definedName>
  </definedNames>
  <calcPr calcId="191029" calcOnSave="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13" i="11" l="1"/>
  <c r="AJ113" i="11" s="1"/>
  <c r="AE113" i="11"/>
  <c r="AI113" i="11" s="1"/>
  <c r="AB113" i="11"/>
  <c r="AC113" i="11" s="1"/>
  <c r="AA113" i="11"/>
  <c r="Z113" i="11"/>
  <c r="U113" i="11"/>
  <c r="V113" i="11" s="1"/>
  <c r="T113" i="11"/>
  <c r="S113" i="11"/>
  <c r="N113" i="11"/>
  <c r="O113" i="11" s="1"/>
  <c r="M113" i="11"/>
  <c r="L113" i="11"/>
  <c r="G113" i="11"/>
  <c r="H113" i="11" s="1"/>
  <c r="F113" i="11"/>
  <c r="E113" i="11"/>
  <c r="C47" i="8" l="1"/>
  <c r="F30" i="13" l="1"/>
  <c r="D19" i="13"/>
  <c r="E19" i="13" s="1"/>
  <c r="E30" i="13" s="1"/>
  <c r="G30" i="13" l="1"/>
  <c r="G28" i="24"/>
  <c r="C113" i="15" s="1"/>
  <c r="F28" i="24"/>
  <c r="C112" i="15" s="1"/>
  <c r="E28" i="24"/>
  <c r="D28" i="24"/>
  <c r="C28" i="24"/>
  <c r="C23" i="27" l="1"/>
  <c r="D23" i="27"/>
  <c r="E23" i="27"/>
  <c r="F23" i="27"/>
  <c r="G23" i="27"/>
  <c r="H23" i="27"/>
  <c r="I23" i="27"/>
  <c r="J23" i="27"/>
  <c r="K23" i="27"/>
  <c r="L23" i="27"/>
  <c r="M23" i="27"/>
  <c r="H19" i="27"/>
  <c r="L19" i="27"/>
  <c r="L24" i="27" s="1"/>
  <c r="C18" i="27"/>
  <c r="C19" i="27" s="1"/>
  <c r="C24" i="27" s="1"/>
  <c r="D18" i="27"/>
  <c r="D19" i="27" s="1"/>
  <c r="D24" i="27" s="1"/>
  <c r="E18" i="27"/>
  <c r="E19" i="27" s="1"/>
  <c r="E24" i="27" s="1"/>
  <c r="F18" i="27"/>
  <c r="F19" i="27" s="1"/>
  <c r="F24" i="27" s="1"/>
  <c r="G18" i="27"/>
  <c r="G19" i="27" s="1"/>
  <c r="H18" i="27"/>
  <c r="I18" i="27"/>
  <c r="I19" i="27" s="1"/>
  <c r="J18" i="27"/>
  <c r="J19" i="27" s="1"/>
  <c r="J24" i="27" s="1"/>
  <c r="K18" i="27"/>
  <c r="K19" i="27" s="1"/>
  <c r="K24" i="27" s="1"/>
  <c r="L18" i="27"/>
  <c r="M18" i="27"/>
  <c r="M19" i="27" s="1"/>
  <c r="M24" i="27" s="1"/>
  <c r="D20" i="26"/>
  <c r="M20" i="26"/>
  <c r="O20" i="26"/>
  <c r="R20" i="26"/>
  <c r="V20" i="26"/>
  <c r="D14" i="26"/>
  <c r="M14" i="26"/>
  <c r="O14" i="26"/>
  <c r="R14" i="26"/>
  <c r="V14" i="26"/>
  <c r="F22" i="25"/>
  <c r="G22" i="25"/>
  <c r="F14" i="25"/>
  <c r="G14" i="25"/>
  <c r="D66" i="23"/>
  <c r="C63" i="23"/>
  <c r="C66" i="23" s="1"/>
  <c r="D63" i="23"/>
  <c r="E63" i="23"/>
  <c r="E66" i="23" s="1"/>
  <c r="F63" i="23"/>
  <c r="F66" i="23" s="1"/>
  <c r="C58" i="23"/>
  <c r="C61" i="23" s="1"/>
  <c r="D58" i="23"/>
  <c r="D61" i="23" s="1"/>
  <c r="E58" i="23"/>
  <c r="E61" i="23" s="1"/>
  <c r="F58" i="23"/>
  <c r="F61" i="23" s="1"/>
  <c r="C53" i="23"/>
  <c r="C56" i="23" s="1"/>
  <c r="D53" i="23"/>
  <c r="D56" i="23" s="1"/>
  <c r="E53" i="23"/>
  <c r="E56" i="23" s="1"/>
  <c r="F53" i="23"/>
  <c r="F56" i="23" s="1"/>
  <c r="C48" i="23"/>
  <c r="C51" i="23" s="1"/>
  <c r="D48" i="23"/>
  <c r="D51" i="23" s="1"/>
  <c r="E48" i="23"/>
  <c r="E51" i="23" s="1"/>
  <c r="F48" i="23"/>
  <c r="F51" i="23" s="1"/>
  <c r="C44" i="23"/>
  <c r="D44" i="23"/>
  <c r="E44" i="23"/>
  <c r="F44" i="23"/>
  <c r="C42" i="23"/>
  <c r="D42" i="23"/>
  <c r="D68" i="23" s="1"/>
  <c r="E42" i="23"/>
  <c r="F42" i="23"/>
  <c r="F68" i="23" s="1"/>
  <c r="C31" i="23"/>
  <c r="C34" i="23" s="1"/>
  <c r="D31" i="23"/>
  <c r="D34" i="23" s="1"/>
  <c r="E31" i="23"/>
  <c r="E34" i="23" s="1"/>
  <c r="F31" i="23"/>
  <c r="F34" i="23" s="1"/>
  <c r="C26" i="23"/>
  <c r="C29" i="23" s="1"/>
  <c r="D26" i="23"/>
  <c r="D29" i="23" s="1"/>
  <c r="E26" i="23"/>
  <c r="E29" i="23" s="1"/>
  <c r="F26" i="23"/>
  <c r="F29" i="23" s="1"/>
  <c r="C21" i="23"/>
  <c r="C24" i="23" s="1"/>
  <c r="D21" i="23"/>
  <c r="D24" i="23" s="1"/>
  <c r="E21" i="23"/>
  <c r="E24" i="23" s="1"/>
  <c r="F21" i="23"/>
  <c r="F24" i="23" s="1"/>
  <c r="C16" i="23"/>
  <c r="C19" i="23" s="1"/>
  <c r="D16" i="23"/>
  <c r="D19" i="23" s="1"/>
  <c r="E16" i="23"/>
  <c r="E19" i="23" s="1"/>
  <c r="F16" i="23"/>
  <c r="F19" i="23" s="1"/>
  <c r="C12" i="23"/>
  <c r="D12" i="23"/>
  <c r="E12" i="23"/>
  <c r="F12" i="23"/>
  <c r="C10" i="23"/>
  <c r="C36" i="23" s="1"/>
  <c r="D10" i="23"/>
  <c r="D14" i="23" s="1"/>
  <c r="E10" i="23"/>
  <c r="F10" i="23"/>
  <c r="C240" i="21"/>
  <c r="C246" i="21" s="1"/>
  <c r="C239" i="21"/>
  <c r="C233" i="21"/>
  <c r="C231" i="21"/>
  <c r="C230" i="21"/>
  <c r="C229" i="21"/>
  <c r="C228" i="21"/>
  <c r="C225" i="21"/>
  <c r="G22" i="20"/>
  <c r="J22" i="20"/>
  <c r="G16" i="20"/>
  <c r="J16" i="20"/>
  <c r="F12" i="17"/>
  <c r="G12" i="17"/>
  <c r="H12" i="17"/>
  <c r="I12" i="17"/>
  <c r="G12" i="16"/>
  <c r="C106" i="22"/>
  <c r="C111" i="22" s="1"/>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C286" i="13"/>
  <c r="G286" i="13"/>
  <c r="G285" i="13"/>
  <c r="F281" i="13"/>
  <c r="D278" i="13"/>
  <c r="E278" i="13" s="1"/>
  <c r="G278" i="13" s="1"/>
  <c r="D275" i="13"/>
  <c r="E275" i="13" s="1"/>
  <c r="G275" i="13" s="1"/>
  <c r="C274" i="13"/>
  <c r="D274" i="13" s="1"/>
  <c r="E274" i="13" s="1"/>
  <c r="G274" i="13" s="1"/>
  <c r="C273" i="13"/>
  <c r="D273" i="13" s="1"/>
  <c r="E273" i="13" s="1"/>
  <c r="G273" i="13" s="1"/>
  <c r="F269" i="13"/>
  <c r="D266" i="13"/>
  <c r="E266" i="13" s="1"/>
  <c r="G266" i="13" s="1"/>
  <c r="E265" i="13"/>
  <c r="G265" i="13" s="1"/>
  <c r="E264" i="13"/>
  <c r="E263" i="13"/>
  <c r="G263" i="13" s="1"/>
  <c r="E262" i="13"/>
  <c r="E261" i="13"/>
  <c r="G261" i="13" s="1"/>
  <c r="E260" i="13"/>
  <c r="G260" i="13" s="1"/>
  <c r="E259" i="13"/>
  <c r="G259" i="13" s="1"/>
  <c r="D258" i="13"/>
  <c r="E258" i="13" s="1"/>
  <c r="G258" i="13" s="1"/>
  <c r="D257" i="13"/>
  <c r="E257" i="13" s="1"/>
  <c r="G257" i="13" s="1"/>
  <c r="D256" i="13"/>
  <c r="E256" i="13" s="1"/>
  <c r="G256" i="13" s="1"/>
  <c r="D255" i="13"/>
  <c r="E255" i="13" s="1"/>
  <c r="G255" i="13" s="1"/>
  <c r="D254" i="13"/>
  <c r="E254" i="13" s="1"/>
  <c r="G254" i="13" s="1"/>
  <c r="E253" i="13"/>
  <c r="G253" i="13" s="1"/>
  <c r="E252" i="13"/>
  <c r="G252" i="13" s="1"/>
  <c r="E251" i="13"/>
  <c r="G251" i="13" s="1"/>
  <c r="E250" i="13"/>
  <c r="G250" i="13" s="1"/>
  <c r="D249" i="13"/>
  <c r="E249" i="13" s="1"/>
  <c r="G249" i="13" s="1"/>
  <c r="D248" i="13"/>
  <c r="E248" i="13" s="1"/>
  <c r="G248" i="13" s="1"/>
  <c r="E247" i="13"/>
  <c r="G247" i="13" s="1"/>
  <c r="E246" i="13"/>
  <c r="G246" i="13" s="1"/>
  <c r="E245" i="13"/>
  <c r="G245" i="13" s="1"/>
  <c r="D244" i="13"/>
  <c r="E244" i="13" s="1"/>
  <c r="G244" i="13" s="1"/>
  <c r="D240" i="13"/>
  <c r="E240" i="13" s="1"/>
  <c r="G240" i="13" s="1"/>
  <c r="D239" i="13"/>
  <c r="E239" i="13" s="1"/>
  <c r="G239" i="13" s="1"/>
  <c r="D238" i="13"/>
  <c r="E238" i="13" s="1"/>
  <c r="G238" i="13" s="1"/>
  <c r="D237" i="13"/>
  <c r="E237" i="13"/>
  <c r="G237" i="13" s="1"/>
  <c r="D236" i="13"/>
  <c r="E236" i="13" s="1"/>
  <c r="G236" i="13" s="1"/>
  <c r="F232" i="13"/>
  <c r="D229" i="13"/>
  <c r="E229" i="13" s="1"/>
  <c r="G229" i="13" s="1"/>
  <c r="E228" i="13"/>
  <c r="G228" i="13" s="1"/>
  <c r="D227" i="13"/>
  <c r="E227" i="13" s="1"/>
  <c r="G227" i="13" s="1"/>
  <c r="D226" i="13"/>
  <c r="E226" i="13" s="1"/>
  <c r="G226" i="13" s="1"/>
  <c r="D225" i="13"/>
  <c r="E225" i="13" s="1"/>
  <c r="G225" i="13" s="1"/>
  <c r="D224" i="13"/>
  <c r="E224" i="13" s="1"/>
  <c r="G224" i="13" s="1"/>
  <c r="D223" i="13"/>
  <c r="E223" i="13" s="1"/>
  <c r="G223" i="13" s="1"/>
  <c r="E222" i="13"/>
  <c r="G222" i="13" s="1"/>
  <c r="D221" i="13"/>
  <c r="E221" i="13" s="1"/>
  <c r="G221" i="13" s="1"/>
  <c r="G220" i="13"/>
  <c r="G211" i="13"/>
  <c r="G210" i="13"/>
  <c r="G209" i="13"/>
  <c r="G208" i="13"/>
  <c r="F198" i="13"/>
  <c r="C196" i="13"/>
  <c r="C195" i="13"/>
  <c r="G188" i="13"/>
  <c r="G187" i="13"/>
  <c r="G186" i="13"/>
  <c r="G185" i="13"/>
  <c r="G183" i="13"/>
  <c r="G181" i="13"/>
  <c r="G180" i="13"/>
  <c r="E178" i="13"/>
  <c r="F178" i="13"/>
  <c r="E177" i="13"/>
  <c r="F177" i="13"/>
  <c r="D176" i="13"/>
  <c r="G176" i="13"/>
  <c r="D175" i="13"/>
  <c r="G175" i="13"/>
  <c r="D174" i="13"/>
  <c r="G174" i="13"/>
  <c r="G178" i="13" s="1"/>
  <c r="D173" i="13"/>
  <c r="G173" i="13"/>
  <c r="G177" i="13" s="1"/>
  <c r="D170" i="13"/>
  <c r="G170" i="13"/>
  <c r="D169" i="13"/>
  <c r="G169" i="13"/>
  <c r="D168" i="13"/>
  <c r="G168" i="13"/>
  <c r="D167" i="13"/>
  <c r="G167" i="13"/>
  <c r="D166" i="13"/>
  <c r="G166" i="13"/>
  <c r="D165" i="13"/>
  <c r="G165" i="13"/>
  <c r="D164" i="13"/>
  <c r="G164" i="13"/>
  <c r="D163" i="13"/>
  <c r="G163" i="13"/>
  <c r="D162" i="13"/>
  <c r="G162" i="13"/>
  <c r="D160" i="13"/>
  <c r="E160" i="13" s="1"/>
  <c r="G160" i="13" s="1"/>
  <c r="D159" i="13"/>
  <c r="E159" i="13" s="1"/>
  <c r="G159" i="13" s="1"/>
  <c r="D158" i="13"/>
  <c r="E158" i="13" s="1"/>
  <c r="G158" i="13" s="1"/>
  <c r="D157" i="13"/>
  <c r="E157" i="13" s="1"/>
  <c r="G157" i="13" s="1"/>
  <c r="D156" i="13"/>
  <c r="E156" i="13" s="1"/>
  <c r="G156" i="13" s="1"/>
  <c r="D155" i="13"/>
  <c r="E155" i="13" s="1"/>
  <c r="G155" i="13" s="1"/>
  <c r="D154" i="13"/>
  <c r="E154" i="13" s="1"/>
  <c r="G154" i="13" s="1"/>
  <c r="D153" i="13"/>
  <c r="E153" i="13" s="1"/>
  <c r="G153" i="13" s="1"/>
  <c r="D152" i="13"/>
  <c r="E152" i="13" s="1"/>
  <c r="G152" i="13" s="1"/>
  <c r="G150" i="13"/>
  <c r="D149" i="13"/>
  <c r="E149" i="13" s="1"/>
  <c r="G149" i="13" s="1"/>
  <c r="D148" i="13"/>
  <c r="E148" i="13" s="1"/>
  <c r="G148" i="13" s="1"/>
  <c r="D147" i="13"/>
  <c r="E147" i="13" s="1"/>
  <c r="G147" i="13" s="1"/>
  <c r="G145" i="13"/>
  <c r="C143" i="13"/>
  <c r="D140" i="13"/>
  <c r="E140" i="13" s="1"/>
  <c r="G140" i="13" s="1"/>
  <c r="D139" i="13"/>
  <c r="E139" i="13" s="1"/>
  <c r="G139" i="13" s="1"/>
  <c r="D138" i="13"/>
  <c r="E138" i="13" s="1"/>
  <c r="G138" i="13" s="1"/>
  <c r="D137" i="13"/>
  <c r="E137" i="13" s="1"/>
  <c r="G137" i="13" s="1"/>
  <c r="D136" i="13"/>
  <c r="E136" i="13" s="1"/>
  <c r="G136" i="13" s="1"/>
  <c r="D135" i="13"/>
  <c r="E135" i="13" s="1"/>
  <c r="G135" i="13" s="1"/>
  <c r="D134" i="13"/>
  <c r="E134" i="13" s="1"/>
  <c r="G134" i="13" s="1"/>
  <c r="F132" i="13"/>
  <c r="D129" i="13"/>
  <c r="G129" i="13"/>
  <c r="D128" i="13"/>
  <c r="G128" i="13"/>
  <c r="D127" i="13"/>
  <c r="G127" i="13"/>
  <c r="D126" i="13"/>
  <c r="G126" i="13"/>
  <c r="D125" i="13"/>
  <c r="G125" i="13"/>
  <c r="D124" i="13"/>
  <c r="G124" i="13"/>
  <c r="D123" i="13"/>
  <c r="G123" i="13"/>
  <c r="D122" i="13"/>
  <c r="G122" i="13"/>
  <c r="D121" i="13"/>
  <c r="G121" i="13"/>
  <c r="D119" i="13"/>
  <c r="E119" i="13" s="1"/>
  <c r="G119" i="13" s="1"/>
  <c r="D118" i="13"/>
  <c r="E118" i="13" s="1"/>
  <c r="G118" i="13" s="1"/>
  <c r="D117" i="13"/>
  <c r="E117" i="13" s="1"/>
  <c r="G117" i="13" s="1"/>
  <c r="D116" i="13"/>
  <c r="E116" i="13" s="1"/>
  <c r="G116" i="13" s="1"/>
  <c r="D115" i="13"/>
  <c r="E115" i="13" s="1"/>
  <c r="G115" i="13" s="1"/>
  <c r="D114" i="13"/>
  <c r="E114" i="13" s="1"/>
  <c r="G114" i="13" s="1"/>
  <c r="D113" i="13"/>
  <c r="E113" i="13" s="1"/>
  <c r="G113" i="13" s="1"/>
  <c r="D112" i="13"/>
  <c r="E112" i="13" s="1"/>
  <c r="G112" i="13" s="1"/>
  <c r="D111" i="13"/>
  <c r="E111" i="13" s="1"/>
  <c r="G111" i="13" s="1"/>
  <c r="E109" i="13"/>
  <c r="G109" i="13" s="1"/>
  <c r="D108" i="13"/>
  <c r="E108" i="13" s="1"/>
  <c r="G108" i="13" s="1"/>
  <c r="D107" i="13"/>
  <c r="E107" i="13" s="1"/>
  <c r="G107" i="13" s="1"/>
  <c r="D106" i="13"/>
  <c r="E106" i="13" s="1"/>
  <c r="G106" i="13" s="1"/>
  <c r="C97" i="13"/>
  <c r="C101" i="13" s="1"/>
  <c r="G97" i="13"/>
  <c r="D94" i="13"/>
  <c r="E94" i="13" s="1"/>
  <c r="G94" i="13" s="1"/>
  <c r="D93" i="13"/>
  <c r="E93" i="13" s="1"/>
  <c r="G93" i="13" s="1"/>
  <c r="D92" i="13"/>
  <c r="E92" i="13" s="1"/>
  <c r="G92" i="13" s="1"/>
  <c r="D91" i="13"/>
  <c r="E91" i="13" s="1"/>
  <c r="G91" i="13" s="1"/>
  <c r="D90" i="13"/>
  <c r="E90" i="13" s="1"/>
  <c r="G90" i="13" s="1"/>
  <c r="D89" i="13"/>
  <c r="E89" i="13" s="1"/>
  <c r="G89" i="13" s="1"/>
  <c r="D88" i="13"/>
  <c r="E88" i="13" s="1"/>
  <c r="G88" i="13" s="1"/>
  <c r="D87" i="13"/>
  <c r="E87" i="13" s="1"/>
  <c r="G87" i="13" s="1"/>
  <c r="D86" i="13"/>
  <c r="E86" i="13" s="1"/>
  <c r="G86" i="13" s="1"/>
  <c r="D85" i="13"/>
  <c r="E85" i="13" s="1"/>
  <c r="G85" i="13" s="1"/>
  <c r="G80" i="13"/>
  <c r="G79" i="13"/>
  <c r="G78" i="13"/>
  <c r="G77" i="13"/>
  <c r="G75" i="13"/>
  <c r="G74" i="13"/>
  <c r="G73" i="13"/>
  <c r="G71" i="13"/>
  <c r="G68" i="13"/>
  <c r="G66" i="13"/>
  <c r="G64" i="13"/>
  <c r="G62" i="13"/>
  <c r="G57" i="13"/>
  <c r="E54" i="13"/>
  <c r="G54" i="13" s="1"/>
  <c r="C53" i="13"/>
  <c r="E53" i="13" s="1"/>
  <c r="G53" i="13" s="1"/>
  <c r="E52" i="13"/>
  <c r="G52" i="13" s="1"/>
  <c r="G47" i="13"/>
  <c r="E44" i="13"/>
  <c r="F44" i="13" s="1"/>
  <c r="G44" i="13" s="1"/>
  <c r="G36" i="13"/>
  <c r="G35" i="13"/>
  <c r="G34" i="13"/>
  <c r="G32" i="13"/>
  <c r="G28" i="13"/>
  <c r="G24" i="13"/>
  <c r="G19" i="13"/>
  <c r="G18" i="13"/>
  <c r="G17" i="13"/>
  <c r="G16" i="13"/>
  <c r="G15" i="13"/>
  <c r="G14" i="13"/>
  <c r="C92" i="19"/>
  <c r="C91" i="19"/>
  <c r="C90" i="19"/>
  <c r="C84" i="19"/>
  <c r="C53" i="19"/>
  <c r="C89" i="19" s="1"/>
  <c r="C52" i="19"/>
  <c r="C51" i="19"/>
  <c r="C48" i="19"/>
  <c r="C88" i="19" s="1"/>
  <c r="C27" i="19"/>
  <c r="C26" i="19"/>
  <c r="C25" i="19"/>
  <c r="C24" i="19"/>
  <c r="C23" i="19"/>
  <c r="C22" i="19"/>
  <c r="C11" i="19"/>
  <c r="C95" i="19" s="1"/>
  <c r="C122" i="15"/>
  <c r="C65" i="19" s="1"/>
  <c r="C97" i="15"/>
  <c r="C96" i="15"/>
  <c r="C95" i="15"/>
  <c r="C94" i="15"/>
  <c r="C71" i="15"/>
  <c r="C67" i="15"/>
  <c r="C56" i="15"/>
  <c r="C49" i="19" s="1"/>
  <c r="C142" i="8"/>
  <c r="D142" i="8"/>
  <c r="D133" i="8"/>
  <c r="D99" i="8"/>
  <c r="C84" i="8"/>
  <c r="C83" i="8"/>
  <c r="D83" i="8"/>
  <c r="C70" i="8"/>
  <c r="D70" i="8"/>
  <c r="C66" i="8"/>
  <c r="C65" i="8"/>
  <c r="C64" i="8"/>
  <c r="C63" i="8"/>
  <c r="C62" i="8"/>
  <c r="C61" i="8"/>
  <c r="C51" i="8"/>
  <c r="C50" i="8"/>
  <c r="C49" i="8"/>
  <c r="C36" i="8"/>
  <c r="C35" i="8"/>
  <c r="C34" i="8"/>
  <c r="C33" i="8"/>
  <c r="C26" i="8"/>
  <c r="C69" i="8" s="1"/>
  <c r="D26" i="8"/>
  <c r="C19" i="8"/>
  <c r="C46" i="8" s="1"/>
  <c r="D19" i="8"/>
  <c r="D46" i="8" s="1"/>
  <c r="C18" i="8"/>
  <c r="C45" i="8" s="1"/>
  <c r="D18" i="8"/>
  <c r="D45" i="8" s="1"/>
  <c r="C17" i="8"/>
  <c r="D17" i="8"/>
  <c r="C16" i="8"/>
  <c r="C15" i="8"/>
  <c r="D15" i="8"/>
  <c r="C11" i="8"/>
  <c r="D11" i="8"/>
  <c r="C10" i="8"/>
  <c r="D10" i="8"/>
  <c r="C46" i="24"/>
  <c r="D46" i="24"/>
  <c r="E46" i="24"/>
  <c r="F46" i="24"/>
  <c r="G46" i="24"/>
  <c r="H44" i="24"/>
  <c r="H46" i="24" s="1"/>
  <c r="C40" i="24"/>
  <c r="D40" i="24"/>
  <c r="E40" i="24"/>
  <c r="E48" i="24" s="1"/>
  <c r="F40" i="24"/>
  <c r="G40" i="24"/>
  <c r="H37" i="24"/>
  <c r="H36" i="24"/>
  <c r="H35" i="24"/>
  <c r="H34" i="24"/>
  <c r="H33" i="24"/>
  <c r="H32" i="24"/>
  <c r="H25" i="24"/>
  <c r="H24" i="24"/>
  <c r="H23" i="24"/>
  <c r="H22" i="24"/>
  <c r="H21" i="24"/>
  <c r="H20" i="24"/>
  <c r="H19" i="24"/>
  <c r="H18" i="24"/>
  <c r="H17" i="24"/>
  <c r="H15" i="24"/>
  <c r="H14" i="24"/>
  <c r="H13" i="24"/>
  <c r="H12" i="24"/>
  <c r="H11" i="24"/>
  <c r="H10" i="24"/>
  <c r="H9" i="24"/>
  <c r="H8" i="24"/>
  <c r="H10" i="18"/>
  <c r="I10" i="18"/>
  <c r="J10" i="18"/>
  <c r="K10" i="18"/>
  <c r="C215" i="5"/>
  <c r="D215" i="5"/>
  <c r="E212" i="5"/>
  <c r="F212" i="5"/>
  <c r="G212" i="5"/>
  <c r="H212" i="5" s="1"/>
  <c r="E211" i="5"/>
  <c r="F211" i="5"/>
  <c r="G211" i="5"/>
  <c r="H211" i="5" s="1"/>
  <c r="E210" i="5"/>
  <c r="I210" i="5" s="1"/>
  <c r="F210" i="5"/>
  <c r="G210" i="5"/>
  <c r="H210" i="5" s="1"/>
  <c r="E206" i="5"/>
  <c r="F206" i="5"/>
  <c r="G206" i="5"/>
  <c r="H206" i="5" s="1"/>
  <c r="C204" i="5"/>
  <c r="C217" i="5" s="1"/>
  <c r="D204" i="5"/>
  <c r="D217" i="5" s="1"/>
  <c r="E203" i="5"/>
  <c r="F203" i="5"/>
  <c r="G203" i="5"/>
  <c r="H203" i="5" s="1"/>
  <c r="E202" i="5"/>
  <c r="F202" i="5"/>
  <c r="G202" i="5"/>
  <c r="H202" i="5" s="1"/>
  <c r="E201" i="5"/>
  <c r="F201" i="5"/>
  <c r="G201" i="5"/>
  <c r="H201" i="5" s="1"/>
  <c r="E200" i="5"/>
  <c r="F200" i="5"/>
  <c r="G200" i="5"/>
  <c r="H200" i="5" s="1"/>
  <c r="E192" i="5"/>
  <c r="F192" i="5"/>
  <c r="G192" i="5"/>
  <c r="H192" i="5" s="1"/>
  <c r="C190" i="5"/>
  <c r="D190" i="5"/>
  <c r="E186" i="5"/>
  <c r="I186" i="5" s="1"/>
  <c r="F186" i="5"/>
  <c r="G186" i="5"/>
  <c r="H186" i="5" s="1"/>
  <c r="E185" i="5"/>
  <c r="F185" i="5"/>
  <c r="G185" i="5"/>
  <c r="H185" i="5" s="1"/>
  <c r="E184" i="5"/>
  <c r="F184" i="5"/>
  <c r="I184" i="5" s="1"/>
  <c r="G184" i="5"/>
  <c r="H184" i="5" s="1"/>
  <c r="E183" i="5"/>
  <c r="F183" i="5"/>
  <c r="G183" i="5"/>
  <c r="H183" i="5" s="1"/>
  <c r="E182" i="5"/>
  <c r="F182" i="5"/>
  <c r="G182" i="5"/>
  <c r="H182" i="5" s="1"/>
  <c r="E181" i="5"/>
  <c r="F181" i="5"/>
  <c r="G181" i="5"/>
  <c r="H181" i="5" s="1"/>
  <c r="D177" i="5"/>
  <c r="C175" i="5"/>
  <c r="E175" i="5" s="1"/>
  <c r="I175" i="5" s="1"/>
  <c r="F175" i="5"/>
  <c r="C174" i="5"/>
  <c r="G174" i="5" s="1"/>
  <c r="H174" i="5" s="1"/>
  <c r="F174" i="5"/>
  <c r="C173" i="5"/>
  <c r="E173" i="5" s="1"/>
  <c r="F173" i="5"/>
  <c r="E172" i="5"/>
  <c r="F172" i="5"/>
  <c r="G172" i="5"/>
  <c r="H172" i="5" s="1"/>
  <c r="C171" i="5"/>
  <c r="E171" i="5" s="1"/>
  <c r="F171" i="5"/>
  <c r="G171" i="5"/>
  <c r="H171" i="5" s="1"/>
  <c r="C170" i="5"/>
  <c r="G170" i="5" s="1"/>
  <c r="H170" i="5" s="1"/>
  <c r="F170" i="5"/>
  <c r="C169" i="5"/>
  <c r="G169" i="5" s="1"/>
  <c r="H169" i="5" s="1"/>
  <c r="F169" i="5"/>
  <c r="C168" i="5"/>
  <c r="F168" i="5"/>
  <c r="C167" i="5"/>
  <c r="G167" i="5" s="1"/>
  <c r="H167" i="5" s="1"/>
  <c r="F167" i="5"/>
  <c r="C166" i="5"/>
  <c r="G166" i="5" s="1"/>
  <c r="H166" i="5" s="1"/>
  <c r="F166" i="5"/>
  <c r="C165" i="5"/>
  <c r="G165" i="5" s="1"/>
  <c r="H165" i="5" s="1"/>
  <c r="F165" i="5"/>
  <c r="F164" i="5"/>
  <c r="C161" i="5"/>
  <c r="D161" i="5"/>
  <c r="E160" i="5"/>
  <c r="I160" i="5" s="1"/>
  <c r="F160" i="5"/>
  <c r="G160" i="5"/>
  <c r="H160" i="5" s="1"/>
  <c r="E159" i="5"/>
  <c r="F159" i="5"/>
  <c r="G159" i="5"/>
  <c r="H159" i="5" s="1"/>
  <c r="C155" i="5"/>
  <c r="D155" i="5"/>
  <c r="E154" i="5"/>
  <c r="F154" i="5"/>
  <c r="G154" i="5"/>
  <c r="H154" i="5" s="1"/>
  <c r="E153" i="5"/>
  <c r="F153" i="5"/>
  <c r="G153" i="5"/>
  <c r="H153" i="5" s="1"/>
  <c r="C149" i="5"/>
  <c r="D149" i="5"/>
  <c r="E147" i="5"/>
  <c r="F147" i="5"/>
  <c r="G147" i="5"/>
  <c r="H147" i="5" s="1"/>
  <c r="C143" i="5"/>
  <c r="D143" i="5"/>
  <c r="E142" i="5"/>
  <c r="F142" i="5"/>
  <c r="G142" i="5"/>
  <c r="H142" i="5" s="1"/>
  <c r="E141" i="5"/>
  <c r="F141" i="5"/>
  <c r="G141" i="5"/>
  <c r="H141" i="5" s="1"/>
  <c r="C129" i="5"/>
  <c r="D129" i="5"/>
  <c r="E127" i="5"/>
  <c r="F127" i="5"/>
  <c r="G127" i="5"/>
  <c r="H127" i="5" s="1"/>
  <c r="E126" i="5"/>
  <c r="F126" i="5"/>
  <c r="G126" i="5"/>
  <c r="H126" i="5" s="1"/>
  <c r="E125" i="5"/>
  <c r="F125" i="5"/>
  <c r="G125" i="5"/>
  <c r="H125" i="5" s="1"/>
  <c r="E124" i="5"/>
  <c r="F124" i="5"/>
  <c r="G124" i="5"/>
  <c r="H124" i="5" s="1"/>
  <c r="E123" i="5"/>
  <c r="F123" i="5"/>
  <c r="G123" i="5"/>
  <c r="H123" i="5" s="1"/>
  <c r="C119" i="5"/>
  <c r="D119" i="5"/>
  <c r="E117" i="5"/>
  <c r="F117" i="5"/>
  <c r="G117" i="5"/>
  <c r="H117" i="5" s="1"/>
  <c r="E116" i="5"/>
  <c r="F116" i="5"/>
  <c r="I116" i="5" s="1"/>
  <c r="G116" i="5"/>
  <c r="H116" i="5" s="1"/>
  <c r="E115" i="5"/>
  <c r="F115" i="5"/>
  <c r="I115" i="5" s="1"/>
  <c r="G115" i="5"/>
  <c r="H115" i="5" s="1"/>
  <c r="E114" i="5"/>
  <c r="F114" i="5"/>
  <c r="I114" i="5" s="1"/>
  <c r="G114" i="5"/>
  <c r="H114" i="5" s="1"/>
  <c r="E113" i="5"/>
  <c r="F113" i="5"/>
  <c r="I113" i="5" s="1"/>
  <c r="G113" i="5"/>
  <c r="H113" i="5" s="1"/>
  <c r="C107" i="5"/>
  <c r="D107" i="5"/>
  <c r="E105" i="5"/>
  <c r="F105" i="5"/>
  <c r="G105" i="5"/>
  <c r="H105" i="5" s="1"/>
  <c r="E104" i="5"/>
  <c r="F104" i="5"/>
  <c r="G104" i="5"/>
  <c r="H104" i="5" s="1"/>
  <c r="E103" i="5"/>
  <c r="F103" i="5"/>
  <c r="G103" i="5"/>
  <c r="H103" i="5" s="1"/>
  <c r="E102" i="5"/>
  <c r="F102" i="5"/>
  <c r="G102" i="5"/>
  <c r="H102" i="5" s="1"/>
  <c r="E101" i="5"/>
  <c r="F101" i="5"/>
  <c r="G101" i="5"/>
  <c r="H101" i="5" s="1"/>
  <c r="C97" i="5"/>
  <c r="D97" i="5"/>
  <c r="E95" i="5"/>
  <c r="F95" i="5"/>
  <c r="G95" i="5"/>
  <c r="H95" i="5" s="1"/>
  <c r="E94" i="5"/>
  <c r="F94" i="5"/>
  <c r="G94" i="5"/>
  <c r="H94" i="5" s="1"/>
  <c r="E93" i="5"/>
  <c r="F93" i="5"/>
  <c r="G93" i="5"/>
  <c r="H93" i="5" s="1"/>
  <c r="E92" i="5"/>
  <c r="F92" i="5"/>
  <c r="G92" i="5"/>
  <c r="H92" i="5" s="1"/>
  <c r="E91" i="5"/>
  <c r="F91" i="5"/>
  <c r="G91" i="5"/>
  <c r="H91" i="5" s="1"/>
  <c r="C87" i="5"/>
  <c r="C109" i="5" s="1"/>
  <c r="D87" i="5"/>
  <c r="D109" i="5" s="1"/>
  <c r="E85" i="5"/>
  <c r="F85" i="5"/>
  <c r="G85" i="5"/>
  <c r="H85" i="5"/>
  <c r="E84" i="5"/>
  <c r="F84" i="5"/>
  <c r="G84" i="5"/>
  <c r="H84" i="5"/>
  <c r="E83" i="5"/>
  <c r="F83" i="5"/>
  <c r="G83" i="5"/>
  <c r="H83" i="5"/>
  <c r="E82" i="5"/>
  <c r="F82" i="5"/>
  <c r="G82" i="5"/>
  <c r="H82" i="5"/>
  <c r="E81" i="5"/>
  <c r="F81" i="5"/>
  <c r="G81" i="5"/>
  <c r="H81" i="5" s="1"/>
  <c r="E80" i="5"/>
  <c r="F80" i="5"/>
  <c r="G80" i="5"/>
  <c r="H80" i="5" s="1"/>
  <c r="C74" i="5"/>
  <c r="D74" i="5"/>
  <c r="E73" i="5"/>
  <c r="F73" i="5"/>
  <c r="G73" i="5"/>
  <c r="H73" i="5" s="1"/>
  <c r="I73" i="5"/>
  <c r="C69" i="5"/>
  <c r="D69" i="5"/>
  <c r="E67" i="5"/>
  <c r="F67" i="5"/>
  <c r="G67" i="5"/>
  <c r="H67" i="5" s="1"/>
  <c r="C63" i="5"/>
  <c r="D63" i="5"/>
  <c r="E62" i="5"/>
  <c r="F62" i="5"/>
  <c r="G62" i="5"/>
  <c r="H62" i="5"/>
  <c r="E61" i="5"/>
  <c r="F61" i="5"/>
  <c r="G61" i="5"/>
  <c r="H61" i="5"/>
  <c r="E53" i="5"/>
  <c r="F53" i="5"/>
  <c r="G53" i="5"/>
  <c r="H53" i="5"/>
  <c r="C49" i="5"/>
  <c r="D49" i="5"/>
  <c r="E48" i="5"/>
  <c r="F48" i="5"/>
  <c r="G48" i="5"/>
  <c r="H48" i="5" s="1"/>
  <c r="E46" i="5"/>
  <c r="F46" i="5"/>
  <c r="G46" i="5"/>
  <c r="H46" i="5" s="1"/>
  <c r="E45" i="5"/>
  <c r="F45" i="5"/>
  <c r="G45" i="5"/>
  <c r="H45" i="5" s="1"/>
  <c r="E39" i="5"/>
  <c r="F39" i="5"/>
  <c r="G39" i="5"/>
  <c r="H39" i="5" s="1"/>
  <c r="E38" i="5"/>
  <c r="F38" i="5"/>
  <c r="G38" i="5"/>
  <c r="H38" i="5" s="1"/>
  <c r="C37" i="5"/>
  <c r="E37" i="5" s="1"/>
  <c r="D37" i="5"/>
  <c r="F37" i="5" s="1"/>
  <c r="C36" i="5"/>
  <c r="D36" i="5"/>
  <c r="F36" i="5"/>
  <c r="C35" i="5"/>
  <c r="E35" i="5" s="1"/>
  <c r="D35" i="5"/>
  <c r="C31" i="5"/>
  <c r="D31" i="5"/>
  <c r="E29" i="5"/>
  <c r="F29" i="5"/>
  <c r="G29" i="5"/>
  <c r="H29" i="5"/>
  <c r="E28" i="5"/>
  <c r="F28" i="5"/>
  <c r="G28" i="5"/>
  <c r="H28" i="5"/>
  <c r="E26" i="5"/>
  <c r="F26" i="5"/>
  <c r="G26" i="5"/>
  <c r="H26" i="5" s="1"/>
  <c r="E25" i="5"/>
  <c r="F25" i="5"/>
  <c r="G25" i="5"/>
  <c r="H25" i="5" s="1"/>
  <c r="E24" i="5"/>
  <c r="F24" i="5"/>
  <c r="G24" i="5"/>
  <c r="H24" i="5" s="1"/>
  <c r="E23" i="5"/>
  <c r="F23" i="5"/>
  <c r="G23" i="5"/>
  <c r="H23" i="5" s="1"/>
  <c r="E22" i="5"/>
  <c r="F22" i="5"/>
  <c r="G22" i="5"/>
  <c r="H22" i="5" s="1"/>
  <c r="E21" i="5"/>
  <c r="F21" i="5"/>
  <c r="G21" i="5"/>
  <c r="H21" i="5" s="1"/>
  <c r="E20" i="5"/>
  <c r="F20" i="5"/>
  <c r="G20" i="5"/>
  <c r="H20" i="5"/>
  <c r="C16" i="5"/>
  <c r="D16" i="5"/>
  <c r="F56" i="7"/>
  <c r="C226" i="5" s="1"/>
  <c r="L53" i="7"/>
  <c r="U53" i="7" s="1"/>
  <c r="L52" i="7"/>
  <c r="U52" i="7"/>
  <c r="L51" i="7"/>
  <c r="U51" i="7" s="1"/>
  <c r="N50" i="7"/>
  <c r="U50" i="7"/>
  <c r="L49" i="7"/>
  <c r="U49" i="7" s="1"/>
  <c r="N48" i="7"/>
  <c r="U48" i="7" s="1"/>
  <c r="L47" i="7"/>
  <c r="U47" i="7" s="1"/>
  <c r="N46" i="7"/>
  <c r="U46" i="7"/>
  <c r="L45" i="7"/>
  <c r="U45" i="7" s="1"/>
  <c r="N44" i="7"/>
  <c r="U44" i="7" s="1"/>
  <c r="U43" i="7"/>
  <c r="U42" i="7"/>
  <c r="U41" i="7"/>
  <c r="U40" i="7"/>
  <c r="U37" i="7"/>
  <c r="U36" i="7"/>
  <c r="U34" i="7"/>
  <c r="U33" i="7"/>
  <c r="C31" i="7"/>
  <c r="D31" i="7"/>
  <c r="D224" i="5" s="1"/>
  <c r="E31" i="7"/>
  <c r="F31" i="7"/>
  <c r="D226" i="5" s="1"/>
  <c r="G31" i="7"/>
  <c r="P31" i="7"/>
  <c r="D236" i="5" s="1"/>
  <c r="Q31" i="7"/>
  <c r="R31" i="7"/>
  <c r="D238" i="5" s="1"/>
  <c r="S31" i="7"/>
  <c r="S56" i="7" s="1"/>
  <c r="T31" i="7"/>
  <c r="T56" i="7" s="1"/>
  <c r="L28" i="7"/>
  <c r="U28" i="7" s="1"/>
  <c r="L27" i="7"/>
  <c r="U27" i="7"/>
  <c r="L26" i="7"/>
  <c r="U26" i="7" s="1"/>
  <c r="N25" i="7"/>
  <c r="U25" i="7"/>
  <c r="L24" i="7"/>
  <c r="U24" i="7" s="1"/>
  <c r="N23" i="7"/>
  <c r="U23" i="7" s="1"/>
  <c r="L22" i="7"/>
  <c r="U22" i="7" s="1"/>
  <c r="N21" i="7"/>
  <c r="U21" i="7"/>
  <c r="L20" i="7"/>
  <c r="U20" i="7" s="1"/>
  <c r="N19" i="7"/>
  <c r="U19" i="7" s="1"/>
  <c r="U18" i="7"/>
  <c r="U17" i="7"/>
  <c r="U16" i="7"/>
  <c r="U15" i="7"/>
  <c r="U12" i="7"/>
  <c r="U11" i="7"/>
  <c r="H10" i="7"/>
  <c r="I10" i="7"/>
  <c r="J10" i="7"/>
  <c r="J31" i="7" s="1"/>
  <c r="D230" i="5" s="1"/>
  <c r="K10" i="7"/>
  <c r="K31" i="7" s="1"/>
  <c r="D231" i="5" s="1"/>
  <c r="L10" i="7"/>
  <c r="M10" i="7"/>
  <c r="M31" i="7" s="1"/>
  <c r="N10" i="7"/>
  <c r="N31" i="7" s="1"/>
  <c r="N35" i="7" s="1"/>
  <c r="O10" i="7"/>
  <c r="O31" i="7" s="1"/>
  <c r="U9" i="7"/>
  <c r="U8" i="7"/>
  <c r="U6" i="7"/>
  <c r="C183" i="14"/>
  <c r="D183" i="14"/>
  <c r="F183" i="14"/>
  <c r="E10" i="14"/>
  <c r="E9" i="14"/>
  <c r="C92" i="6"/>
  <c r="D92" i="6"/>
  <c r="F92" i="6"/>
  <c r="G92" i="6"/>
  <c r="E90" i="6"/>
  <c r="H90" i="6"/>
  <c r="E89" i="6"/>
  <c r="H89" i="6"/>
  <c r="E88" i="6"/>
  <c r="H88" i="6"/>
  <c r="E87" i="6"/>
  <c r="H87" i="6"/>
  <c r="E86" i="6"/>
  <c r="H86" i="6"/>
  <c r="E85" i="6"/>
  <c r="H85" i="6"/>
  <c r="E84" i="6"/>
  <c r="H84" i="6"/>
  <c r="E83" i="6"/>
  <c r="H83" i="6"/>
  <c r="E82" i="6"/>
  <c r="H82" i="6"/>
  <c r="E81" i="6"/>
  <c r="H81" i="6"/>
  <c r="C70" i="6"/>
  <c r="D70" i="6"/>
  <c r="F70" i="6"/>
  <c r="G70" i="6"/>
  <c r="E68" i="6"/>
  <c r="H68" i="6"/>
  <c r="E67" i="6"/>
  <c r="H67" i="6"/>
  <c r="E58" i="6"/>
  <c r="H58" i="6"/>
  <c r="E57" i="6"/>
  <c r="H57" i="6"/>
  <c r="D51" i="6"/>
  <c r="G51" i="6"/>
  <c r="F50" i="6"/>
  <c r="H50" i="6" s="1"/>
  <c r="C36" i="6"/>
  <c r="D36" i="6"/>
  <c r="F36" i="6"/>
  <c r="G36" i="6"/>
  <c r="E35" i="6"/>
  <c r="H35" i="6"/>
  <c r="E34" i="6"/>
  <c r="H34" i="6"/>
  <c r="E33" i="6"/>
  <c r="H33" i="6"/>
  <c r="E32" i="6"/>
  <c r="H32" i="6"/>
  <c r="H36" i="6" s="1"/>
  <c r="D23" i="6"/>
  <c r="G23" i="6"/>
  <c r="D14" i="6"/>
  <c r="D25" i="6" s="1"/>
  <c r="G14" i="6"/>
  <c r="D13" i="6"/>
  <c r="G13" i="6"/>
  <c r="E68" i="12"/>
  <c r="F68" i="12"/>
  <c r="G68" i="12"/>
  <c r="H68" i="12"/>
  <c r="C67" i="12"/>
  <c r="C50" i="6" s="1"/>
  <c r="E50" i="6" s="1"/>
  <c r="D67" i="12"/>
  <c r="C65" i="12"/>
  <c r="C40" i="19" s="1"/>
  <c r="D65" i="12"/>
  <c r="F49" i="6" s="1"/>
  <c r="H49" i="6" s="1"/>
  <c r="E60" i="12"/>
  <c r="F60" i="12"/>
  <c r="G60" i="12"/>
  <c r="H60" i="12"/>
  <c r="C59" i="12"/>
  <c r="C18" i="19" s="1"/>
  <c r="D59" i="12"/>
  <c r="C58" i="12"/>
  <c r="C17" i="19" s="1"/>
  <c r="D58" i="12"/>
  <c r="F48" i="6" s="1"/>
  <c r="H48" i="6" s="1"/>
  <c r="C57" i="12"/>
  <c r="C42" i="19" s="1"/>
  <c r="D57" i="12"/>
  <c r="C56" i="12"/>
  <c r="D56" i="12"/>
  <c r="F47" i="6" s="1"/>
  <c r="H47" i="6" s="1"/>
  <c r="E52" i="12"/>
  <c r="F52" i="12"/>
  <c r="G52" i="12"/>
  <c r="H52" i="12"/>
  <c r="C51" i="12"/>
  <c r="D51" i="12"/>
  <c r="C50" i="12"/>
  <c r="D50" i="12"/>
  <c r="C49" i="12"/>
  <c r="D49" i="12"/>
  <c r="C48" i="12"/>
  <c r="D48" i="12"/>
  <c r="E44" i="12"/>
  <c r="E69" i="12" s="1"/>
  <c r="F44" i="12"/>
  <c r="G44" i="12"/>
  <c r="H44" i="12"/>
  <c r="C43" i="12"/>
  <c r="C12" i="19" s="1"/>
  <c r="D43" i="12"/>
  <c r="C42" i="12"/>
  <c r="C135" i="15" s="1"/>
  <c r="D42" i="12"/>
  <c r="F43" i="6" s="1"/>
  <c r="H43" i="6" s="1"/>
  <c r="C41" i="12"/>
  <c r="D41" i="12"/>
  <c r="C40" i="12"/>
  <c r="D40" i="12"/>
  <c r="F44" i="6" s="1"/>
  <c r="H44" i="6" s="1"/>
  <c r="E36" i="12"/>
  <c r="F36" i="12"/>
  <c r="G36" i="12"/>
  <c r="H36" i="12"/>
  <c r="C35" i="12"/>
  <c r="D35" i="12"/>
  <c r="C34" i="12"/>
  <c r="D34" i="12"/>
  <c r="C33" i="12"/>
  <c r="D33" i="12"/>
  <c r="C32" i="12"/>
  <c r="D32" i="12"/>
  <c r="C28" i="12"/>
  <c r="D28" i="12"/>
  <c r="C27" i="12"/>
  <c r="D27" i="12"/>
  <c r="C26" i="12"/>
  <c r="D26" i="12"/>
  <c r="E20" i="12"/>
  <c r="F20" i="12"/>
  <c r="F69" i="12" s="1"/>
  <c r="G20" i="12"/>
  <c r="G69" i="12" s="1"/>
  <c r="H20" i="12"/>
  <c r="C19" i="12"/>
  <c r="D19" i="12"/>
  <c r="C18" i="12"/>
  <c r="D18" i="12"/>
  <c r="C17" i="12"/>
  <c r="D17" i="12"/>
  <c r="C16" i="12"/>
  <c r="D16" i="12"/>
  <c r="C12" i="12"/>
  <c r="D12" i="12"/>
  <c r="C11" i="12"/>
  <c r="D11" i="12"/>
  <c r="C10" i="12"/>
  <c r="C20" i="12" s="1"/>
  <c r="D10" i="12"/>
  <c r="D20" i="12" s="1"/>
  <c r="C66" i="10"/>
  <c r="C72" i="15" s="1"/>
  <c r="C47" i="10"/>
  <c r="C36" i="10"/>
  <c r="D19" i="10"/>
  <c r="D24" i="10" s="1"/>
  <c r="C10" i="10"/>
  <c r="C19" i="10" s="1"/>
  <c r="C24" i="10" s="1"/>
  <c r="AE119" i="11"/>
  <c r="AI119" i="11" s="1"/>
  <c r="AF119" i="11"/>
  <c r="AJ119" i="11" s="1"/>
  <c r="C115" i="11"/>
  <c r="D115" i="11"/>
  <c r="J115" i="11"/>
  <c r="K115" i="11"/>
  <c r="Q115" i="11"/>
  <c r="R115" i="11"/>
  <c r="X115" i="11"/>
  <c r="Y115" i="11"/>
  <c r="E112" i="11"/>
  <c r="F112" i="11"/>
  <c r="G112" i="11"/>
  <c r="H112" i="11" s="1"/>
  <c r="L112" i="11"/>
  <c r="M112" i="11"/>
  <c r="N112" i="11"/>
  <c r="O112" i="11" s="1"/>
  <c r="S112" i="11"/>
  <c r="T112" i="11"/>
  <c r="U112" i="11"/>
  <c r="V112" i="11" s="1"/>
  <c r="Z112" i="11"/>
  <c r="AA112" i="11"/>
  <c r="AB112" i="11"/>
  <c r="AC112" i="11" s="1"/>
  <c r="AE112" i="11"/>
  <c r="AI112" i="11" s="1"/>
  <c r="AF112" i="11"/>
  <c r="AJ112" i="11" s="1"/>
  <c r="E111" i="11"/>
  <c r="F111" i="11"/>
  <c r="G111" i="11"/>
  <c r="H111" i="11" s="1"/>
  <c r="L111" i="11"/>
  <c r="M111" i="11"/>
  <c r="N111" i="11"/>
  <c r="O111" i="11" s="1"/>
  <c r="S111" i="11"/>
  <c r="T111" i="11"/>
  <c r="U111" i="11"/>
  <c r="V111" i="11" s="1"/>
  <c r="Z111" i="11"/>
  <c r="AA111" i="11"/>
  <c r="AB111" i="11"/>
  <c r="AC111" i="11" s="1"/>
  <c r="AE111" i="11"/>
  <c r="AF111" i="11"/>
  <c r="AJ111" i="11" s="1"/>
  <c r="E110" i="11"/>
  <c r="F110" i="11"/>
  <c r="G110" i="11"/>
  <c r="H110" i="11"/>
  <c r="L110" i="11"/>
  <c r="M110" i="11"/>
  <c r="N110" i="11"/>
  <c r="O110" i="11"/>
  <c r="S110" i="11"/>
  <c r="T110" i="11"/>
  <c r="U110" i="11"/>
  <c r="V110" i="11"/>
  <c r="Z110" i="11"/>
  <c r="AA110" i="11"/>
  <c r="AB110" i="11"/>
  <c r="AC110" i="11"/>
  <c r="AE110" i="11"/>
  <c r="AI110" i="11" s="1"/>
  <c r="AF110" i="11"/>
  <c r="AJ110" i="11" s="1"/>
  <c r="E109" i="11"/>
  <c r="F109" i="11"/>
  <c r="G109" i="11"/>
  <c r="H109" i="11" s="1"/>
  <c r="L109" i="11"/>
  <c r="M109" i="11"/>
  <c r="N109" i="11"/>
  <c r="O109" i="11" s="1"/>
  <c r="S109" i="11"/>
  <c r="T109" i="11"/>
  <c r="U109" i="11"/>
  <c r="V109" i="11" s="1"/>
  <c r="Z109" i="11"/>
  <c r="AA109" i="11"/>
  <c r="AB109" i="11"/>
  <c r="AC109" i="11" s="1"/>
  <c r="AE109" i="11"/>
  <c r="AI109" i="11" s="1"/>
  <c r="AF109" i="11"/>
  <c r="AJ109" i="11" s="1"/>
  <c r="E108" i="11"/>
  <c r="F108" i="11"/>
  <c r="G108" i="11"/>
  <c r="H108" i="11" s="1"/>
  <c r="L108" i="11"/>
  <c r="M108" i="11"/>
  <c r="N108" i="11"/>
  <c r="O108" i="11" s="1"/>
  <c r="S108" i="11"/>
  <c r="T108" i="11"/>
  <c r="U108" i="11"/>
  <c r="V108" i="11" s="1"/>
  <c r="Z108" i="11"/>
  <c r="AA108" i="11"/>
  <c r="AB108" i="11"/>
  <c r="AC108" i="11" s="1"/>
  <c r="AE108" i="11"/>
  <c r="AI108" i="11" s="1"/>
  <c r="AF108" i="11"/>
  <c r="AJ108" i="11" s="1"/>
  <c r="E107" i="11"/>
  <c r="F107" i="11"/>
  <c r="G107" i="11"/>
  <c r="H107" i="11" s="1"/>
  <c r="L107" i="11"/>
  <c r="M107" i="11"/>
  <c r="N107" i="11"/>
  <c r="O107" i="11" s="1"/>
  <c r="S107" i="11"/>
  <c r="T107" i="11"/>
  <c r="U107" i="11"/>
  <c r="V107" i="11"/>
  <c r="Z107" i="11"/>
  <c r="AA107" i="11"/>
  <c r="AB107" i="11"/>
  <c r="AC107" i="11"/>
  <c r="AE107" i="11"/>
  <c r="AI107" i="11" s="1"/>
  <c r="AF107" i="11"/>
  <c r="AJ107" i="11" s="1"/>
  <c r="E106" i="11"/>
  <c r="F106" i="11"/>
  <c r="G106" i="11"/>
  <c r="H106" i="11" s="1"/>
  <c r="L106" i="11"/>
  <c r="M106" i="11"/>
  <c r="N106" i="11"/>
  <c r="O106" i="11" s="1"/>
  <c r="S106" i="11"/>
  <c r="T106" i="11"/>
  <c r="U106" i="11"/>
  <c r="V106" i="11" s="1"/>
  <c r="Z106" i="11"/>
  <c r="AA106" i="11"/>
  <c r="AB106" i="11"/>
  <c r="AC106" i="11" s="1"/>
  <c r="AE106" i="11"/>
  <c r="AI106" i="11" s="1"/>
  <c r="AF106" i="11"/>
  <c r="AJ106" i="11" s="1"/>
  <c r="E105" i="11"/>
  <c r="F105" i="11"/>
  <c r="G105" i="11"/>
  <c r="H105" i="11" s="1"/>
  <c r="L105" i="11"/>
  <c r="M105" i="11"/>
  <c r="N105" i="11"/>
  <c r="O105" i="11" s="1"/>
  <c r="S105" i="11"/>
  <c r="T105" i="11"/>
  <c r="U105" i="11"/>
  <c r="V105" i="11" s="1"/>
  <c r="Z105" i="11"/>
  <c r="AA105" i="11"/>
  <c r="AB105" i="11"/>
  <c r="AC105" i="11" s="1"/>
  <c r="AE105" i="11"/>
  <c r="AI105" i="11" s="1"/>
  <c r="AF105" i="11"/>
  <c r="AJ105" i="11" s="1"/>
  <c r="E104" i="11"/>
  <c r="F104" i="11"/>
  <c r="G104" i="11"/>
  <c r="H104" i="11" s="1"/>
  <c r="L104" i="11"/>
  <c r="M104" i="11"/>
  <c r="N104" i="11"/>
  <c r="O104" i="11" s="1"/>
  <c r="S104" i="11"/>
  <c r="T104" i="11"/>
  <c r="U104" i="11"/>
  <c r="V104" i="11" s="1"/>
  <c r="Z104" i="11"/>
  <c r="AA104" i="11"/>
  <c r="AB104" i="11"/>
  <c r="AC104" i="11" s="1"/>
  <c r="AE104" i="11"/>
  <c r="AG104" i="11" s="1"/>
  <c r="AF104" i="11"/>
  <c r="AH104" i="11" s="1"/>
  <c r="E103" i="11"/>
  <c r="F103" i="11"/>
  <c r="G103" i="11"/>
  <c r="H103" i="11" s="1"/>
  <c r="L103" i="11"/>
  <c r="M103" i="11"/>
  <c r="N103" i="11"/>
  <c r="O103" i="11" s="1"/>
  <c r="S103" i="11"/>
  <c r="T103" i="11"/>
  <c r="U103" i="11"/>
  <c r="V103" i="11" s="1"/>
  <c r="Z103" i="11"/>
  <c r="AA103" i="11"/>
  <c r="AB103" i="11"/>
  <c r="AC103" i="11" s="1"/>
  <c r="AE103" i="11"/>
  <c r="AG103" i="11" s="1"/>
  <c r="AF103" i="11"/>
  <c r="AH103" i="11" s="1"/>
  <c r="E102" i="11"/>
  <c r="F102" i="11"/>
  <c r="G102" i="11"/>
  <c r="H102" i="11" s="1"/>
  <c r="L102" i="11"/>
  <c r="M102" i="11"/>
  <c r="N102" i="11"/>
  <c r="O102" i="11" s="1"/>
  <c r="S102" i="11"/>
  <c r="T102" i="11"/>
  <c r="U102" i="11"/>
  <c r="V102" i="11" s="1"/>
  <c r="Z102" i="11"/>
  <c r="AA102" i="11"/>
  <c r="AB102" i="11"/>
  <c r="AC102" i="11" s="1"/>
  <c r="AE102" i="11"/>
  <c r="AG102" i="11" s="1"/>
  <c r="AF102" i="11"/>
  <c r="AH102" i="11"/>
  <c r="E101" i="11"/>
  <c r="F101" i="11"/>
  <c r="G101" i="11"/>
  <c r="H101" i="11" s="1"/>
  <c r="L101" i="11"/>
  <c r="M101" i="11"/>
  <c r="N101" i="11"/>
  <c r="O101" i="11" s="1"/>
  <c r="S101" i="11"/>
  <c r="T101" i="11"/>
  <c r="U101" i="11"/>
  <c r="V101" i="11" s="1"/>
  <c r="Z101" i="11"/>
  <c r="AA101" i="11"/>
  <c r="AB101" i="11"/>
  <c r="AC101" i="11" s="1"/>
  <c r="AE101" i="11"/>
  <c r="AG101" i="11" s="1"/>
  <c r="AF101" i="11"/>
  <c r="AH101" i="11" s="1"/>
  <c r="E100" i="11"/>
  <c r="F100" i="11"/>
  <c r="G100" i="11"/>
  <c r="H100" i="11" s="1"/>
  <c r="L100" i="11"/>
  <c r="M100" i="11"/>
  <c r="N100" i="11"/>
  <c r="O100" i="11" s="1"/>
  <c r="S100" i="11"/>
  <c r="T100" i="11"/>
  <c r="U100" i="11"/>
  <c r="V100" i="11" s="1"/>
  <c r="Z100" i="11"/>
  <c r="AA100" i="11"/>
  <c r="AB100" i="11"/>
  <c r="AC100" i="11" s="1"/>
  <c r="AE100" i="11"/>
  <c r="AF100" i="11"/>
  <c r="AH100" i="11" s="1"/>
  <c r="E99" i="11"/>
  <c r="F99" i="11"/>
  <c r="G99" i="11"/>
  <c r="H99" i="11" s="1"/>
  <c r="L99" i="11"/>
  <c r="M99" i="11"/>
  <c r="N99" i="11"/>
  <c r="O99" i="11" s="1"/>
  <c r="S99" i="11"/>
  <c r="T99" i="11"/>
  <c r="U99" i="11"/>
  <c r="V99" i="11" s="1"/>
  <c r="Z99" i="11"/>
  <c r="AA99" i="11"/>
  <c r="AB99" i="11"/>
  <c r="AC99" i="11" s="1"/>
  <c r="AE99" i="11"/>
  <c r="AF99" i="11"/>
  <c r="AH99" i="11" s="1"/>
  <c r="AG99" i="11"/>
  <c r="E98" i="11"/>
  <c r="F98" i="11"/>
  <c r="G98" i="11"/>
  <c r="H98" i="11" s="1"/>
  <c r="L98" i="11"/>
  <c r="M98" i="11"/>
  <c r="N98" i="11"/>
  <c r="O98" i="11" s="1"/>
  <c r="S98" i="11"/>
  <c r="T98" i="11"/>
  <c r="U98" i="11"/>
  <c r="V98" i="11" s="1"/>
  <c r="Z98" i="11"/>
  <c r="AA98" i="11"/>
  <c r="AB98" i="11"/>
  <c r="AC98" i="11" s="1"/>
  <c r="AE98" i="11"/>
  <c r="AF98" i="11"/>
  <c r="AH98" i="11" s="1"/>
  <c r="E97" i="11"/>
  <c r="F97" i="11"/>
  <c r="G97" i="11"/>
  <c r="H97" i="11" s="1"/>
  <c r="L97" i="11"/>
  <c r="M97" i="11"/>
  <c r="N97" i="11"/>
  <c r="O97" i="11" s="1"/>
  <c r="S97" i="11"/>
  <c r="T97" i="11"/>
  <c r="U97" i="11"/>
  <c r="V97" i="11" s="1"/>
  <c r="Z97" i="11"/>
  <c r="AA97" i="11"/>
  <c r="AB97" i="11"/>
  <c r="AC97" i="11" s="1"/>
  <c r="AE97" i="11"/>
  <c r="AG97" i="11" s="1"/>
  <c r="AF97" i="11"/>
  <c r="AH97" i="11" s="1"/>
  <c r="E96" i="11"/>
  <c r="F96" i="11"/>
  <c r="G96" i="11"/>
  <c r="H96" i="11" s="1"/>
  <c r="L96" i="11"/>
  <c r="M96" i="11"/>
  <c r="N96" i="11"/>
  <c r="O96" i="11" s="1"/>
  <c r="S96" i="11"/>
  <c r="T96" i="11"/>
  <c r="U96" i="11"/>
  <c r="V96" i="11" s="1"/>
  <c r="Z96" i="11"/>
  <c r="AA96" i="11"/>
  <c r="AB96" i="11"/>
  <c r="AC96" i="11" s="1"/>
  <c r="AE96" i="11"/>
  <c r="C241" i="13" s="1"/>
  <c r="D241" i="13" s="1"/>
  <c r="E241" i="13" s="1"/>
  <c r="G241" i="13" s="1"/>
  <c r="AF96" i="11"/>
  <c r="AH96" i="11" s="1"/>
  <c r="E95" i="11"/>
  <c r="F95" i="11"/>
  <c r="G95" i="11"/>
  <c r="H95" i="11" s="1"/>
  <c r="L95" i="11"/>
  <c r="M95" i="11"/>
  <c r="N95" i="11"/>
  <c r="O95" i="11" s="1"/>
  <c r="S95" i="11"/>
  <c r="T95" i="11"/>
  <c r="U95" i="11"/>
  <c r="V95" i="11" s="1"/>
  <c r="Z95" i="11"/>
  <c r="AA95" i="11"/>
  <c r="AB95" i="11"/>
  <c r="AC95" i="11" s="1"/>
  <c r="AE95" i="11"/>
  <c r="AF95" i="11"/>
  <c r="AG95" i="11"/>
  <c r="AH95" i="11"/>
  <c r="E94" i="11"/>
  <c r="F94" i="11"/>
  <c r="G94" i="11"/>
  <c r="H94" i="11" s="1"/>
  <c r="L94" i="11"/>
  <c r="M94" i="11"/>
  <c r="N94" i="11"/>
  <c r="O94" i="11" s="1"/>
  <c r="S94" i="11"/>
  <c r="T94" i="11"/>
  <c r="U94" i="11"/>
  <c r="V94" i="11" s="1"/>
  <c r="Z94" i="11"/>
  <c r="AA94" i="11"/>
  <c r="AB94" i="11"/>
  <c r="AC94" i="11" s="1"/>
  <c r="AE94" i="11"/>
  <c r="AF94" i="11"/>
  <c r="AH94" i="11"/>
  <c r="E93" i="11"/>
  <c r="F93" i="11"/>
  <c r="G93" i="11"/>
  <c r="H93" i="11" s="1"/>
  <c r="L93" i="11"/>
  <c r="M93" i="11"/>
  <c r="N93" i="11"/>
  <c r="O93" i="11" s="1"/>
  <c r="S93" i="11"/>
  <c r="T93" i="11"/>
  <c r="U93" i="11"/>
  <c r="V93" i="11" s="1"/>
  <c r="Z93" i="11"/>
  <c r="AA93" i="11"/>
  <c r="AB93" i="11"/>
  <c r="AC93" i="11" s="1"/>
  <c r="AE93" i="11"/>
  <c r="AF93" i="11"/>
  <c r="AH93" i="11" s="1"/>
  <c r="E92" i="11"/>
  <c r="F92" i="11"/>
  <c r="G92" i="11"/>
  <c r="H92" i="11" s="1"/>
  <c r="L92" i="11"/>
  <c r="M92" i="11"/>
  <c r="N92" i="11"/>
  <c r="O92" i="11"/>
  <c r="S92" i="11"/>
  <c r="T92" i="11"/>
  <c r="U92" i="11"/>
  <c r="V92" i="11"/>
  <c r="Z92" i="11"/>
  <c r="AA92" i="11"/>
  <c r="AB92" i="11"/>
  <c r="AC92" i="11"/>
  <c r="AE92" i="11"/>
  <c r="C276" i="13" s="1"/>
  <c r="D276" i="13" s="1"/>
  <c r="E276" i="13" s="1"/>
  <c r="G276" i="13" s="1"/>
  <c r="AF92" i="11"/>
  <c r="AH92" i="11" s="1"/>
  <c r="E91" i="11"/>
  <c r="F91" i="11"/>
  <c r="G91" i="11"/>
  <c r="H91" i="11" s="1"/>
  <c r="L91" i="11"/>
  <c r="M91" i="11"/>
  <c r="N91" i="11"/>
  <c r="O91" i="11" s="1"/>
  <c r="S91" i="11"/>
  <c r="T91" i="11"/>
  <c r="U91" i="11"/>
  <c r="V91" i="11" s="1"/>
  <c r="Z91" i="11"/>
  <c r="AA91" i="11"/>
  <c r="AB91" i="11"/>
  <c r="AC91" i="11" s="1"/>
  <c r="AE91" i="11"/>
  <c r="AF91" i="11"/>
  <c r="AH91" i="11" s="1"/>
  <c r="E90" i="11"/>
  <c r="F90" i="11"/>
  <c r="G90" i="11"/>
  <c r="H90" i="11" s="1"/>
  <c r="L90" i="11"/>
  <c r="M90" i="11"/>
  <c r="N90" i="11"/>
  <c r="O90" i="11" s="1"/>
  <c r="S90" i="11"/>
  <c r="T90" i="11"/>
  <c r="U90" i="11"/>
  <c r="V90" i="11" s="1"/>
  <c r="Z90" i="11"/>
  <c r="AA90" i="11"/>
  <c r="AB90" i="11"/>
  <c r="AC90" i="11" s="1"/>
  <c r="AE90" i="11"/>
  <c r="AG90" i="11" s="1"/>
  <c r="AF90" i="11"/>
  <c r="AH90" i="11" s="1"/>
  <c r="E89" i="11"/>
  <c r="F89" i="11"/>
  <c r="G89" i="11"/>
  <c r="H89" i="11" s="1"/>
  <c r="L89" i="11"/>
  <c r="M89" i="11"/>
  <c r="N89" i="11"/>
  <c r="O89" i="11" s="1"/>
  <c r="S89" i="11"/>
  <c r="T89" i="11"/>
  <c r="U89" i="11"/>
  <c r="V89" i="11" s="1"/>
  <c r="Z89" i="11"/>
  <c r="AA89" i="11"/>
  <c r="AB89" i="11"/>
  <c r="AC89" i="11" s="1"/>
  <c r="AE89" i="11"/>
  <c r="AG89" i="11" s="1"/>
  <c r="AF89" i="11"/>
  <c r="AH89" i="11" s="1"/>
  <c r="E88" i="11"/>
  <c r="F88" i="11"/>
  <c r="G88" i="11"/>
  <c r="H88" i="11" s="1"/>
  <c r="L88" i="11"/>
  <c r="M88" i="11"/>
  <c r="N88" i="11"/>
  <c r="O88" i="11" s="1"/>
  <c r="S88" i="11"/>
  <c r="T88" i="11"/>
  <c r="U88" i="11"/>
  <c r="V88" i="11" s="1"/>
  <c r="Z88" i="11"/>
  <c r="AA88" i="11"/>
  <c r="AB88" i="11"/>
  <c r="AC88" i="11" s="1"/>
  <c r="AE88" i="11"/>
  <c r="AG88" i="11" s="1"/>
  <c r="AF88" i="11"/>
  <c r="AH88" i="11" s="1"/>
  <c r="E87" i="11"/>
  <c r="F87" i="11"/>
  <c r="G87" i="11"/>
  <c r="H87" i="11" s="1"/>
  <c r="L87" i="11"/>
  <c r="M87" i="11"/>
  <c r="N87" i="11"/>
  <c r="O87" i="11" s="1"/>
  <c r="S87" i="11"/>
  <c r="T87" i="11"/>
  <c r="U87" i="11"/>
  <c r="V87" i="11" s="1"/>
  <c r="Z87" i="11"/>
  <c r="AA87" i="11"/>
  <c r="AB87" i="11"/>
  <c r="AC87" i="11" s="1"/>
  <c r="AE87" i="11"/>
  <c r="AG87" i="11" s="1"/>
  <c r="AF87" i="11"/>
  <c r="AH87" i="11" s="1"/>
  <c r="E86" i="11"/>
  <c r="F86" i="11"/>
  <c r="G86" i="11"/>
  <c r="H86" i="11" s="1"/>
  <c r="L86" i="11"/>
  <c r="M86" i="11"/>
  <c r="N86" i="11"/>
  <c r="O86" i="11" s="1"/>
  <c r="S86" i="11"/>
  <c r="T86" i="11"/>
  <c r="U86" i="11"/>
  <c r="V86" i="11" s="1"/>
  <c r="Z86" i="11"/>
  <c r="AA86" i="11"/>
  <c r="AB86" i="11"/>
  <c r="AC86" i="11" s="1"/>
  <c r="AE86" i="11"/>
  <c r="AG86" i="11" s="1"/>
  <c r="AF86" i="11"/>
  <c r="AH86" i="11" s="1"/>
  <c r="E85" i="11"/>
  <c r="F85" i="11"/>
  <c r="G85" i="11"/>
  <c r="H85" i="11" s="1"/>
  <c r="L85" i="11"/>
  <c r="M85" i="11"/>
  <c r="N85" i="11"/>
  <c r="O85" i="11" s="1"/>
  <c r="S85" i="11"/>
  <c r="T85" i="11"/>
  <c r="U85" i="11"/>
  <c r="V85" i="11" s="1"/>
  <c r="Z85" i="11"/>
  <c r="AA85" i="11"/>
  <c r="AB85" i="11"/>
  <c r="AC85" i="11" s="1"/>
  <c r="AE85" i="11"/>
  <c r="AG85" i="11" s="1"/>
  <c r="AF85" i="11"/>
  <c r="AH85" i="11" s="1"/>
  <c r="E84" i="11"/>
  <c r="F84" i="11"/>
  <c r="G84" i="11"/>
  <c r="H84" i="11" s="1"/>
  <c r="L84" i="11"/>
  <c r="M84" i="11"/>
  <c r="N84" i="11"/>
  <c r="O84" i="11" s="1"/>
  <c r="S84" i="11"/>
  <c r="T84" i="11"/>
  <c r="U84" i="11"/>
  <c r="V84" i="11" s="1"/>
  <c r="Z84" i="11"/>
  <c r="AA84" i="11"/>
  <c r="AB84" i="11"/>
  <c r="AC84" i="11" s="1"/>
  <c r="AE84" i="11"/>
  <c r="AI84" i="11" s="1"/>
  <c r="AF84" i="11"/>
  <c r="AJ84" i="11" s="1"/>
  <c r="E83" i="11"/>
  <c r="F83" i="11"/>
  <c r="G83" i="11"/>
  <c r="H83" i="11" s="1"/>
  <c r="L83" i="11"/>
  <c r="M83" i="11"/>
  <c r="N83" i="11"/>
  <c r="O83" i="11" s="1"/>
  <c r="S83" i="11"/>
  <c r="T83" i="11"/>
  <c r="U83" i="11"/>
  <c r="V83" i="11" s="1"/>
  <c r="Z83" i="11"/>
  <c r="AA83" i="11"/>
  <c r="AB83" i="11"/>
  <c r="AC83" i="11" s="1"/>
  <c r="AE83" i="11"/>
  <c r="AG83" i="11" s="1"/>
  <c r="AF83" i="11"/>
  <c r="AH83" i="11" s="1"/>
  <c r="E82" i="11"/>
  <c r="F82" i="11"/>
  <c r="G82" i="11"/>
  <c r="H82" i="11" s="1"/>
  <c r="L82" i="11"/>
  <c r="M82" i="11"/>
  <c r="N82" i="11"/>
  <c r="O82" i="11" s="1"/>
  <c r="S82" i="11"/>
  <c r="T82" i="11"/>
  <c r="U82" i="11"/>
  <c r="V82" i="11"/>
  <c r="Z82" i="11"/>
  <c r="AA82" i="11"/>
  <c r="AB82" i="11"/>
  <c r="AC82" i="11"/>
  <c r="AE82" i="11"/>
  <c r="AG82" i="11" s="1"/>
  <c r="AF82" i="11"/>
  <c r="AH82" i="11" s="1"/>
  <c r="E81" i="11"/>
  <c r="F81" i="11"/>
  <c r="G81" i="11"/>
  <c r="H81" i="11" s="1"/>
  <c r="L81" i="11"/>
  <c r="M81" i="11"/>
  <c r="N81" i="11"/>
  <c r="O81" i="11" s="1"/>
  <c r="S81" i="11"/>
  <c r="T81" i="11"/>
  <c r="U81" i="11"/>
  <c r="V81" i="11" s="1"/>
  <c r="Z81" i="11"/>
  <c r="AA81" i="11"/>
  <c r="AB81" i="11"/>
  <c r="AC81" i="11" s="1"/>
  <c r="AE81" i="11"/>
  <c r="AG81" i="11" s="1"/>
  <c r="AF81" i="11"/>
  <c r="AH81" i="11" s="1"/>
  <c r="E80" i="11"/>
  <c r="F80" i="11"/>
  <c r="G80" i="11"/>
  <c r="H80" i="11" s="1"/>
  <c r="L80" i="11"/>
  <c r="M80" i="11"/>
  <c r="N80" i="11"/>
  <c r="O80" i="11" s="1"/>
  <c r="S80" i="11"/>
  <c r="T80" i="11"/>
  <c r="U80" i="11"/>
  <c r="V80" i="11" s="1"/>
  <c r="Z80" i="11"/>
  <c r="AA80" i="11"/>
  <c r="AB80" i="11"/>
  <c r="AC80" i="11" s="1"/>
  <c r="AE80" i="11"/>
  <c r="AF80" i="11"/>
  <c r="AH80" i="11" s="1"/>
  <c r="AG80" i="11"/>
  <c r="E79" i="11"/>
  <c r="F79" i="11"/>
  <c r="G79" i="11"/>
  <c r="H79" i="11" s="1"/>
  <c r="L79" i="11"/>
  <c r="M79" i="11"/>
  <c r="N79" i="11"/>
  <c r="O79" i="11" s="1"/>
  <c r="S79" i="11"/>
  <c r="T79" i="11"/>
  <c r="U79" i="11"/>
  <c r="V79" i="11" s="1"/>
  <c r="Z79" i="11"/>
  <c r="AA79" i="11"/>
  <c r="AB79" i="11"/>
  <c r="AC79" i="11" s="1"/>
  <c r="AE79" i="11"/>
  <c r="AG79" i="11" s="1"/>
  <c r="AF79" i="11"/>
  <c r="AH79" i="11" s="1"/>
  <c r="E78" i="11"/>
  <c r="F78" i="11"/>
  <c r="G78" i="11"/>
  <c r="H78" i="11" s="1"/>
  <c r="L78" i="11"/>
  <c r="M78" i="11"/>
  <c r="N78" i="11"/>
  <c r="O78" i="11" s="1"/>
  <c r="S78" i="11"/>
  <c r="T78" i="11"/>
  <c r="U78" i="11"/>
  <c r="V78" i="11"/>
  <c r="Z78" i="11"/>
  <c r="AA78" i="11"/>
  <c r="AB78" i="11"/>
  <c r="AC78" i="11"/>
  <c r="AE78" i="11"/>
  <c r="AG78" i="11" s="1"/>
  <c r="AF78" i="11"/>
  <c r="AH78" i="11" s="1"/>
  <c r="E77" i="11"/>
  <c r="F77" i="11"/>
  <c r="G77" i="11"/>
  <c r="H77" i="11" s="1"/>
  <c r="L77" i="11"/>
  <c r="M77" i="11"/>
  <c r="N77" i="11"/>
  <c r="O77" i="11" s="1"/>
  <c r="S77" i="11"/>
  <c r="T77" i="11"/>
  <c r="U77" i="11"/>
  <c r="V77" i="11"/>
  <c r="Z77" i="11"/>
  <c r="AA77" i="11"/>
  <c r="AB77" i="11"/>
  <c r="AC77" i="11"/>
  <c r="AE77" i="11"/>
  <c r="AG77" i="11" s="1"/>
  <c r="AF77" i="11"/>
  <c r="AH77" i="11" s="1"/>
  <c r="E76" i="11"/>
  <c r="F76" i="11"/>
  <c r="G76" i="11"/>
  <c r="H76" i="11" s="1"/>
  <c r="L76" i="11"/>
  <c r="M76" i="11"/>
  <c r="N76" i="11"/>
  <c r="O76" i="11" s="1"/>
  <c r="S76" i="11"/>
  <c r="T76" i="11"/>
  <c r="U76" i="11"/>
  <c r="V76" i="11"/>
  <c r="Z76" i="11"/>
  <c r="AA76" i="11"/>
  <c r="AB76" i="11"/>
  <c r="AC76" i="11" s="1"/>
  <c r="AE76" i="11"/>
  <c r="AG76" i="11" s="1"/>
  <c r="AF76" i="11"/>
  <c r="AH76" i="11" s="1"/>
  <c r="E75" i="11"/>
  <c r="F75" i="11"/>
  <c r="G75" i="11"/>
  <c r="H75" i="11" s="1"/>
  <c r="L75" i="11"/>
  <c r="M75" i="11"/>
  <c r="N75" i="11"/>
  <c r="O75" i="11" s="1"/>
  <c r="S75" i="11"/>
  <c r="T75" i="11"/>
  <c r="U75" i="11"/>
  <c r="V75" i="11" s="1"/>
  <c r="Z75" i="11"/>
  <c r="AA75" i="11"/>
  <c r="AB75" i="11"/>
  <c r="AC75" i="11" s="1"/>
  <c r="AE75" i="11"/>
  <c r="AG75" i="11" s="1"/>
  <c r="AF75" i="11"/>
  <c r="AH75" i="11" s="1"/>
  <c r="E74" i="11"/>
  <c r="F74" i="11"/>
  <c r="G74" i="11"/>
  <c r="H74" i="11" s="1"/>
  <c r="L74" i="11"/>
  <c r="M74" i="11"/>
  <c r="N74" i="11"/>
  <c r="O74" i="11" s="1"/>
  <c r="S74" i="11"/>
  <c r="T74" i="11"/>
  <c r="U74" i="11"/>
  <c r="V74" i="11" s="1"/>
  <c r="Z74" i="11"/>
  <c r="AA74" i="11"/>
  <c r="AB74" i="11"/>
  <c r="AC74" i="11" s="1"/>
  <c r="AE74" i="11"/>
  <c r="AG74" i="11" s="1"/>
  <c r="AF74" i="11"/>
  <c r="AH74" i="11" s="1"/>
  <c r="E73" i="11"/>
  <c r="F73" i="11"/>
  <c r="G73" i="11"/>
  <c r="H73" i="11" s="1"/>
  <c r="L73" i="11"/>
  <c r="M73" i="11"/>
  <c r="N73" i="11"/>
  <c r="O73" i="11" s="1"/>
  <c r="S73" i="11"/>
  <c r="T73" i="11"/>
  <c r="U73" i="11"/>
  <c r="V73" i="11" s="1"/>
  <c r="Z73" i="11"/>
  <c r="AA73" i="11"/>
  <c r="AB73" i="11"/>
  <c r="AC73" i="11" s="1"/>
  <c r="AE73" i="11"/>
  <c r="AG73" i="11" s="1"/>
  <c r="AF73" i="11"/>
  <c r="AH73" i="11" s="1"/>
  <c r="E72" i="11"/>
  <c r="F72" i="11"/>
  <c r="G72" i="11"/>
  <c r="H72" i="11"/>
  <c r="L72" i="11"/>
  <c r="M72" i="11"/>
  <c r="N72" i="11"/>
  <c r="O72" i="11"/>
  <c r="S72" i="11"/>
  <c r="T72" i="11"/>
  <c r="U72" i="11"/>
  <c r="V72" i="11"/>
  <c r="Z72" i="11"/>
  <c r="AA72" i="11"/>
  <c r="AB72" i="11"/>
  <c r="AC72" i="11"/>
  <c r="AE72" i="11"/>
  <c r="AG72" i="11" s="1"/>
  <c r="AF72" i="11"/>
  <c r="AH72" i="11" s="1"/>
  <c r="E71" i="11"/>
  <c r="F71" i="11"/>
  <c r="G71" i="11"/>
  <c r="H71" i="11"/>
  <c r="L71" i="11"/>
  <c r="M71" i="11"/>
  <c r="N71" i="11"/>
  <c r="O71" i="11"/>
  <c r="S71" i="11"/>
  <c r="T71" i="11"/>
  <c r="U71" i="11"/>
  <c r="V71" i="11"/>
  <c r="Z71" i="11"/>
  <c r="AA71" i="11"/>
  <c r="AB71" i="11"/>
  <c r="AC71" i="11"/>
  <c r="AE71" i="11"/>
  <c r="AG71" i="11" s="1"/>
  <c r="AF71" i="11"/>
  <c r="AH71" i="11" s="1"/>
  <c r="C67" i="11"/>
  <c r="D67" i="11"/>
  <c r="J67" i="11"/>
  <c r="K67" i="11"/>
  <c r="Q67" i="11"/>
  <c r="R67" i="11"/>
  <c r="X67" i="11"/>
  <c r="Y67" i="11"/>
  <c r="AF67" i="11"/>
  <c r="AG67" i="11"/>
  <c r="AH67" i="11"/>
  <c r="AJ67" i="11"/>
  <c r="E65" i="11"/>
  <c r="F65" i="11"/>
  <c r="G65" i="11"/>
  <c r="H65" i="11"/>
  <c r="L65" i="11"/>
  <c r="M65" i="11"/>
  <c r="N65" i="11"/>
  <c r="O65" i="11" s="1"/>
  <c r="S65" i="11"/>
  <c r="T65" i="11"/>
  <c r="U65" i="11"/>
  <c r="V65" i="11" s="1"/>
  <c r="Z65" i="11"/>
  <c r="AA65" i="11"/>
  <c r="AB65" i="11"/>
  <c r="AC65" i="11" s="1"/>
  <c r="AE65" i="11"/>
  <c r="AF65" i="11"/>
  <c r="AJ65" i="11" s="1"/>
  <c r="C63" i="11"/>
  <c r="C101" i="15" s="1"/>
  <c r="D63" i="11"/>
  <c r="J63" i="11"/>
  <c r="C102" i="15" s="1"/>
  <c r="K63" i="11"/>
  <c r="Q63" i="11"/>
  <c r="C104" i="15" s="1"/>
  <c r="R63" i="11"/>
  <c r="X63" i="11"/>
  <c r="C103" i="15" s="1"/>
  <c r="Y63" i="11"/>
  <c r="AG63" i="11"/>
  <c r="AH63" i="11"/>
  <c r="E61" i="11"/>
  <c r="F61" i="11"/>
  <c r="G61" i="11"/>
  <c r="H61" i="11" s="1"/>
  <c r="L61" i="11"/>
  <c r="M61" i="11"/>
  <c r="N61" i="11"/>
  <c r="O61" i="11" s="1"/>
  <c r="S61" i="11"/>
  <c r="T61" i="11"/>
  <c r="U61" i="11"/>
  <c r="V61" i="11"/>
  <c r="Z61" i="11"/>
  <c r="AA61" i="11"/>
  <c r="AB61" i="11"/>
  <c r="AC61" i="11"/>
  <c r="AE61" i="11"/>
  <c r="AI61" i="11" s="1"/>
  <c r="AI63" i="11" s="1"/>
  <c r="AF61" i="11"/>
  <c r="C57" i="11"/>
  <c r="D57" i="11"/>
  <c r="J57" i="11"/>
  <c r="K57" i="11"/>
  <c r="Q57" i="11"/>
  <c r="R57" i="11"/>
  <c r="X57" i="11"/>
  <c r="Y57" i="11"/>
  <c r="AI57" i="11"/>
  <c r="AJ57" i="11"/>
  <c r="E55" i="11"/>
  <c r="F55" i="11"/>
  <c r="G55" i="11"/>
  <c r="H55" i="11" s="1"/>
  <c r="L55" i="11"/>
  <c r="M55" i="11"/>
  <c r="N55" i="11"/>
  <c r="O55" i="11" s="1"/>
  <c r="S55" i="11"/>
  <c r="T55" i="11"/>
  <c r="U55" i="11"/>
  <c r="V55" i="11" s="1"/>
  <c r="Z55" i="11"/>
  <c r="AA55" i="11"/>
  <c r="AB55" i="11"/>
  <c r="AC55" i="11" s="1"/>
  <c r="AE55" i="11"/>
  <c r="AG55" i="11" s="1"/>
  <c r="AF55" i="11"/>
  <c r="AH55" i="11" s="1"/>
  <c r="E54" i="11"/>
  <c r="F54" i="11"/>
  <c r="G54" i="11"/>
  <c r="H54" i="11" s="1"/>
  <c r="L54" i="11"/>
  <c r="M54" i="11"/>
  <c r="N54" i="11"/>
  <c r="O54" i="11" s="1"/>
  <c r="S54" i="11"/>
  <c r="T54" i="11"/>
  <c r="U54" i="11"/>
  <c r="V54" i="11" s="1"/>
  <c r="Z54" i="11"/>
  <c r="AA54" i="11"/>
  <c r="AB54" i="11"/>
  <c r="AC54" i="11" s="1"/>
  <c r="AE54" i="11"/>
  <c r="AF54" i="11"/>
  <c r="AH54" i="11" s="1"/>
  <c r="AG54" i="11"/>
  <c r="E53" i="11"/>
  <c r="F53" i="11"/>
  <c r="G53" i="11"/>
  <c r="H53" i="11" s="1"/>
  <c r="L53" i="11"/>
  <c r="M53" i="11"/>
  <c r="N53" i="11"/>
  <c r="O53" i="11" s="1"/>
  <c r="S53" i="11"/>
  <c r="T53" i="11"/>
  <c r="U53" i="11"/>
  <c r="V53" i="11" s="1"/>
  <c r="Z53" i="11"/>
  <c r="AA53" i="11"/>
  <c r="AB53" i="11"/>
  <c r="AC53" i="11" s="1"/>
  <c r="AE53" i="11"/>
  <c r="AE57" i="11" s="1"/>
  <c r="AF53" i="11"/>
  <c r="AH53" i="11" s="1"/>
  <c r="AG53" i="11"/>
  <c r="AG57" i="11" s="1"/>
  <c r="K49" i="11"/>
  <c r="E47" i="11"/>
  <c r="F47" i="11"/>
  <c r="G47" i="11"/>
  <c r="H47" i="11" s="1"/>
  <c r="L47" i="11"/>
  <c r="M47" i="11"/>
  <c r="N47" i="11"/>
  <c r="O47" i="11" s="1"/>
  <c r="S47" i="11"/>
  <c r="T47" i="11"/>
  <c r="U47" i="11"/>
  <c r="V47" i="11"/>
  <c r="Z47" i="11"/>
  <c r="AA47" i="11"/>
  <c r="AB47" i="11"/>
  <c r="AC47" i="11"/>
  <c r="AE47" i="11"/>
  <c r="AG47" i="11" s="1"/>
  <c r="AF47" i="11"/>
  <c r="C46" i="11"/>
  <c r="C49" i="11" s="1"/>
  <c r="D46" i="11"/>
  <c r="D49" i="11" s="1"/>
  <c r="J46" i="11"/>
  <c r="J49" i="11" s="1"/>
  <c r="K46" i="11"/>
  <c r="Q46" i="11"/>
  <c r="Q49" i="11" s="1"/>
  <c r="R46" i="11"/>
  <c r="R49" i="11" s="1"/>
  <c r="X46" i="11"/>
  <c r="X49" i="11" s="1"/>
  <c r="Y46" i="11"/>
  <c r="Y49" i="11" s="1"/>
  <c r="AI46" i="11"/>
  <c r="AI49" i="11" s="1"/>
  <c r="AJ46" i="11"/>
  <c r="AJ49" i="11" s="1"/>
  <c r="E45" i="11"/>
  <c r="F45" i="11"/>
  <c r="G45" i="11"/>
  <c r="H45" i="11"/>
  <c r="L45" i="11"/>
  <c r="M45" i="11"/>
  <c r="N45" i="11"/>
  <c r="O45" i="11" s="1"/>
  <c r="S45" i="11"/>
  <c r="T45" i="11"/>
  <c r="U45" i="11"/>
  <c r="V45" i="11" s="1"/>
  <c r="Z45" i="11"/>
  <c r="AA45" i="11"/>
  <c r="AB45" i="11"/>
  <c r="AC45" i="11" s="1"/>
  <c r="AE45" i="11"/>
  <c r="AG45" i="11" s="1"/>
  <c r="AF45" i="11"/>
  <c r="AH45" i="11" s="1"/>
  <c r="E44" i="11"/>
  <c r="F44" i="11"/>
  <c r="G44" i="11"/>
  <c r="H44" i="11"/>
  <c r="L44" i="11"/>
  <c r="M44" i="11"/>
  <c r="N44" i="11"/>
  <c r="O44" i="11"/>
  <c r="S44" i="11"/>
  <c r="T44" i="11"/>
  <c r="U44" i="11"/>
  <c r="V44" i="11"/>
  <c r="Z44" i="11"/>
  <c r="AA44" i="11"/>
  <c r="AB44" i="11"/>
  <c r="AC44" i="11"/>
  <c r="AE44" i="11"/>
  <c r="AG44" i="11" s="1"/>
  <c r="AF44" i="11"/>
  <c r="AH44" i="11" s="1"/>
  <c r="E43" i="11"/>
  <c r="F43" i="11"/>
  <c r="G43" i="11"/>
  <c r="H43" i="11" s="1"/>
  <c r="L43" i="11"/>
  <c r="M43" i="11"/>
  <c r="N43" i="11"/>
  <c r="O43" i="11" s="1"/>
  <c r="S43" i="11"/>
  <c r="T43" i="11"/>
  <c r="U43" i="11"/>
  <c r="V43" i="11"/>
  <c r="Z43" i="11"/>
  <c r="AA43" i="11"/>
  <c r="AB43" i="11"/>
  <c r="AC43" i="11" s="1"/>
  <c r="AE43" i="11"/>
  <c r="AF43" i="11"/>
  <c r="AH43" i="11" s="1"/>
  <c r="C39" i="11"/>
  <c r="D39" i="11"/>
  <c r="J39" i="11"/>
  <c r="K39" i="11"/>
  <c r="Q39" i="11"/>
  <c r="R39" i="11"/>
  <c r="X39" i="11"/>
  <c r="Y39" i="11"/>
  <c r="AI39" i="11"/>
  <c r="AJ39" i="11"/>
  <c r="E36" i="11"/>
  <c r="F36" i="11"/>
  <c r="G36" i="11"/>
  <c r="H36" i="11" s="1"/>
  <c r="L36" i="11"/>
  <c r="M36" i="11"/>
  <c r="N36" i="11"/>
  <c r="O36" i="11" s="1"/>
  <c r="S36" i="11"/>
  <c r="T36" i="11"/>
  <c r="U36" i="11"/>
  <c r="V36" i="11" s="1"/>
  <c r="Z36" i="11"/>
  <c r="AA36" i="11"/>
  <c r="AB36" i="11"/>
  <c r="AC36" i="11" s="1"/>
  <c r="AE36" i="11"/>
  <c r="AG36" i="11" s="1"/>
  <c r="AF36" i="11"/>
  <c r="AH36" i="11" s="1"/>
  <c r="E35" i="11"/>
  <c r="F35" i="11"/>
  <c r="G35" i="11"/>
  <c r="H35" i="11" s="1"/>
  <c r="L35" i="11"/>
  <c r="M35" i="11"/>
  <c r="N35" i="11"/>
  <c r="O35" i="11" s="1"/>
  <c r="S35" i="11"/>
  <c r="T35" i="11"/>
  <c r="U35" i="11"/>
  <c r="V35" i="11" s="1"/>
  <c r="Z35" i="11"/>
  <c r="AA35" i="11"/>
  <c r="AB35" i="11"/>
  <c r="AC35" i="11" s="1"/>
  <c r="AE35" i="11"/>
  <c r="AG35" i="11" s="1"/>
  <c r="AF35" i="11"/>
  <c r="AH35" i="11" s="1"/>
  <c r="E34" i="11"/>
  <c r="F34" i="11"/>
  <c r="G34" i="11"/>
  <c r="H34" i="11"/>
  <c r="L34" i="11"/>
  <c r="M34" i="11"/>
  <c r="N34" i="11"/>
  <c r="O34" i="11" s="1"/>
  <c r="S34" i="11"/>
  <c r="T34" i="11"/>
  <c r="U34" i="11"/>
  <c r="V34" i="11" s="1"/>
  <c r="Z34" i="11"/>
  <c r="AA34" i="11"/>
  <c r="AB34" i="11"/>
  <c r="AC34" i="11" s="1"/>
  <c r="AE34" i="11"/>
  <c r="AF34" i="11"/>
  <c r="AH34" i="11" s="1"/>
  <c r="E33" i="11"/>
  <c r="F33" i="11"/>
  <c r="G33" i="11"/>
  <c r="H33" i="11" s="1"/>
  <c r="L33" i="11"/>
  <c r="M33" i="11"/>
  <c r="N33" i="11"/>
  <c r="O33" i="11" s="1"/>
  <c r="S33" i="11"/>
  <c r="T33" i="11"/>
  <c r="U33" i="11"/>
  <c r="V33" i="11" s="1"/>
  <c r="Z33" i="11"/>
  <c r="AA33" i="11"/>
  <c r="AB33" i="11"/>
  <c r="AC33" i="11" s="1"/>
  <c r="AE33" i="11"/>
  <c r="AF33" i="11"/>
  <c r="AH33" i="11" s="1"/>
  <c r="C29" i="11"/>
  <c r="D29" i="11"/>
  <c r="J29" i="11"/>
  <c r="K29" i="11"/>
  <c r="Q29" i="11"/>
  <c r="R29" i="11"/>
  <c r="X29" i="11"/>
  <c r="Y29" i="11"/>
  <c r="AI29" i="11"/>
  <c r="C86" i="15" s="1"/>
  <c r="AJ29" i="11"/>
  <c r="E26" i="11"/>
  <c r="F26" i="11"/>
  <c r="G26" i="11"/>
  <c r="H26" i="11" s="1"/>
  <c r="L26" i="11"/>
  <c r="M26" i="11"/>
  <c r="N26" i="11"/>
  <c r="O26" i="11"/>
  <c r="S26" i="11"/>
  <c r="T26" i="11"/>
  <c r="U26" i="11"/>
  <c r="V26" i="11" s="1"/>
  <c r="Z26" i="11"/>
  <c r="AA26" i="11"/>
  <c r="AB26" i="11"/>
  <c r="AC26" i="11" s="1"/>
  <c r="AE26" i="11"/>
  <c r="AG26" i="11" s="1"/>
  <c r="AF26" i="11"/>
  <c r="AH26" i="11" s="1"/>
  <c r="E25" i="11"/>
  <c r="F25" i="11"/>
  <c r="G25" i="11"/>
  <c r="H25" i="11" s="1"/>
  <c r="L25" i="11"/>
  <c r="M25" i="11"/>
  <c r="N25" i="11"/>
  <c r="O25" i="11"/>
  <c r="S25" i="11"/>
  <c r="T25" i="11"/>
  <c r="U25" i="11"/>
  <c r="V25" i="11" s="1"/>
  <c r="Z25" i="11"/>
  <c r="AA25" i="11"/>
  <c r="AB25" i="11"/>
  <c r="AC25" i="11" s="1"/>
  <c r="AE25" i="11"/>
  <c r="AG25" i="11" s="1"/>
  <c r="AF25" i="11"/>
  <c r="AH25" i="11" s="1"/>
  <c r="E24" i="11"/>
  <c r="F24" i="11"/>
  <c r="G24" i="11"/>
  <c r="H24" i="11" s="1"/>
  <c r="L24" i="11"/>
  <c r="M24" i="11"/>
  <c r="N24" i="11"/>
  <c r="O24" i="11"/>
  <c r="S24" i="11"/>
  <c r="T24" i="11"/>
  <c r="U24" i="11"/>
  <c r="V24" i="11" s="1"/>
  <c r="Z24" i="11"/>
  <c r="AA24" i="11"/>
  <c r="AB24" i="11"/>
  <c r="AC24" i="11" s="1"/>
  <c r="AE24" i="11"/>
  <c r="AG24" i="11" s="1"/>
  <c r="AF24" i="11"/>
  <c r="AH24" i="11" s="1"/>
  <c r="E23" i="11"/>
  <c r="F23" i="11"/>
  <c r="G23" i="11"/>
  <c r="H23" i="11" s="1"/>
  <c r="L23" i="11"/>
  <c r="M23" i="11"/>
  <c r="N23" i="11"/>
  <c r="O23" i="11" s="1"/>
  <c r="S23" i="11"/>
  <c r="T23" i="11"/>
  <c r="U23" i="11"/>
  <c r="V23" i="11" s="1"/>
  <c r="Z23" i="11"/>
  <c r="AA23" i="11"/>
  <c r="AB23" i="11"/>
  <c r="AC23" i="11" s="1"/>
  <c r="AE23" i="11"/>
  <c r="AG23" i="11" s="1"/>
  <c r="AF23" i="11"/>
  <c r="C19" i="11"/>
  <c r="D19" i="11"/>
  <c r="J19" i="11"/>
  <c r="K19" i="11"/>
  <c r="Q19" i="11"/>
  <c r="R19" i="11"/>
  <c r="X19" i="11"/>
  <c r="Y19" i="11"/>
  <c r="E16" i="11"/>
  <c r="F16" i="11"/>
  <c r="G16" i="11"/>
  <c r="H16" i="11" s="1"/>
  <c r="L16" i="11"/>
  <c r="M16" i="11"/>
  <c r="N16" i="11"/>
  <c r="O16" i="11" s="1"/>
  <c r="S16" i="11"/>
  <c r="T16" i="11"/>
  <c r="U16" i="11"/>
  <c r="V16" i="11" s="1"/>
  <c r="Z16" i="11"/>
  <c r="AA16" i="11"/>
  <c r="AB16" i="11"/>
  <c r="AC16" i="11" s="1"/>
  <c r="AE16" i="11"/>
  <c r="AI16" i="11" s="1"/>
  <c r="AF16" i="11"/>
  <c r="AJ16" i="11" s="1"/>
  <c r="E15" i="11"/>
  <c r="F15" i="11"/>
  <c r="G15" i="11"/>
  <c r="H15" i="11" s="1"/>
  <c r="L15" i="11"/>
  <c r="M15" i="11"/>
  <c r="N15" i="11"/>
  <c r="O15" i="11" s="1"/>
  <c r="S15" i="11"/>
  <c r="T15" i="11"/>
  <c r="U15" i="11"/>
  <c r="V15" i="11" s="1"/>
  <c r="Z15" i="11"/>
  <c r="AA15" i="11"/>
  <c r="AB15" i="11"/>
  <c r="AC15" i="11" s="1"/>
  <c r="AE15" i="11"/>
  <c r="AF15" i="11"/>
  <c r="AJ15" i="11" s="1"/>
  <c r="AJ19" i="11" s="1"/>
  <c r="E14" i="11"/>
  <c r="F14" i="11"/>
  <c r="G14" i="11"/>
  <c r="H14" i="11" s="1"/>
  <c r="L14" i="11"/>
  <c r="M14" i="11"/>
  <c r="N14" i="11"/>
  <c r="O14" i="11" s="1"/>
  <c r="S14" i="11"/>
  <c r="T14" i="11"/>
  <c r="U14" i="11"/>
  <c r="V14" i="11" s="1"/>
  <c r="Z14" i="11"/>
  <c r="AA14" i="11"/>
  <c r="AB14" i="11"/>
  <c r="AC14" i="11" s="1"/>
  <c r="AE14" i="11"/>
  <c r="AG14" i="11" s="1"/>
  <c r="AF14" i="11"/>
  <c r="AH14" i="11" s="1"/>
  <c r="E13" i="11"/>
  <c r="F13" i="11"/>
  <c r="G13" i="11"/>
  <c r="H13" i="11" s="1"/>
  <c r="L13" i="11"/>
  <c r="M13" i="11"/>
  <c r="N13" i="11"/>
  <c r="O13" i="11" s="1"/>
  <c r="S13" i="11"/>
  <c r="T13" i="11"/>
  <c r="U13" i="11"/>
  <c r="V13" i="11" s="1"/>
  <c r="Z13" i="11"/>
  <c r="AA13" i="11"/>
  <c r="AB13" i="11"/>
  <c r="AC13" i="11" s="1"/>
  <c r="AE13" i="11"/>
  <c r="AG13" i="11" s="1"/>
  <c r="AF13" i="11"/>
  <c r="AH13" i="11" s="1"/>
  <c r="E12" i="11"/>
  <c r="F12" i="11"/>
  <c r="G12" i="11"/>
  <c r="H12" i="11" s="1"/>
  <c r="L12" i="11"/>
  <c r="M12" i="11"/>
  <c r="N12" i="11"/>
  <c r="O12" i="11" s="1"/>
  <c r="S12" i="11"/>
  <c r="T12" i="11"/>
  <c r="U12" i="11"/>
  <c r="V12" i="11" s="1"/>
  <c r="Z12" i="11"/>
  <c r="AA12" i="11"/>
  <c r="AB12" i="11"/>
  <c r="AC12" i="11" s="1"/>
  <c r="AE12" i="11"/>
  <c r="AG12" i="11" s="1"/>
  <c r="AF12" i="11"/>
  <c r="AH12" i="11" s="1"/>
  <c r="E11" i="11"/>
  <c r="F11" i="11"/>
  <c r="G11" i="11"/>
  <c r="H11" i="11" s="1"/>
  <c r="L11" i="11"/>
  <c r="M11" i="11"/>
  <c r="N11" i="11"/>
  <c r="O11" i="11" s="1"/>
  <c r="S11" i="11"/>
  <c r="T11" i="11"/>
  <c r="U11" i="11"/>
  <c r="V11" i="11" s="1"/>
  <c r="Z11" i="11"/>
  <c r="AA11" i="11"/>
  <c r="AB11" i="11"/>
  <c r="AC11" i="11" s="1"/>
  <c r="AE11" i="11"/>
  <c r="AG11" i="11" s="1"/>
  <c r="AF11" i="11"/>
  <c r="AH11" i="11" s="1"/>
  <c r="E10" i="11"/>
  <c r="F10" i="11"/>
  <c r="G10" i="11"/>
  <c r="H10" i="11" s="1"/>
  <c r="L10" i="11"/>
  <c r="M10" i="11"/>
  <c r="N10" i="11"/>
  <c r="O10" i="11" s="1"/>
  <c r="S10" i="11"/>
  <c r="T10" i="11"/>
  <c r="U10" i="11"/>
  <c r="V10" i="11" s="1"/>
  <c r="Z10" i="11"/>
  <c r="AA10" i="11"/>
  <c r="AB10" i="11"/>
  <c r="AC10" i="11" s="1"/>
  <c r="AE10" i="11"/>
  <c r="AG10" i="11" s="1"/>
  <c r="AF10" i="11"/>
  <c r="AH10" i="11" s="1"/>
  <c r="E9" i="11"/>
  <c r="F9" i="11"/>
  <c r="G9" i="11"/>
  <c r="H9" i="11" s="1"/>
  <c r="L9" i="11"/>
  <c r="M9" i="11"/>
  <c r="N9" i="11"/>
  <c r="O9" i="11" s="1"/>
  <c r="S9" i="11"/>
  <c r="T9" i="11"/>
  <c r="U9" i="11"/>
  <c r="V9" i="11" s="1"/>
  <c r="Z9" i="11"/>
  <c r="AA9" i="11"/>
  <c r="AB9" i="11"/>
  <c r="AC9" i="11" s="1"/>
  <c r="AE9" i="11"/>
  <c r="AG9" i="11" s="1"/>
  <c r="AF9" i="11"/>
  <c r="AH9" i="11" s="1"/>
  <c r="E8" i="11"/>
  <c r="F8" i="11"/>
  <c r="G8" i="11"/>
  <c r="H8" i="11" s="1"/>
  <c r="L8" i="11"/>
  <c r="M8" i="11"/>
  <c r="N8" i="11"/>
  <c r="O8" i="11" s="1"/>
  <c r="S8" i="11"/>
  <c r="T8" i="11"/>
  <c r="U8" i="11"/>
  <c r="V8" i="11" s="1"/>
  <c r="Z8" i="11"/>
  <c r="AA8" i="11"/>
  <c r="AB8" i="11"/>
  <c r="AC8" i="11" s="1"/>
  <c r="AE8" i="11"/>
  <c r="AG8" i="11" s="1"/>
  <c r="AF8" i="11"/>
  <c r="AH8" i="11" s="1"/>
  <c r="C41" i="9"/>
  <c r="C41" i="19" s="1"/>
  <c r="D41" i="9"/>
  <c r="J37" i="9"/>
  <c r="K37" i="9"/>
  <c r="L37" i="9"/>
  <c r="M37" i="9"/>
  <c r="C35" i="9"/>
  <c r="D35" i="9"/>
  <c r="F35" i="9" s="1"/>
  <c r="C34" i="9"/>
  <c r="D34" i="9"/>
  <c r="F34" i="9" s="1"/>
  <c r="C33" i="9"/>
  <c r="E33" i="9" s="1"/>
  <c r="D33" i="9"/>
  <c r="F33" i="9" s="1"/>
  <c r="C32" i="9"/>
  <c r="E32" i="9" s="1"/>
  <c r="D32" i="9"/>
  <c r="F32" i="9" s="1"/>
  <c r="C31" i="9"/>
  <c r="D31" i="9"/>
  <c r="F31" i="9" s="1"/>
  <c r="C30" i="9"/>
  <c r="C66" i="19" s="1"/>
  <c r="D30" i="9"/>
  <c r="F30" i="9" s="1"/>
  <c r="C29" i="9"/>
  <c r="D29" i="9"/>
  <c r="F29" i="9" s="1"/>
  <c r="C28" i="9"/>
  <c r="E28" i="9" s="1"/>
  <c r="D28" i="9"/>
  <c r="F28" i="9" s="1"/>
  <c r="C27" i="9"/>
  <c r="E27" i="9" s="1"/>
  <c r="D27" i="9"/>
  <c r="F27" i="9" s="1"/>
  <c r="C26" i="9"/>
  <c r="E26" i="9" s="1"/>
  <c r="D26" i="9"/>
  <c r="F26" i="9" s="1"/>
  <c r="C25" i="9"/>
  <c r="E25" i="9" s="1"/>
  <c r="D25" i="9"/>
  <c r="F25" i="9" s="1"/>
  <c r="C24" i="9"/>
  <c r="E24" i="9" s="1"/>
  <c r="D24" i="9"/>
  <c r="F24" i="9" s="1"/>
  <c r="C23" i="9"/>
  <c r="E23" i="9" s="1"/>
  <c r="D23" i="9"/>
  <c r="F23" i="9" s="1"/>
  <c r="C22" i="9"/>
  <c r="D22" i="9"/>
  <c r="F22" i="9" s="1"/>
  <c r="C21" i="9"/>
  <c r="D21" i="9"/>
  <c r="F21" i="9" s="1"/>
  <c r="C15" i="9"/>
  <c r="D15" i="9"/>
  <c r="F15" i="9" s="1"/>
  <c r="G15" i="9"/>
  <c r="H15" i="9" s="1"/>
  <c r="C14" i="9"/>
  <c r="E14" i="9" s="1"/>
  <c r="D14" i="9"/>
  <c r="F14" i="9" s="1"/>
  <c r="J12" i="9"/>
  <c r="K12" i="9"/>
  <c r="L12" i="9"/>
  <c r="M12" i="9"/>
  <c r="C11" i="9"/>
  <c r="E11" i="9" s="1"/>
  <c r="D11" i="9"/>
  <c r="F11" i="9" s="1"/>
  <c r="C10" i="9"/>
  <c r="E10" i="9" s="1"/>
  <c r="D10" i="9"/>
  <c r="J8" i="9"/>
  <c r="K8" i="9"/>
  <c r="L8" i="9"/>
  <c r="M8" i="9"/>
  <c r="M17" i="9" s="1"/>
  <c r="M39" i="9" s="1"/>
  <c r="M43" i="9" s="1"/>
  <c r="C7" i="9"/>
  <c r="E7" i="9" s="1"/>
  <c r="D7" i="9"/>
  <c r="F7" i="9"/>
  <c r="C6" i="9"/>
  <c r="E6" i="9" s="1"/>
  <c r="D6" i="9"/>
  <c r="AH57" i="11" l="1"/>
  <c r="E92" i="6"/>
  <c r="C12" i="9"/>
  <c r="AH39" i="11"/>
  <c r="AG29" i="11"/>
  <c r="AJ115" i="11"/>
  <c r="C36" i="12"/>
  <c r="C42" i="6" s="1"/>
  <c r="E42" i="6" s="1"/>
  <c r="C46" i="6"/>
  <c r="E46" i="6" s="1"/>
  <c r="E70" i="6"/>
  <c r="L31" i="7"/>
  <c r="R56" i="7"/>
  <c r="C238" i="5" s="1"/>
  <c r="I85" i="5"/>
  <c r="I182" i="5"/>
  <c r="D48" i="24"/>
  <c r="C67" i="10"/>
  <c r="P56" i="7"/>
  <c r="C236" i="5" s="1"/>
  <c r="E166" i="5"/>
  <c r="I185" i="5"/>
  <c r="H40" i="24"/>
  <c r="E204" i="13"/>
  <c r="C68" i="23"/>
  <c r="AF57" i="11"/>
  <c r="D52" i="12"/>
  <c r="D56" i="7"/>
  <c r="C224" i="5" s="1"/>
  <c r="I142" i="5"/>
  <c r="E170" i="5"/>
  <c r="F36" i="23"/>
  <c r="I24" i="27"/>
  <c r="H24" i="27"/>
  <c r="AG19" i="11"/>
  <c r="G32" i="9"/>
  <c r="H32" i="9" s="1"/>
  <c r="AF46" i="11"/>
  <c r="AF49" i="11" s="1"/>
  <c r="AE63" i="11"/>
  <c r="C52" i="12"/>
  <c r="D26" i="6"/>
  <c r="E36" i="6"/>
  <c r="D131" i="5"/>
  <c r="E167" i="5"/>
  <c r="E36" i="23"/>
  <c r="L17" i="9"/>
  <c r="L39" i="9" s="1"/>
  <c r="L43" i="9" s="1"/>
  <c r="J17" i="9"/>
  <c r="J39" i="9" s="1"/>
  <c r="J43" i="9" s="1"/>
  <c r="K17" i="9"/>
  <c r="K39" i="9" s="1"/>
  <c r="K43" i="9" s="1"/>
  <c r="D36" i="12"/>
  <c r="F42" i="6" s="1"/>
  <c r="H42" i="6" s="1"/>
  <c r="F45" i="6"/>
  <c r="H45" i="6" s="1"/>
  <c r="G26" i="6"/>
  <c r="H70" i="6"/>
  <c r="H92" i="6"/>
  <c r="E183" i="14"/>
  <c r="I126" i="5"/>
  <c r="C164" i="5"/>
  <c r="I181" i="5"/>
  <c r="D36" i="23"/>
  <c r="G24" i="27"/>
  <c r="D46" i="23"/>
  <c r="H69" i="12"/>
  <c r="C131" i="5"/>
  <c r="E174" i="5"/>
  <c r="C30" i="19"/>
  <c r="E68" i="23"/>
  <c r="E29" i="9"/>
  <c r="C68" i="19"/>
  <c r="C136" i="15"/>
  <c r="AI15" i="11"/>
  <c r="AI19" i="11" s="1"/>
  <c r="C68" i="15"/>
  <c r="C39" i="15"/>
  <c r="C10" i="22" s="1"/>
  <c r="C9" i="22" s="1"/>
  <c r="C8" i="22"/>
  <c r="AE19" i="11"/>
  <c r="AG43" i="11"/>
  <c r="AG46" i="11" s="1"/>
  <c r="AG49" i="11" s="1"/>
  <c r="AE46" i="11"/>
  <c r="AE49" i="11" s="1"/>
  <c r="AJ61" i="11"/>
  <c r="AJ63" i="11" s="1"/>
  <c r="AJ117" i="11" s="1"/>
  <c r="AJ121" i="11" s="1"/>
  <c r="AF63" i="11"/>
  <c r="AI65" i="11"/>
  <c r="AI67" i="11" s="1"/>
  <c r="AE67" i="11"/>
  <c r="C79" i="15" s="1"/>
  <c r="E196" i="13"/>
  <c r="G196" i="13" s="1"/>
  <c r="AG94" i="11"/>
  <c r="AG100" i="11"/>
  <c r="C277" i="13"/>
  <c r="D277" i="13" s="1"/>
  <c r="E277" i="13" s="1"/>
  <c r="G277" i="13" s="1"/>
  <c r="AF115" i="11"/>
  <c r="C10" i="19"/>
  <c r="C41" i="6"/>
  <c r="D60" i="6"/>
  <c r="D61" i="6"/>
  <c r="AF29" i="11"/>
  <c r="AE115" i="11"/>
  <c r="AG93" i="11"/>
  <c r="E195" i="13"/>
  <c r="G195" i="13" s="1"/>
  <c r="C37" i="9"/>
  <c r="E21" i="9"/>
  <c r="G21" i="9"/>
  <c r="H21" i="9" s="1"/>
  <c r="F6" i="9"/>
  <c r="D8" i="9"/>
  <c r="AH19" i="11"/>
  <c r="D12" i="9"/>
  <c r="F10" i="9"/>
  <c r="E22" i="9"/>
  <c r="G22" i="9"/>
  <c r="H22" i="9" s="1"/>
  <c r="AE29" i="11"/>
  <c r="AG34" i="11"/>
  <c r="E203" i="13"/>
  <c r="F203" i="13" s="1"/>
  <c r="G203" i="13" s="1"/>
  <c r="AH46" i="11"/>
  <c r="AH49" i="11" s="1"/>
  <c r="AH115" i="11"/>
  <c r="F41" i="6"/>
  <c r="AG91" i="11"/>
  <c r="C245" i="13"/>
  <c r="AG98" i="11"/>
  <c r="C243" i="13"/>
  <c r="D243" i="13" s="1"/>
  <c r="E243" i="13" s="1"/>
  <c r="G243" i="13" s="1"/>
  <c r="R117" i="11"/>
  <c r="R121" i="11" s="1"/>
  <c r="F21" i="6" s="1"/>
  <c r="H21" i="6" s="1"/>
  <c r="D117" i="11"/>
  <c r="D121" i="11" s="1"/>
  <c r="E35" i="9"/>
  <c r="C18" i="22"/>
  <c r="C97" i="19"/>
  <c r="AH23" i="11"/>
  <c r="AH29" i="11" s="1"/>
  <c r="AF39" i="11"/>
  <c r="Q117" i="11"/>
  <c r="Q121" i="11" s="1"/>
  <c r="C21" i="6" s="1"/>
  <c r="E21" i="6" s="1"/>
  <c r="C117" i="11"/>
  <c r="C121" i="11" s="1"/>
  <c r="D44" i="12"/>
  <c r="D60" i="12"/>
  <c r="G25" i="6"/>
  <c r="G61" i="6" s="1"/>
  <c r="C48" i="6"/>
  <c r="E48" i="6" s="1"/>
  <c r="O35" i="7"/>
  <c r="O56" i="7" s="1"/>
  <c r="N56" i="7"/>
  <c r="F35" i="5"/>
  <c r="D41" i="5"/>
  <c r="D55" i="5" s="1"/>
  <c r="D133" i="5" s="1"/>
  <c r="E36" i="5"/>
  <c r="C41" i="5"/>
  <c r="C55" i="5" s="1"/>
  <c r="C133" i="5" s="1"/>
  <c r="C16" i="19"/>
  <c r="C13" i="19"/>
  <c r="C38" i="19"/>
  <c r="C68" i="12"/>
  <c r="D223" i="5"/>
  <c r="C56" i="7"/>
  <c r="C223" i="5" s="1"/>
  <c r="F204" i="13"/>
  <c r="D204" i="13"/>
  <c r="C8" i="9"/>
  <c r="C17" i="9" s="1"/>
  <c r="C39" i="9" s="1"/>
  <c r="C43" i="9" s="1"/>
  <c r="G11" i="9"/>
  <c r="H11" i="9" s="1"/>
  <c r="E15" i="9"/>
  <c r="C58" i="19"/>
  <c r="D37" i="9"/>
  <c r="AG33" i="11"/>
  <c r="AG39" i="11" s="1"/>
  <c r="E202" i="13"/>
  <c r="F202" i="13" s="1"/>
  <c r="AE39" i="11"/>
  <c r="AI111" i="11"/>
  <c r="AI115" i="11" s="1"/>
  <c r="AI117" i="11" s="1"/>
  <c r="AI121" i="11" s="1"/>
  <c r="C76" i="15"/>
  <c r="Y117" i="11"/>
  <c r="Y121" i="11" s="1"/>
  <c r="F20" i="6" s="1"/>
  <c r="H20" i="6" s="1"/>
  <c r="H23" i="6" s="1"/>
  <c r="K117" i="11"/>
  <c r="K121" i="11" s="1"/>
  <c r="F22" i="6" s="1"/>
  <c r="H22" i="6" s="1"/>
  <c r="C44" i="6"/>
  <c r="E44" i="6" s="1"/>
  <c r="C78" i="15"/>
  <c r="C118" i="15" s="1"/>
  <c r="C51" i="15"/>
  <c r="C63" i="15" s="1"/>
  <c r="C18" i="15" s="1"/>
  <c r="C44" i="12"/>
  <c r="C69" i="12" s="1"/>
  <c r="C14" i="19"/>
  <c r="C39" i="19"/>
  <c r="C47" i="6"/>
  <c r="E47" i="6" s="1"/>
  <c r="C60" i="12"/>
  <c r="C43" i="6"/>
  <c r="E43" i="6" s="1"/>
  <c r="M35" i="7"/>
  <c r="M56" i="7" s="1"/>
  <c r="D225" i="5"/>
  <c r="E56" i="7"/>
  <c r="C225" i="5" s="1"/>
  <c r="G168" i="5"/>
  <c r="H168" i="5" s="1"/>
  <c r="E168" i="5"/>
  <c r="G48" i="24"/>
  <c r="C48" i="24"/>
  <c r="C100" i="19"/>
  <c r="C242" i="13"/>
  <c r="D242" i="13" s="1"/>
  <c r="E242" i="13" s="1"/>
  <c r="G242" i="13" s="1"/>
  <c r="D227" i="5"/>
  <c r="G56" i="7"/>
  <c r="C227" i="5" s="1"/>
  <c r="G164" i="5"/>
  <c r="H164" i="5" s="1"/>
  <c r="E164" i="5"/>
  <c r="I164" i="5" s="1"/>
  <c r="C177" i="5"/>
  <c r="C194" i="5" s="1"/>
  <c r="C219" i="5" s="1"/>
  <c r="C37" i="19"/>
  <c r="E30" i="9"/>
  <c r="C137" i="15"/>
  <c r="E31" i="9"/>
  <c r="C67" i="19"/>
  <c r="C74" i="19" s="1"/>
  <c r="E34" i="9"/>
  <c r="C71" i="19"/>
  <c r="C17" i="22"/>
  <c r="AF19" i="11"/>
  <c r="AG92" i="11"/>
  <c r="AG96" i="11"/>
  <c r="X117" i="11"/>
  <c r="X121" i="11" s="1"/>
  <c r="C20" i="6" s="1"/>
  <c r="E20" i="6" s="1"/>
  <c r="E23" i="6" s="1"/>
  <c r="J117" i="11"/>
  <c r="J121" i="11" s="1"/>
  <c r="C22" i="6" s="1"/>
  <c r="E22" i="6" s="1"/>
  <c r="F46" i="6"/>
  <c r="H46" i="6" s="1"/>
  <c r="D68" i="12"/>
  <c r="C45" i="6"/>
  <c r="E45" i="6" s="1"/>
  <c r="C49" i="6"/>
  <c r="E49" i="6" s="1"/>
  <c r="D237" i="5"/>
  <c r="Q56" i="7"/>
  <c r="C237" i="5" s="1"/>
  <c r="D194" i="5"/>
  <c r="D219" i="5" s="1"/>
  <c r="D69" i="8"/>
  <c r="D74" i="8" s="1"/>
  <c r="D29" i="8"/>
  <c r="C80" i="15"/>
  <c r="C143" i="15"/>
  <c r="C57" i="19"/>
  <c r="I170" i="5"/>
  <c r="I172" i="5"/>
  <c r="I174" i="5"/>
  <c r="I183" i="5"/>
  <c r="I192" i="5"/>
  <c r="I201" i="5"/>
  <c r="H28" i="24"/>
  <c r="H48" i="24" s="1"/>
  <c r="C14" i="23"/>
  <c r="C46" i="23"/>
  <c r="I124" i="5"/>
  <c r="I141" i="5"/>
  <c r="E165" i="5"/>
  <c r="I165" i="5" s="1"/>
  <c r="E169" i="5"/>
  <c r="I200" i="5"/>
  <c r="C114" i="15"/>
  <c r="C131" i="15" s="1"/>
  <c r="C24" i="15" s="1"/>
  <c r="C61" i="19"/>
  <c r="F14" i="23"/>
  <c r="F46" i="23"/>
  <c r="I21" i="5"/>
  <c r="I22" i="5"/>
  <c r="G37" i="5"/>
  <c r="H37" i="5" s="1"/>
  <c r="I39" i="5"/>
  <c r="I80" i="5"/>
  <c r="I104" i="5"/>
  <c r="I123" i="5"/>
  <c r="I147" i="5"/>
  <c r="I167" i="5"/>
  <c r="I211" i="5"/>
  <c r="F48" i="24"/>
  <c r="E14" i="23"/>
  <c r="E46" i="23"/>
  <c r="F23" i="6"/>
  <c r="E198" i="13"/>
  <c r="G198" i="13" s="1"/>
  <c r="D203" i="13"/>
  <c r="C204" i="13"/>
  <c r="C203" i="13"/>
  <c r="E232" i="13"/>
  <c r="G232" i="13" s="1"/>
  <c r="E281" i="13"/>
  <c r="G281" i="13" s="1"/>
  <c r="E132" i="13"/>
  <c r="G132" i="13" s="1"/>
  <c r="D54" i="8"/>
  <c r="D22" i="8"/>
  <c r="D40" i="8" s="1"/>
  <c r="C22" i="8"/>
  <c r="C235" i="21"/>
  <c r="C238" i="21" s="1"/>
  <c r="C248" i="21" s="1"/>
  <c r="C54" i="8"/>
  <c r="C74" i="8"/>
  <c r="C29" i="8"/>
  <c r="G204" i="13"/>
  <c r="C73" i="15"/>
  <c r="C70" i="15"/>
  <c r="C36" i="22" s="1"/>
  <c r="I212" i="5"/>
  <c r="I206" i="5"/>
  <c r="I203" i="5"/>
  <c r="I202" i="5"/>
  <c r="G175" i="5"/>
  <c r="H175" i="5" s="1"/>
  <c r="G173" i="5"/>
  <c r="H173" i="5" s="1"/>
  <c r="I173" i="5"/>
  <c r="I171" i="5"/>
  <c r="I169" i="5"/>
  <c r="I168" i="5"/>
  <c r="I166" i="5"/>
  <c r="I159" i="5"/>
  <c r="I154" i="5"/>
  <c r="I153" i="5"/>
  <c r="I28" i="5"/>
  <c r="I46" i="5"/>
  <c r="I61" i="5"/>
  <c r="I62" i="5"/>
  <c r="I91" i="5"/>
  <c r="I92" i="5"/>
  <c r="I93" i="5"/>
  <c r="I94" i="5"/>
  <c r="I103" i="5"/>
  <c r="I23" i="5"/>
  <c r="I53" i="5"/>
  <c r="I101" i="5"/>
  <c r="I105" i="5"/>
  <c r="I127" i="5"/>
  <c r="I26" i="5"/>
  <c r="I95" i="5"/>
  <c r="I125" i="5"/>
  <c r="I117" i="5"/>
  <c r="I102" i="5"/>
  <c r="I84" i="5"/>
  <c r="I83" i="5"/>
  <c r="I82" i="5"/>
  <c r="I81" i="5"/>
  <c r="I67" i="5"/>
  <c r="I48" i="5"/>
  <c r="I45" i="5"/>
  <c r="I38" i="5"/>
  <c r="I37" i="5"/>
  <c r="I36" i="5"/>
  <c r="G36" i="5"/>
  <c r="H36" i="5" s="1"/>
  <c r="G35" i="5"/>
  <c r="H35" i="5" s="1"/>
  <c r="I35" i="5"/>
  <c r="I29" i="5"/>
  <c r="I25" i="5"/>
  <c r="I24" i="5"/>
  <c r="I20" i="5"/>
  <c r="U10" i="7"/>
  <c r="G35" i="9"/>
  <c r="H35" i="9" s="1"/>
  <c r="G34" i="9"/>
  <c r="H34" i="9" s="1"/>
  <c r="G33" i="9"/>
  <c r="H33" i="9" s="1"/>
  <c r="G31" i="9"/>
  <c r="H31" i="9" s="1"/>
  <c r="G30" i="9"/>
  <c r="H30" i="9" s="1"/>
  <c r="G29" i="9"/>
  <c r="H29" i="9" s="1"/>
  <c r="G28" i="9"/>
  <c r="H28" i="9" s="1"/>
  <c r="G27" i="9"/>
  <c r="H27" i="9" s="1"/>
  <c r="G26" i="9"/>
  <c r="H26" i="9" s="1"/>
  <c r="G25" i="9"/>
  <c r="H25" i="9" s="1"/>
  <c r="G24" i="9"/>
  <c r="H24" i="9" s="1"/>
  <c r="G23" i="9"/>
  <c r="H23" i="9" s="1"/>
  <c r="G14" i="9"/>
  <c r="H14" i="9" s="1"/>
  <c r="G10" i="9"/>
  <c r="H10" i="9" s="1"/>
  <c r="G7" i="9"/>
  <c r="H7" i="9" s="1"/>
  <c r="G6" i="9"/>
  <c r="H6" i="9" s="1"/>
  <c r="X1" i="4"/>
  <c r="E269" i="13" l="1"/>
  <c r="G269" i="13" s="1"/>
  <c r="AG115" i="11"/>
  <c r="AG117" i="11" s="1"/>
  <c r="AG121" i="11" s="1"/>
  <c r="D69" i="12"/>
  <c r="AH117" i="11"/>
  <c r="AH121" i="11" s="1"/>
  <c r="C150" i="15"/>
  <c r="C27" i="15" s="1"/>
  <c r="G60" i="6"/>
  <c r="L35" i="7"/>
  <c r="L56" i="7" s="1"/>
  <c r="G75" i="6"/>
  <c r="G74" i="6"/>
  <c r="AE117" i="11"/>
  <c r="AE121" i="11" s="1"/>
  <c r="AF117" i="11"/>
  <c r="AF121" i="11" s="1"/>
  <c r="C23" i="6"/>
  <c r="E41" i="6"/>
  <c r="E51" i="6" s="1"/>
  <c r="C51" i="6"/>
  <c r="G202" i="13"/>
  <c r="C7" i="6"/>
  <c r="D17" i="9"/>
  <c r="D39" i="9" s="1"/>
  <c r="D43" i="9" s="1"/>
  <c r="C44" i="19"/>
  <c r="F51" i="6"/>
  <c r="H41" i="6"/>
  <c r="H51" i="6" s="1"/>
  <c r="D75" i="6"/>
  <c r="D74" i="6"/>
  <c r="C19" i="19"/>
  <c r="D56" i="8"/>
  <c r="D57" i="8"/>
  <c r="D76" i="8" s="1"/>
  <c r="D86" i="8" s="1"/>
  <c r="C40" i="8"/>
  <c r="C57" i="8" s="1"/>
  <c r="C90" i="15"/>
  <c r="C21" i="15" s="1"/>
  <c r="C45" i="4"/>
  <c r="C106" i="8" s="1"/>
  <c r="I35" i="9" l="1"/>
  <c r="F7" i="6"/>
  <c r="H7" i="6" s="1"/>
  <c r="I14" i="9"/>
  <c r="I34" i="9"/>
  <c r="I7" i="9"/>
  <c r="I10" i="9"/>
  <c r="I24" i="9"/>
  <c r="I26" i="9"/>
  <c r="I21" i="9"/>
  <c r="I22" i="9"/>
  <c r="I30" i="9"/>
  <c r="I29" i="9"/>
  <c r="I25" i="9"/>
  <c r="I11" i="9"/>
  <c r="I28" i="9"/>
  <c r="I33" i="9"/>
  <c r="I23" i="9"/>
  <c r="I15" i="9"/>
  <c r="AD113" i="11"/>
  <c r="I98" i="11"/>
  <c r="W97" i="11"/>
  <c r="P85" i="11"/>
  <c r="AD78" i="11"/>
  <c r="I73" i="11"/>
  <c r="P72" i="11"/>
  <c r="AD55" i="11"/>
  <c r="AD44" i="11"/>
  <c r="W35" i="11"/>
  <c r="W23" i="11"/>
  <c r="I91" i="11"/>
  <c r="AD87" i="11"/>
  <c r="I83" i="11"/>
  <c r="P75" i="11"/>
  <c r="W72" i="11"/>
  <c r="I45" i="11"/>
  <c r="I33" i="11"/>
  <c r="I26" i="11"/>
  <c r="P16" i="11"/>
  <c r="P14" i="11"/>
  <c r="P12" i="11"/>
  <c r="P10" i="11"/>
  <c r="W9" i="11"/>
  <c r="P13" i="11"/>
  <c r="I8" i="11"/>
  <c r="I103" i="11"/>
  <c r="I94" i="11"/>
  <c r="P89" i="11"/>
  <c r="W84" i="11"/>
  <c r="P82" i="11"/>
  <c r="W79" i="11"/>
  <c r="I77" i="11"/>
  <c r="AD75" i="11"/>
  <c r="I54" i="11"/>
  <c r="P47" i="11"/>
  <c r="I43" i="11"/>
  <c r="P26" i="11"/>
  <c r="P24" i="11"/>
  <c r="W96" i="11"/>
  <c r="AD83" i="11"/>
  <c r="W80" i="11"/>
  <c r="AD76" i="11"/>
  <c r="P65" i="11"/>
  <c r="P55" i="11"/>
  <c r="W47" i="11"/>
  <c r="I34" i="11"/>
  <c r="AD26" i="11"/>
  <c r="W15" i="11"/>
  <c r="I9" i="11"/>
  <c r="I93" i="11"/>
  <c r="I96" i="11"/>
  <c r="W90" i="11"/>
  <c r="W91" i="11"/>
  <c r="I95" i="11"/>
  <c r="W102" i="11"/>
  <c r="P91" i="11"/>
  <c r="P94" i="11"/>
  <c r="AD101" i="11"/>
  <c r="W105" i="11"/>
  <c r="AD108" i="11"/>
  <c r="P111" i="11"/>
  <c r="W99" i="11"/>
  <c r="P106" i="11"/>
  <c r="I110" i="11"/>
  <c r="AD100" i="11"/>
  <c r="W104" i="11"/>
  <c r="I106" i="11"/>
  <c r="P109" i="11"/>
  <c r="P102" i="11"/>
  <c r="AD112" i="11"/>
  <c r="AD109" i="11"/>
  <c r="AD102" i="11"/>
  <c r="AD73" i="11"/>
  <c r="I10" i="11"/>
  <c r="AD103" i="11"/>
  <c r="I82" i="11"/>
  <c r="P76" i="11"/>
  <c r="AD36" i="11"/>
  <c r="W83" i="11"/>
  <c r="I55" i="11"/>
  <c r="W113" i="11"/>
  <c r="AD99" i="11"/>
  <c r="AD97" i="11"/>
  <c r="AD82" i="11"/>
  <c r="AD77" i="11"/>
  <c r="P73" i="11"/>
  <c r="AD71" i="11"/>
  <c r="AD54" i="11"/>
  <c r="I36" i="11"/>
  <c r="AD35" i="11"/>
  <c r="AD23" i="11"/>
  <c r="I87" i="11"/>
  <c r="W85" i="11"/>
  <c r="P81" i="11"/>
  <c r="W75" i="11"/>
  <c r="I71" i="11"/>
  <c r="P45" i="11"/>
  <c r="P33" i="11"/>
  <c r="I25" i="11"/>
  <c r="W16" i="11"/>
  <c r="W14" i="11"/>
  <c r="W12" i="11"/>
  <c r="W10" i="11"/>
  <c r="AD9" i="11"/>
  <c r="W13" i="11"/>
  <c r="W8" i="11"/>
  <c r="P103" i="11"/>
  <c r="P93" i="11"/>
  <c r="P88" i="11"/>
  <c r="AD84" i="11"/>
  <c r="W81" i="11"/>
  <c r="AD79" i="11"/>
  <c r="P77" i="11"/>
  <c r="AD72" i="11"/>
  <c r="P54" i="11"/>
  <c r="W45" i="11"/>
  <c r="P43" i="11"/>
  <c r="W26" i="11"/>
  <c r="W24" i="11"/>
  <c r="AD89" i="11"/>
  <c r="W82" i="11"/>
  <c r="W78" i="11"/>
  <c r="I72" i="11"/>
  <c r="W65" i="11"/>
  <c r="W55" i="11"/>
  <c r="W44" i="11"/>
  <c r="P34" i="11"/>
  <c r="AD25" i="11"/>
  <c r="I11" i="11"/>
  <c r="P8" i="11"/>
  <c r="AD86" i="11"/>
  <c r="AD95" i="11"/>
  <c r="I99" i="11"/>
  <c r="P90" i="11"/>
  <c r="I92" i="11"/>
  <c r="AD98" i="11"/>
  <c r="I86" i="11"/>
  <c r="AD92" i="11"/>
  <c r="AD96" i="11"/>
  <c r="W101" i="11"/>
  <c r="W106" i="11"/>
  <c r="P110" i="11"/>
  <c r="I111" i="11"/>
  <c r="P101" i="11"/>
  <c r="W108" i="11"/>
  <c r="P112" i="11"/>
  <c r="I101" i="11"/>
  <c r="P104" i="11"/>
  <c r="AD107" i="11"/>
  <c r="I109" i="11"/>
  <c r="I104" i="11"/>
  <c r="AD33" i="11"/>
  <c r="P44" i="11"/>
  <c r="I65" i="11"/>
  <c r="P113" i="11"/>
  <c r="I97" i="11"/>
  <c r="P86" i="11"/>
  <c r="I81" i="11"/>
  <c r="I74" i="11"/>
  <c r="W73" i="11"/>
  <c r="I61" i="11"/>
  <c r="AD53" i="11"/>
  <c r="I35" i="11"/>
  <c r="I23" i="11"/>
  <c r="P100" i="11"/>
  <c r="P87" i="11"/>
  <c r="I84" i="11"/>
  <c r="I79" i="11"/>
  <c r="W74" i="11"/>
  <c r="W61" i="11"/>
  <c r="I44" i="11"/>
  <c r="W33" i="11"/>
  <c r="I24" i="11"/>
  <c r="AD16" i="11"/>
  <c r="AD14" i="11"/>
  <c r="AD12" i="11"/>
  <c r="AD10" i="11"/>
  <c r="AD15" i="11"/>
  <c r="AD13" i="11"/>
  <c r="W107" i="11"/>
  <c r="W103" i="11"/>
  <c r="W92" i="11"/>
  <c r="W88" i="11"/>
  <c r="P83" i="11"/>
  <c r="I80" i="11"/>
  <c r="I78" i="11"/>
  <c r="I76" i="11"/>
  <c r="P71" i="11"/>
  <c r="P53" i="11"/>
  <c r="AD45" i="11"/>
  <c r="W36" i="11"/>
  <c r="P25" i="11"/>
  <c r="AD24" i="11"/>
  <c r="I85" i="11"/>
  <c r="AD81" i="11"/>
  <c r="W77" i="11"/>
  <c r="W71" i="11"/>
  <c r="AD65" i="11"/>
  <c r="W54" i="11"/>
  <c r="W43" i="11"/>
  <c r="W34" i="11"/>
  <c r="I15" i="11"/>
  <c r="P11" i="11"/>
  <c r="AD8" i="11"/>
  <c r="AD88" i="11"/>
  <c r="W95" i="11"/>
  <c r="W110" i="11"/>
  <c r="I90" i="11"/>
  <c r="AD93" i="11"/>
  <c r="W98" i="11"/>
  <c r="I88" i="11"/>
  <c r="W93" i="11"/>
  <c r="AD110" i="11"/>
  <c r="P107" i="11"/>
  <c r="AD111" i="11"/>
  <c r="I102" i="11"/>
  <c r="I112" i="11"/>
  <c r="P108" i="11"/>
  <c r="P23" i="11"/>
  <c r="P9" i="11"/>
  <c r="AD106" i="11"/>
  <c r="I89" i="11"/>
  <c r="P79" i="11"/>
  <c r="AD61" i="11"/>
  <c r="W25" i="11"/>
  <c r="P80" i="11"/>
  <c r="W53" i="11"/>
  <c r="I113" i="11"/>
  <c r="P97" i="11"/>
  <c r="W86" i="11"/>
  <c r="AD80" i="11"/>
  <c r="P74" i="11"/>
  <c r="P61" i="11"/>
  <c r="AD47" i="11"/>
  <c r="P35" i="11"/>
  <c r="W100" i="11"/>
  <c r="W87" i="11"/>
  <c r="P84" i="11"/>
  <c r="I75" i="11"/>
  <c r="AD74" i="11"/>
  <c r="I53" i="11"/>
  <c r="P36" i="11"/>
  <c r="I16" i="11"/>
  <c r="I14" i="11"/>
  <c r="I12" i="11"/>
  <c r="I13" i="11"/>
  <c r="W11" i="11"/>
  <c r="AD85" i="11"/>
  <c r="P78" i="11"/>
  <c r="I47" i="11"/>
  <c r="P96" i="11"/>
  <c r="W76" i="11"/>
  <c r="AD43" i="11"/>
  <c r="P95" i="11"/>
  <c r="P98" i="11"/>
  <c r="AD105" i="11"/>
  <c r="P105" i="11"/>
  <c r="I105" i="11"/>
  <c r="W89" i="11"/>
  <c r="I108" i="11"/>
  <c r="AD34" i="11"/>
  <c r="P15" i="11"/>
  <c r="AD91" i="11"/>
  <c r="W94" i="11"/>
  <c r="W111" i="11"/>
  <c r="P99" i="11"/>
  <c r="AD90" i="11"/>
  <c r="W109" i="11"/>
  <c r="AD11" i="11"/>
  <c r="P92" i="11"/>
  <c r="AD94" i="11"/>
  <c r="I100" i="11"/>
  <c r="W112" i="11"/>
  <c r="AD104" i="11"/>
  <c r="I107" i="11"/>
  <c r="D94" i="6"/>
  <c r="D95" i="6"/>
  <c r="I6" i="9"/>
  <c r="I27" i="9"/>
  <c r="I31" i="9"/>
  <c r="C6" i="19"/>
  <c r="C32" i="19" s="1"/>
  <c r="C76" i="19" s="1"/>
  <c r="C102" i="19" s="1"/>
  <c r="C68" i="13" s="1"/>
  <c r="C64" i="13" s="1"/>
  <c r="C61" i="13" s="1"/>
  <c r="D61" i="13" s="1"/>
  <c r="E61" i="13" s="1"/>
  <c r="E7" i="6"/>
  <c r="I32" i="9"/>
  <c r="G95" i="6"/>
  <c r="G94" i="6"/>
  <c r="C56" i="8"/>
  <c r="C76" i="8" s="1"/>
  <c r="C86" i="8" s="1"/>
  <c r="C144" i="8"/>
  <c r="C122" i="8"/>
  <c r="D105" i="8"/>
  <c r="D113" i="8" s="1"/>
  <c r="C120" i="8"/>
  <c r="C109" i="8"/>
  <c r="C128" i="8"/>
  <c r="C105" i="8"/>
  <c r="C113" i="8" s="1"/>
  <c r="C129" i="8"/>
  <c r="C93" i="8"/>
  <c r="C99" i="8" s="1"/>
  <c r="Y1" i="4"/>
  <c r="C6" i="3"/>
  <c r="F61" i="13" l="1"/>
  <c r="E70" i="13"/>
  <c r="C116" i="8"/>
  <c r="C115" i="8"/>
  <c r="C133" i="8"/>
  <c r="D116" i="8"/>
  <c r="D115" i="8"/>
  <c r="C37" i="4"/>
  <c r="C40" i="4"/>
  <c r="C39" i="4"/>
  <c r="C38" i="4"/>
  <c r="C29" i="3"/>
  <c r="C28" i="2"/>
  <c r="C24" i="1"/>
  <c r="G61" i="13" l="1"/>
  <c r="F70" i="13"/>
  <c r="G70" i="13" s="1"/>
  <c r="D135" i="8"/>
  <c r="D146" i="8" s="1"/>
  <c r="C30" i="10"/>
  <c r="C32" i="10" s="1"/>
  <c r="C43" i="10" s="1"/>
  <c r="C56" i="10" s="1"/>
  <c r="D30" i="10"/>
  <c r="D32" i="10" s="1"/>
  <c r="D43" i="10" s="1"/>
  <c r="D56" i="10" s="1"/>
  <c r="D80" i="10"/>
  <c r="D82" i="10" s="1"/>
  <c r="D86" i="10" s="1"/>
  <c r="D98" i="10" s="1"/>
  <c r="C80" i="10"/>
  <c r="C82" i="10" s="1"/>
  <c r="C86" i="10" s="1"/>
  <c r="C98" i="10" s="1"/>
  <c r="C135" i="8"/>
  <c r="C146" i="8" s="1"/>
  <c r="F11" i="6" l="1"/>
  <c r="D60" i="10"/>
  <c r="D75" i="10" s="1"/>
  <c r="C60" i="10"/>
  <c r="C75" i="10" s="1"/>
  <c r="C11" i="6"/>
  <c r="F14" i="6" l="1"/>
  <c r="H11" i="6"/>
  <c r="F13" i="6"/>
  <c r="C13" i="6"/>
  <c r="E11" i="6"/>
  <c r="C14" i="6"/>
  <c r="H13" i="6" l="1"/>
  <c r="H14" i="6"/>
  <c r="E14" i="6"/>
  <c r="E13" i="6"/>
  <c r="F26" i="6"/>
  <c r="F25" i="6"/>
  <c r="C26" i="6"/>
  <c r="C25" i="6"/>
  <c r="C61" i="6" l="1"/>
  <c r="C60" i="6"/>
  <c r="E26" i="6"/>
  <c r="E25" i="6"/>
  <c r="H25" i="6"/>
  <c r="H26" i="6"/>
  <c r="F60" i="6"/>
  <c r="F61" i="6"/>
  <c r="C74" i="6" l="1"/>
  <c r="C75" i="6"/>
  <c r="F74" i="6"/>
  <c r="F75" i="6"/>
  <c r="E60" i="6"/>
  <c r="E61" i="6"/>
  <c r="H60" i="6"/>
  <c r="H61" i="6"/>
  <c r="H74" i="6" l="1"/>
  <c r="H75" i="6"/>
  <c r="H13" i="7"/>
  <c r="F94" i="6"/>
  <c r="D228" i="5"/>
  <c r="F95" i="6"/>
  <c r="C95" i="6"/>
  <c r="C6" i="15"/>
  <c r="C228" i="5"/>
  <c r="C94" i="6"/>
  <c r="H38" i="7"/>
  <c r="U38" i="7" s="1"/>
  <c r="I14" i="7"/>
  <c r="D229" i="5"/>
  <c r="E75" i="6"/>
  <c r="E74" i="6"/>
  <c r="C229" i="5"/>
  <c r="C7" i="15"/>
  <c r="I39" i="7"/>
  <c r="U39" i="7" s="1"/>
  <c r="U14" i="7" l="1"/>
  <c r="I31" i="7"/>
  <c r="C14" i="15"/>
  <c r="C15" i="15"/>
  <c r="U13" i="7"/>
  <c r="U31" i="7" s="1"/>
  <c r="H31" i="7"/>
  <c r="E94" i="6"/>
  <c r="E95" i="6"/>
  <c r="H95" i="6"/>
  <c r="H94" i="6"/>
  <c r="C29" i="15" l="1"/>
  <c r="C30" i="15"/>
  <c r="J35" i="7"/>
  <c r="J56" i="7" s="1"/>
  <c r="C230" i="5" s="1"/>
  <c r="H35" i="7"/>
  <c r="H56" i="7" s="1"/>
  <c r="K35" i="7"/>
  <c r="K56" i="7" s="1"/>
  <c r="C231" i="5" s="1"/>
  <c r="I35" i="7"/>
  <c r="I56" i="7" s="1"/>
  <c r="D242" i="5"/>
  <c r="D244" i="5" s="1"/>
  <c r="C35" i="15" l="1"/>
  <c r="C34" i="15"/>
  <c r="U35" i="7"/>
  <c r="U56" i="7" s="1"/>
  <c r="C242" i="5" s="1"/>
  <c r="C244" i="5" s="1"/>
  <c r="C15" i="22"/>
  <c r="C42" i="15" l="1"/>
  <c r="C46" i="15" s="1"/>
  <c r="C33" i="22" s="1"/>
  <c r="C11" i="22"/>
  <c r="C41" i="15"/>
  <c r="C16" i="22" s="1"/>
  <c r="C10" i="13" l="1"/>
  <c r="D10" i="13" s="1"/>
  <c r="E10" i="13" s="1"/>
  <c r="F10" i="13" s="1"/>
  <c r="F12" i="13" s="1"/>
  <c r="E12" i="13" l="1"/>
  <c r="E41" i="13" s="1"/>
  <c r="G10" i="13"/>
  <c r="G12" i="13" s="1"/>
  <c r="C35" i="22"/>
  <c r="E40" i="13"/>
  <c r="F40" i="13"/>
  <c r="F41" i="13"/>
  <c r="F43" i="13" l="1"/>
  <c r="F46" i="13" s="1"/>
  <c r="F48" i="13"/>
  <c r="E43" i="13"/>
  <c r="E46" i="13" s="1"/>
  <c r="G40" i="13"/>
  <c r="E48" i="13"/>
  <c r="C40" i="22"/>
  <c r="C41" i="22"/>
  <c r="C57" i="22" s="1"/>
  <c r="C110" i="22" s="1"/>
  <c r="G41" i="13"/>
  <c r="G46" i="13" l="1"/>
  <c r="G43" i="13"/>
  <c r="G4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Administrator</author>
  </authors>
  <commentList>
    <comment ref="B1" authorId="0" shapeId="0" xr:uid="{00000000-0006-0000-0100-00000100000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xr:uid="{00000000-0006-0000-0100-000002000000}">
      <text>
        <r>
          <rPr>
            <b/>
            <sz val="9"/>
            <color indexed="81"/>
            <rFont val="Tahoma"/>
            <family val="2"/>
          </rPr>
          <t>Se replica en:
Anexo: Notas,
Anexo: Declaratoria,
Anexo: Opinión,
Anexo: Informe,
Anexo: Información Adicional,
Anexo: Contribuyente
Índice: 01A013000
Columna: C</t>
        </r>
      </text>
    </comment>
    <comment ref="C17" authorId="2" shapeId="0" xr:uid="{00000000-0006-0000-0100-00000300000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xr:uid="{00000000-0006-0000-0100-00000400000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200-00000100000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xr:uid="{00000000-0006-0000-0200-000002000000}">
      <text>
        <r>
          <rPr>
            <b/>
            <sz val="9"/>
            <color indexed="81"/>
            <rFont val="Tahoma"/>
            <family val="2"/>
          </rPr>
          <t>Se replica en:
Anexo: Contador
Índice: 01B017000
Columna: C</t>
        </r>
      </text>
    </comment>
    <comment ref="C28" authorId="1" shapeId="0" xr:uid="{00000000-0006-0000-0200-00000300000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María del Pilar Ubaldo Juárez</author>
  </authors>
  <commentList>
    <comment ref="C4" authorId="0" shapeId="0" xr:uid="{00000000-0006-0000-0300-000001000000}">
      <text>
        <r>
          <rPr>
            <b/>
            <sz val="9"/>
            <color indexed="81"/>
            <rFont val="Tahoma"/>
            <family val="2"/>
          </rPr>
          <t>Se replica en:
Anexo: Representante
Índice: 01C018000
Columna: C</t>
        </r>
      </text>
    </comment>
    <comment ref="C29" authorId="0" shapeId="0" xr:uid="{00000000-0006-0000-0300-00000200000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A42" authorId="0" shapeId="0" xr:uid="{00000000-0006-0000-0400-00000100000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xr:uid="{00000000-0006-0000-0400-000002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xr:uid="{00000000-0006-0000-0400-00000300000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xr:uid="{00000000-0006-0000-0400-00000400000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xr:uid="{00000000-0006-0000-0400-00000500000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xr:uid="{00000000-0006-0000-0400-00000600000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xr:uid="{00000000-0006-0000-0400-000007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500-00000100000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xr:uid="{00000000-0006-0000-0500-000002000000}">
      <text>
        <r>
          <rPr>
            <b/>
            <sz val="9"/>
            <color indexed="12"/>
            <rFont val="Tahoma"/>
            <family val="2"/>
          </rPr>
          <t>Info TIP: _x000D_
Verificar el cálculo fiscal, considerando que no haya aplicado la Deduccion Inmediata de Inversiones en ejercicios anteriores.</t>
        </r>
      </text>
    </comment>
    <comment ref="B34" authorId="0" shapeId="0" xr:uid="{00000000-0006-0000-0500-00000300000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xr:uid="{00000000-0006-0000-0500-00000400000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xr:uid="{00000000-0006-0000-0500-00000500000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600-00000100000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xr:uid="{00000000-0006-0000-0600-000002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xr:uid="{00000000-0006-0000-0600-000003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xr:uid="{00000000-0006-0000-0600-000004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xr:uid="{00000000-0006-0000-0600-000005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xr:uid="{00000000-0006-0000-0600-000006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xr:uid="{00000000-0006-0000-0600-000007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xr:uid="{00000000-0006-0000-0600-000008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xr:uid="{00000000-0006-0000-0600-00000900000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xr:uid="{00000000-0006-0000-0600-00000A00000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xr:uid="{00000000-0006-0000-0600-00000B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xr:uid="{00000000-0006-0000-0600-00000C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xr:uid="{00000000-0006-0000-0600-00000D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xr:uid="{00000000-0006-0000-0600-00000E00000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xr:uid="{00000000-0006-0000-0600-00000F00000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xr:uid="{00000000-0006-0000-0600-00001000000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xr:uid="{00000000-0006-0000-0600-00001100000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xr:uid="{00000000-0006-0000-0600-00001200000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xr:uid="{00000000-0006-0000-0600-00001300000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xr:uid="{00000000-0006-0000-0600-00001400000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xr:uid="{00000000-0006-0000-0600-00001500000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xr:uid="{00000000-0006-0000-0600-00001600000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xr:uid="{00000000-0006-0000-0600-00001700000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xr:uid="{00000000-0006-0000-0600-00001800000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xr:uid="{00000000-0006-0000-0600-000019000000}">
      <text>
        <r>
          <rPr>
            <b/>
            <sz val="9"/>
            <color indexed="81"/>
            <rFont val="Tahoma"/>
            <family val="2"/>
          </rPr>
          <t>Se replica en:
Anexo: ANEXO 6
Índice: 01060008000000
Columna: C,
Anexo: ANEXO 6
Índice: 01060030000000
Columna: C</t>
        </r>
      </text>
    </comment>
    <comment ref="J121" authorId="1" shapeId="0" xr:uid="{00000000-0006-0000-0600-00001A000000}">
      <text>
        <r>
          <rPr>
            <b/>
            <sz val="9"/>
            <color indexed="81"/>
            <rFont val="Tahoma"/>
            <family val="2"/>
          </rPr>
          <t>Se replica en:
Anexo: ANEXO 2
Índice: 01020006000000
Columna: C</t>
        </r>
      </text>
    </comment>
    <comment ref="Q121" authorId="1" shapeId="0" xr:uid="{00000000-0006-0000-0600-00001B000000}">
      <text>
        <r>
          <rPr>
            <b/>
            <sz val="9"/>
            <color indexed="81"/>
            <rFont val="Tahoma"/>
            <family val="2"/>
          </rPr>
          <t>Se replica en:
Anexo: ANEXO 2
Índice: 01020005000000
Columna: C</t>
        </r>
      </text>
    </comment>
    <comment ref="X121" authorId="1" shapeId="0" xr:uid="{00000000-0006-0000-0600-00001C00000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700-00000100000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xr:uid="{00000000-0006-0000-0700-000002000000}">
      <text>
        <r>
          <rPr>
            <b/>
            <sz val="9"/>
            <color indexed="81"/>
            <rFont val="Tahoma"/>
            <family val="2"/>
          </rPr>
          <t>Es réplica de:
Anexo: ANEXO 7
Índice: 01070083000000
Columna: C</t>
        </r>
      </text>
    </comment>
    <comment ref="C56" authorId="1" shapeId="0" xr:uid="{00000000-0006-0000-0700-000003000000}">
      <text>
        <r>
          <rPr>
            <b/>
            <sz val="9"/>
            <color indexed="81"/>
            <rFont val="Tahoma"/>
            <family val="2"/>
          </rPr>
          <t>Se replica en:
Anexo: ANEXO 2
Índice: 01020001000000
Columna: C</t>
        </r>
      </text>
    </comment>
    <comment ref="B64" authorId="0" shapeId="0" xr:uid="{00000000-0006-0000-0700-000004000000}">
      <text>
        <r>
          <rPr>
            <b/>
            <sz val="9"/>
            <color indexed="12"/>
            <rFont val="Tahoma"/>
            <family val="2"/>
          </rPr>
          <t>Info TIP: _x000D_
Considerarlo para la conciliación entre el resultado contable y fiscal</t>
        </r>
      </text>
    </comment>
    <comment ref="B65" authorId="0" shapeId="0" xr:uid="{00000000-0006-0000-0700-000005000000}">
      <text>
        <r>
          <rPr>
            <b/>
            <sz val="9"/>
            <color indexed="12"/>
            <rFont val="Tahoma"/>
            <family val="2"/>
          </rPr>
          <t>Info TIP: _x000D_
Considerarlo para la conciliación entre el resultado contable y fiscal</t>
        </r>
      </text>
    </comment>
    <comment ref="B66" authorId="0" shapeId="0" xr:uid="{00000000-0006-0000-0700-000006000000}">
      <text>
        <r>
          <rPr>
            <b/>
            <sz val="9"/>
            <color indexed="12"/>
            <rFont val="Tahoma"/>
            <family val="2"/>
          </rPr>
          <t>Info TIP: _x000D_
Considerarlo para la conciliación entre el resultado contable y fiscal</t>
        </r>
      </text>
    </comment>
    <comment ref="B67" authorId="0" shapeId="0" xr:uid="{00000000-0006-0000-0700-00000700000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xr:uid="{00000000-0006-0000-0700-000008000000}">
      <text>
        <r>
          <rPr>
            <b/>
            <sz val="9"/>
            <color indexed="12"/>
            <rFont val="Tahoma"/>
            <family val="2"/>
          </rPr>
          <t>Info TIP: _x000D_
Considerarlo para la conciliación entre el resultado contable y fiscal</t>
        </r>
      </text>
    </comment>
    <comment ref="B72" authorId="0" shapeId="0" xr:uid="{00000000-0006-0000-0700-00000900000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xr:uid="{00000000-0006-0000-0700-00000A000000}">
      <text>
        <r>
          <rPr>
            <b/>
            <sz val="9"/>
            <color indexed="81"/>
            <rFont val="Tahoma"/>
            <family val="2"/>
          </rPr>
          <t>Es réplica de:
Anexo: ANEXO 7
Índice: 01070083000000
Columna: C</t>
        </r>
      </text>
    </comment>
    <comment ref="C82" authorId="1" shapeId="0" xr:uid="{00000000-0006-0000-0700-00000B00000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800-00000100000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xr:uid="{00000000-0006-0000-0800-000002000000}">
      <text>
        <r>
          <rPr>
            <b/>
            <sz val="9"/>
            <color indexed="81"/>
            <rFont val="Tahoma"/>
            <family val="2"/>
          </rPr>
          <t>Se replica en:
Anexo: ANEXO 2
Índice: 01020015000000
Columna: C</t>
        </r>
      </text>
    </comment>
    <comment ref="C36" authorId="1" shapeId="0" xr:uid="{00000000-0006-0000-0800-00000300000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900-00000100000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xr:uid="{00000000-0006-0000-0900-000002000000}">
      <text>
        <r>
          <rPr>
            <b/>
            <sz val="9"/>
            <color indexed="81"/>
            <rFont val="Tahoma"/>
            <family val="2"/>
          </rPr>
          <t>Es réplica de:
Anexo: ANEXO 5
Índice: 01050028000000
Columna: C</t>
        </r>
      </text>
    </comment>
    <comment ref="C11" authorId="1" shapeId="0" xr:uid="{00000000-0006-0000-0900-000003000000}">
      <text>
        <r>
          <rPr>
            <b/>
            <sz val="9"/>
            <color indexed="81"/>
            <rFont val="Tahoma"/>
            <family val="2"/>
          </rPr>
          <t>Es réplica de:
Anexo: ANEXO 6
Índice: 01060019000000
Columna: C,
Anexo: ANEXO 6
Índice: 01060032000000
Columna: C</t>
        </r>
      </text>
    </comment>
    <comment ref="C20" authorId="1" shapeId="0" xr:uid="{00000000-0006-0000-0900-000004000000}">
      <text>
        <r>
          <rPr>
            <b/>
            <sz val="9"/>
            <color indexed="81"/>
            <rFont val="Tahoma"/>
            <family val="2"/>
          </rPr>
          <t>Es réplica de:
Anexo: ANEXO 7
Índice: 01070083000000
Columna: X</t>
        </r>
      </text>
    </comment>
    <comment ref="C21" authorId="1" shapeId="0" xr:uid="{00000000-0006-0000-0900-000005000000}">
      <text>
        <r>
          <rPr>
            <b/>
            <sz val="9"/>
            <color indexed="81"/>
            <rFont val="Tahoma"/>
            <family val="2"/>
          </rPr>
          <t>Es réplica de:
Anexo: ANEXO 7
Índice: 01070083000000
Columna: Q</t>
        </r>
      </text>
    </comment>
    <comment ref="C22" authorId="1" shapeId="0" xr:uid="{00000000-0006-0000-0900-000006000000}">
      <text>
        <r>
          <rPr>
            <b/>
            <sz val="9"/>
            <color indexed="81"/>
            <rFont val="Tahoma"/>
            <family val="2"/>
          </rPr>
          <t>Es réplica de:
Anexo: ANEXO 7
Índice: 01070083000000
Columna: J</t>
        </r>
      </text>
    </comment>
    <comment ref="C41" authorId="1" shapeId="0" xr:uid="{00000000-0006-0000-0900-000007000000}">
      <text>
        <r>
          <rPr>
            <b/>
            <sz val="9"/>
            <color indexed="81"/>
            <rFont val="Tahoma"/>
            <family val="2"/>
          </rPr>
          <t>Es réplica de:
Anexo: ANEXO 8
Índice: 01080007000000
Columna: C</t>
        </r>
      </text>
    </comment>
    <comment ref="C42" authorId="1" shapeId="0" xr:uid="{00000000-0006-0000-0900-000008000000}">
      <text>
        <r>
          <rPr>
            <b/>
            <sz val="9"/>
            <color indexed="81"/>
            <rFont val="Tahoma"/>
            <family val="2"/>
          </rPr>
          <t>Es réplica de:
Anexo: ANEXO 8
Índice: 01080015000000
Columna: C</t>
        </r>
      </text>
    </comment>
    <comment ref="C60" authorId="1" shapeId="0" xr:uid="{00000000-0006-0000-0900-000009000000}">
      <text>
        <r>
          <rPr>
            <b/>
            <sz val="9"/>
            <color indexed="81"/>
            <rFont val="Tahoma"/>
            <family val="2"/>
          </rPr>
          <t>Se replica en:
Anexo: ANEXO 4
Índice: 01040001000000
Columna: C</t>
        </r>
      </text>
    </comment>
    <comment ref="C61" authorId="1" shapeId="0" xr:uid="{00000000-0006-0000-0900-00000A000000}">
      <text>
        <r>
          <rPr>
            <b/>
            <sz val="9"/>
            <color indexed="81"/>
            <rFont val="Tahoma"/>
            <family val="2"/>
          </rPr>
          <t>Se replica en:
Anexo: ANEXO 4
Índice: 01040000000000
Columna: C</t>
        </r>
      </text>
    </comment>
    <comment ref="C74" authorId="1" shapeId="0" xr:uid="{00000000-0006-0000-0900-00000B000000}">
      <text>
        <r>
          <rPr>
            <b/>
            <sz val="9"/>
            <color indexed="81"/>
            <rFont val="Tahoma"/>
            <family val="2"/>
          </rPr>
          <t>Se replica en:
Anexo: ANEXO 1
Índice: 01010136000000
Columna: C,
Anexo: ANEXO 11
Índice: 01110001000000
Columna: C</t>
        </r>
      </text>
    </comment>
    <comment ref="C75" authorId="1" shapeId="0" xr:uid="{00000000-0006-0000-0900-00000C00000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0A00-00000100000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B00-000001000000}">
      <text>
        <r>
          <rPr>
            <b/>
            <sz val="9"/>
            <color indexed="60"/>
            <rFont val="Tahoma"/>
            <family val="2"/>
          </rPr>
          <t>Instrucción: _x000D_
LA INFORMACION DE LOS ESTADOS FINANCIEROS BASICOS, SE PRESENTARÁ DE FORMA COMPARATIVA RESPECTO AL EJERCICIO INMEDIATO ANTERIOR.</t>
        </r>
      </text>
    </comment>
    <comment ref="S2" authorId="0" shapeId="0" xr:uid="{00000000-0006-0000-0B00-00000200000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xr:uid="{00000000-0006-0000-0B00-00000300000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xr:uid="{00000000-0006-0000-0B00-000004000000}">
      <text>
        <r>
          <rPr>
            <b/>
            <sz val="9"/>
            <color indexed="12"/>
            <rFont val="Tahoma"/>
            <family val="2"/>
          </rPr>
          <t>Info TIP: _x000D_
Verificar que se cuente con el o las acta(s) de asamblea correspondientes a estos movimientos de capital</t>
        </r>
      </text>
    </comment>
    <comment ref="B37" authorId="0" shapeId="0" xr:uid="{00000000-0006-0000-0B00-00000500000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xr:uid="{00000000-0006-0000-0B00-000006000000}">
      <text>
        <r>
          <rPr>
            <b/>
            <sz val="9"/>
            <color indexed="81"/>
            <rFont val="Tahoma"/>
            <family val="2"/>
          </rPr>
          <t>Se replica en:
Anexo: ANEXO 1
Índice: 01010130000000
Columna: C</t>
        </r>
      </text>
    </comment>
    <comment ref="D56" authorId="1" shapeId="0" xr:uid="{00000000-0006-0000-0B00-000007000000}">
      <text>
        <r>
          <rPr>
            <b/>
            <sz val="9"/>
            <color indexed="81"/>
            <rFont val="Tahoma"/>
            <family val="2"/>
          </rPr>
          <t>Se replica en:
Anexo: ANEXO 1
Índice: 01010131000000
Columna: C</t>
        </r>
      </text>
    </comment>
    <comment ref="E56" authorId="1" shapeId="0" xr:uid="{00000000-0006-0000-0B00-000008000000}">
      <text>
        <r>
          <rPr>
            <b/>
            <sz val="9"/>
            <color indexed="81"/>
            <rFont val="Tahoma"/>
            <family val="2"/>
          </rPr>
          <t>Se replica en:
Anexo: ANEXO 1
Índice: 01010132000000
Columna: C</t>
        </r>
      </text>
    </comment>
    <comment ref="F56" authorId="1" shapeId="0" xr:uid="{00000000-0006-0000-0B00-000009000000}">
      <text>
        <r>
          <rPr>
            <b/>
            <sz val="9"/>
            <color indexed="81"/>
            <rFont val="Tahoma"/>
            <family val="2"/>
          </rPr>
          <t>Se replica en:
Anexo: ANEXO 1
Índice: 01010133000000
Columna: C</t>
        </r>
      </text>
    </comment>
    <comment ref="G56" authorId="1" shapeId="0" xr:uid="{00000000-0006-0000-0B00-00000A000000}">
      <text>
        <r>
          <rPr>
            <b/>
            <sz val="9"/>
            <color indexed="81"/>
            <rFont val="Tahoma"/>
            <family val="2"/>
          </rPr>
          <t>Se replica en:
Anexo: ANEXO 1
Índice: 01010134000000
Columna: C</t>
        </r>
      </text>
    </comment>
    <comment ref="J56" authorId="1" shapeId="0" xr:uid="{00000000-0006-0000-0B00-00000B000000}">
      <text>
        <r>
          <rPr>
            <b/>
            <sz val="9"/>
            <color indexed="81"/>
            <rFont val="Tahoma"/>
            <family val="2"/>
          </rPr>
          <t>Se replica en:
Anexo: ANEXO 1
Índice: 01010137000000
Columna: C</t>
        </r>
      </text>
    </comment>
    <comment ref="K56" authorId="1" shapeId="0" xr:uid="{00000000-0006-0000-0B00-00000C000000}">
      <text>
        <r>
          <rPr>
            <b/>
            <sz val="9"/>
            <color indexed="81"/>
            <rFont val="Tahoma"/>
            <family val="2"/>
          </rPr>
          <t>Se replica en:
Anexo: ANEXO 1
Índice: 01010138000000
Columna: C</t>
        </r>
      </text>
    </comment>
    <comment ref="P56" authorId="1" shapeId="0" xr:uid="{00000000-0006-0000-0B00-00000D000000}">
      <text>
        <r>
          <rPr>
            <b/>
            <sz val="9"/>
            <color indexed="81"/>
            <rFont val="Tahoma"/>
            <family val="2"/>
          </rPr>
          <t>Se replica en:
Anexo: ANEXO 1
Índice: 01010143000000
Columna: C</t>
        </r>
      </text>
    </comment>
    <comment ref="Q56" authorId="1" shapeId="0" xr:uid="{00000000-0006-0000-0B00-00000E000000}">
      <text>
        <r>
          <rPr>
            <b/>
            <sz val="9"/>
            <color indexed="81"/>
            <rFont val="Tahoma"/>
            <family val="2"/>
          </rPr>
          <t>Se replica en:
Anexo: ANEXO 1
Índice: 01010144000000
Columna: C</t>
        </r>
      </text>
    </comment>
    <comment ref="R56" authorId="1" shapeId="0" xr:uid="{00000000-0006-0000-0B00-00000F000000}">
      <text>
        <r>
          <rPr>
            <b/>
            <sz val="9"/>
            <color indexed="81"/>
            <rFont val="Tahoma"/>
            <family val="2"/>
          </rPr>
          <t>Se replica en:
Anexo: ANEXO 1
Índice: 01010145000000
Columna: C</t>
        </r>
      </text>
    </comment>
    <comment ref="U56" authorId="1" shapeId="0" xr:uid="{00000000-0006-0000-0B00-00001000000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C00-00000100000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xr:uid="{00000000-0006-0000-0C00-000002000000}">
      <text>
        <r>
          <rPr>
            <b/>
            <sz val="9"/>
            <color indexed="12"/>
            <rFont val="Tahoma"/>
            <family val="2"/>
          </rPr>
          <t>Info TIP: _x000D_
Verificar que el saldo de esta cuenta sea congruente con el IVA no cobrado (01010105000000)</t>
        </r>
      </text>
    </comment>
    <comment ref="B22" authorId="0" shapeId="0" xr:uid="{00000000-0006-0000-0C00-000003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xr:uid="{00000000-0006-0000-0C00-00000400000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xr:uid="{00000000-0006-0000-0C00-00000500000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xr:uid="{00000000-0006-0000-0C00-00000600000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xr:uid="{00000000-0006-0000-0C00-00000700000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xr:uid="{00000000-0006-0000-0C00-00000800000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xr:uid="{00000000-0006-0000-0C00-000009000000}">
      <text>
        <r>
          <rPr>
            <b/>
            <sz val="9"/>
            <color indexed="12"/>
            <rFont val="Tahoma"/>
            <family val="2"/>
          </rPr>
          <t>Info TIP: _x000D_
Verificar la congruencia del saldo de esta cuenta con las cuentas por pagar a proveedores y otras cuentas gravadas pendientes de pago.</t>
        </r>
      </text>
    </comment>
    <comment ref="B61" authorId="0" shapeId="0" xr:uid="{00000000-0006-0000-0C00-00000A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xr:uid="{00000000-0006-0000-0C00-00000B00000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xr:uid="{00000000-0006-0000-0C00-00000C00000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xr:uid="{00000000-0006-0000-0C00-00000D00000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xr:uid="{00000000-0006-0000-0C00-00000E00000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xr:uid="{00000000-0006-0000-0C00-00000F000000}">
      <text>
        <r>
          <rPr>
            <b/>
            <sz val="9"/>
            <color indexed="12"/>
            <rFont val="Tahoma"/>
            <family val="2"/>
          </rPr>
          <t>Info TIP: _x000D_
Verificar que el saldo de esta cuenta y otros saldos acreedores gravados sea congruente con el IVA no pagado (01010030000000).</t>
        </r>
      </text>
    </comment>
    <comment ref="A181" authorId="0" shapeId="0" xr:uid="{00000000-0006-0000-0C00-00001000000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1" authorId="0" shapeId="0" xr:uid="{00000000-0006-0000-0C00-000011000000}">
      <text>
        <r>
          <rPr>
            <b/>
            <sz val="9"/>
            <color indexed="12"/>
            <rFont val="Tahoma"/>
            <family val="2"/>
          </rPr>
          <t>Info TIP: _x000D_
Verificar la congruencia del saldo de esta cuenta contra las cuentas por cobrar a clientes y otras cuentas gravadas por este impuesto.</t>
        </r>
      </text>
    </comment>
    <comment ref="B182" authorId="0" shapeId="0" xr:uid="{00000000-0006-0000-0C00-00001200000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3" authorId="0" shapeId="0" xr:uid="{00000000-0006-0000-0C00-000013000000}">
      <text>
        <r>
          <rPr>
            <b/>
            <sz val="9"/>
            <color indexed="12"/>
            <rFont val="Tahoma"/>
            <family val="2"/>
          </rPr>
          <t>Info TIP: _x000D_
Verificar que los saldos de esta cuenta se hayan incluido como ingresos acumulables para efectos de la LISR. Art. 17 Fracción I Inciso c) LISR.</t>
        </r>
      </text>
    </comment>
    <comment ref="B184" authorId="0" shapeId="0" xr:uid="{00000000-0006-0000-0C00-000014000000}">
      <text>
        <r>
          <rPr>
            <b/>
            <sz val="9"/>
            <color indexed="12"/>
            <rFont val="Tahoma"/>
            <family val="2"/>
          </rPr>
          <t>Info TIP: _x000D_
Verificar que los saldos de esta cuenta se hayan incluido como ingresos acumulables para efectos de la LISR. Art. 17 Fracción I Inciso c) LISR.</t>
        </r>
      </text>
    </comment>
    <comment ref="B185" authorId="0" shapeId="0" xr:uid="{00000000-0006-0000-0C00-000015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86" authorId="0" shapeId="0" xr:uid="{00000000-0006-0000-0C00-000016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2" authorId="0" shapeId="0" xr:uid="{00000000-0006-0000-0C00-000017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06" authorId="0" shapeId="0" xr:uid="{00000000-0006-0000-0C00-00001800000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0" authorId="0" shapeId="0" xr:uid="{00000000-0006-0000-0C00-000019000000}">
      <text>
        <r>
          <rPr>
            <b/>
            <sz val="9"/>
            <color indexed="12"/>
            <rFont val="Tahoma"/>
            <family val="2"/>
          </rPr>
          <t>Info TIP: _x000D_
Verificar que el saldo de esta cuenta se haya incluido como ingresos acumulables para efectos de la LISR. Art. 17 Fracción I Inciso c) LISR</t>
        </r>
      </text>
    </comment>
    <comment ref="B223" authorId="0" shapeId="0" xr:uid="{00000000-0006-0000-0C00-00001A00000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23" authorId="1" shapeId="0" xr:uid="{00000000-0006-0000-0C00-00001B000000}">
      <text>
        <r>
          <rPr>
            <b/>
            <sz val="9"/>
            <color indexed="81"/>
            <rFont val="Tahoma"/>
            <family val="2"/>
          </rPr>
          <t>Es réplica de:
Anexo: ANEXO 3
Índice: 01030046000000
Columna: C</t>
        </r>
      </text>
    </comment>
    <comment ref="C224" authorId="1" shapeId="0" xr:uid="{00000000-0006-0000-0C00-00001C000000}">
      <text>
        <r>
          <rPr>
            <b/>
            <sz val="9"/>
            <color indexed="81"/>
            <rFont val="Tahoma"/>
            <family val="2"/>
          </rPr>
          <t>Es réplica de:
Anexo: ANEXO 3
Índice: 01030046000000
Columna: D</t>
        </r>
      </text>
    </comment>
    <comment ref="B225" authorId="0" shapeId="0" xr:uid="{00000000-0006-0000-0C00-00001D00000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25" authorId="1" shapeId="0" xr:uid="{00000000-0006-0000-0C00-00001E000000}">
      <text>
        <r>
          <rPr>
            <b/>
            <sz val="9"/>
            <color indexed="81"/>
            <rFont val="Tahoma"/>
            <family val="2"/>
          </rPr>
          <t>Es réplica de:
Anexo: ANEXO 3
Índice: 01030046000000
Columna: E</t>
        </r>
      </text>
    </comment>
    <comment ref="C226" authorId="1" shapeId="0" xr:uid="{00000000-0006-0000-0C00-00001F000000}">
      <text>
        <r>
          <rPr>
            <b/>
            <sz val="9"/>
            <color indexed="81"/>
            <rFont val="Tahoma"/>
            <family val="2"/>
          </rPr>
          <t>Es réplica de:
Anexo: ANEXO 3
Índice: 01030046000000
Columna: F</t>
        </r>
      </text>
    </comment>
    <comment ref="B227" authorId="0" shapeId="0" xr:uid="{00000000-0006-0000-0C00-00002000000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27" authorId="1" shapeId="0" xr:uid="{00000000-0006-0000-0C00-000021000000}">
      <text>
        <r>
          <rPr>
            <b/>
            <sz val="9"/>
            <color indexed="81"/>
            <rFont val="Tahoma"/>
            <family val="2"/>
          </rPr>
          <t>Es réplica de:
Anexo: ANEXO 3
Índice: 01030046000000
Columna: G</t>
        </r>
      </text>
    </comment>
    <comment ref="C228" authorId="1" shapeId="0" xr:uid="{00000000-0006-0000-0C00-000022000000}">
      <text>
        <r>
          <rPr>
            <b/>
            <sz val="9"/>
            <color indexed="81"/>
            <rFont val="Tahoma"/>
            <family val="2"/>
          </rPr>
          <t>Es réplica de:
Anexo: ANEXO 2
Índice: 01020035000000
Columna: C</t>
        </r>
      </text>
    </comment>
    <comment ref="C229" authorId="1" shapeId="0" xr:uid="{00000000-0006-0000-0C00-000023000000}">
      <text>
        <r>
          <rPr>
            <b/>
            <sz val="9"/>
            <color indexed="81"/>
            <rFont val="Tahoma"/>
            <family val="2"/>
          </rPr>
          <t>Es réplica de:
Anexo: ANEXO 2
Índice: 01020034000000
Columna: C</t>
        </r>
      </text>
    </comment>
    <comment ref="C230" authorId="1" shapeId="0" xr:uid="{00000000-0006-0000-0C00-000024000000}">
      <text>
        <r>
          <rPr>
            <b/>
            <sz val="9"/>
            <color indexed="81"/>
            <rFont val="Tahoma"/>
            <family val="2"/>
          </rPr>
          <t>Es réplica de:
Anexo: ANEXO 3
Índice: 01030046000000
Columna: J</t>
        </r>
      </text>
    </comment>
    <comment ref="C231" authorId="1" shapeId="0" xr:uid="{00000000-0006-0000-0C00-000025000000}">
      <text>
        <r>
          <rPr>
            <b/>
            <sz val="9"/>
            <color indexed="81"/>
            <rFont val="Tahoma"/>
            <family val="2"/>
          </rPr>
          <t>Es réplica de:
Anexo: ANEXO 3
Índice: 01030046000000
Columna: K</t>
        </r>
      </text>
    </comment>
    <comment ref="C236" authorId="1" shapeId="0" xr:uid="{00000000-0006-0000-0C00-000026000000}">
      <text>
        <r>
          <rPr>
            <b/>
            <sz val="9"/>
            <color indexed="81"/>
            <rFont val="Tahoma"/>
            <family val="2"/>
          </rPr>
          <t>Es réplica de:
Anexo: ANEXO 3
Índice: 01030046000000
Columna: P</t>
        </r>
      </text>
    </comment>
    <comment ref="C237" authorId="1" shapeId="0" xr:uid="{00000000-0006-0000-0C00-000027000000}">
      <text>
        <r>
          <rPr>
            <b/>
            <sz val="9"/>
            <color indexed="81"/>
            <rFont val="Tahoma"/>
            <family val="2"/>
          </rPr>
          <t>Es réplica de:
Anexo: ANEXO 3
Índice: 01030046000000
Columna: Q</t>
        </r>
      </text>
    </comment>
    <comment ref="C238" authorId="1" shapeId="0" xr:uid="{00000000-0006-0000-0C00-000028000000}">
      <text>
        <r>
          <rPr>
            <b/>
            <sz val="9"/>
            <color indexed="81"/>
            <rFont val="Tahoma"/>
            <family val="2"/>
          </rPr>
          <t>Es réplica de:
Anexo: ANEXO 3
Índice: 01030046000000
Columna: R</t>
        </r>
      </text>
    </comment>
    <comment ref="C242" authorId="1" shapeId="0" xr:uid="{00000000-0006-0000-0C00-00002900000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0D00-00000100000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xr:uid="{00000000-0006-0000-0D00-00000200000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xr:uid="{00000000-0006-0000-0D00-00000300000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xr:uid="{00000000-0006-0000-0D00-00000400000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xr:uid="{00000000-0006-0000-0D00-00000500000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xr:uid="{00000000-0006-0000-0D00-00000600000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xr:uid="{00000000-0006-0000-0D00-00000700000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xr:uid="{00000000-0006-0000-0D00-00000800000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0E00-00000100000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xr:uid="{00000000-0006-0000-0E00-000002000000}">
      <text>
        <r>
          <rPr>
            <b/>
            <sz val="9"/>
            <color indexed="81"/>
            <rFont val="Tahoma"/>
            <family val="2"/>
          </rPr>
          <t>Es réplica de:
Anexo: ANEXO 2
Índice: 01020029000000
Columna: C</t>
        </r>
      </text>
    </comment>
    <comment ref="C11" authorId="1" shapeId="0" xr:uid="{00000000-0006-0000-0E00-000003000000}">
      <text>
        <r>
          <rPr>
            <b/>
            <sz val="9"/>
            <color indexed="81"/>
            <rFont val="Tahoma"/>
            <family val="2"/>
          </rPr>
          <t>Es réplica de:
Anexo: ANEXO 2
Índice: 01020028000000
Columna: C</t>
        </r>
      </text>
    </comment>
    <comment ref="B47" authorId="0" shapeId="0" xr:uid="{00000000-0006-0000-0E00-00000400000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xr:uid="{00000000-0006-0000-0E00-00000500000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0F00-00000100000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xr:uid="{00000000-0006-0000-0F00-00000200000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xr:uid="{00000000-0006-0000-0F00-00000300000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xr:uid="{00000000-0006-0000-0F00-000004000000}">
      <text>
        <r>
          <rPr>
            <b/>
            <sz val="9"/>
            <color indexed="60"/>
            <rFont val="Tahoma"/>
            <family val="2"/>
          </rPr>
          <t>Instrucción: _x000D_
EN LA COLUMNA “ENAJENACIONES Y/O BAJAS”, SE ANOTARAN LOS SALDOS FISCALES ACTUALIZADOS UTILIZADOS PARA DETERMINAR EL VALOR FISCAL DE LA BAJA.</t>
        </r>
      </text>
    </comment>
    <comment ref="F2" authorId="0" shapeId="0" xr:uid="{00000000-0006-0000-0F00-000005000000}">
      <text>
        <r>
          <rPr>
            <b/>
            <sz val="9"/>
            <color indexed="60"/>
            <rFont val="Tahoma"/>
            <family val="2"/>
          </rPr>
          <t>Instrucción: _x000D_
EN LA COLUMNA “DEDUCCION EN EL EJERCICIO”, SE ANOTARA EL IMPORTE DE LA DEDUCCIÓN DE INVERSIONES APLICADA EN EL EJERCICIO.</t>
        </r>
      </text>
    </comment>
    <comment ref="G2" authorId="0" shapeId="0" xr:uid="{00000000-0006-0000-0F00-00000600000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xr:uid="{00000000-0006-0000-0F00-00000700000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María del Pilar Ubaldo Juárez</author>
    <author>Francisco Garcia</author>
  </authors>
  <commentList>
    <comment ref="C6" authorId="0" shapeId="0" xr:uid="{00000000-0006-0000-1000-000001000000}">
      <text>
        <r>
          <rPr>
            <b/>
            <sz val="9"/>
            <color indexed="81"/>
            <rFont val="Tahoma"/>
            <family val="2"/>
          </rPr>
          <t>Es réplica de:
Anexo: ANEXO 2
Índice: 01020035000000
Columna: C</t>
        </r>
      </text>
    </comment>
    <comment ref="C7" authorId="0" shapeId="0" xr:uid="{00000000-0006-0000-1000-000002000000}">
      <text>
        <r>
          <rPr>
            <b/>
            <sz val="9"/>
            <color indexed="81"/>
            <rFont val="Tahoma"/>
            <family val="2"/>
          </rPr>
          <t>Es réplica de:
Anexo: ANEXO 2
Índice: 01020034000000
Columna: C</t>
        </r>
      </text>
    </comment>
    <comment ref="A11" authorId="1" shapeId="0" xr:uid="{00000000-0006-0000-1000-00000300000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xr:uid="{00000000-0006-0000-1000-000004000000}">
      <text>
        <r>
          <rPr>
            <b/>
            <sz val="9"/>
            <color indexed="81"/>
            <rFont val="Tahoma"/>
            <family val="2"/>
          </rPr>
          <t>Es réplica de:
Anexo: ANEXO 11
Índice: 01110034000000
Columna: C</t>
        </r>
      </text>
    </comment>
    <comment ref="C21" authorId="0" shapeId="0" xr:uid="{00000000-0006-0000-1000-000005000000}">
      <text>
        <r>
          <rPr>
            <b/>
            <sz val="9"/>
            <color indexed="81"/>
            <rFont val="Tahoma"/>
            <family val="2"/>
          </rPr>
          <t>Es réplica de:
Anexo: ANEXO 11
Índice: 01110057000000
Columna: C</t>
        </r>
      </text>
    </comment>
    <comment ref="C24" authorId="0" shapeId="0" xr:uid="{00000000-0006-0000-1000-000006000000}">
      <text>
        <r>
          <rPr>
            <b/>
            <sz val="9"/>
            <color indexed="81"/>
            <rFont val="Tahoma"/>
            <family val="2"/>
          </rPr>
          <t>Es réplica de:
Anexo: ANEXO 11
Índice: 01110087000000
Columna: C</t>
        </r>
      </text>
    </comment>
    <comment ref="C27" authorId="0" shapeId="0" xr:uid="{00000000-0006-0000-1000-000007000000}">
      <text>
        <r>
          <rPr>
            <b/>
            <sz val="9"/>
            <color indexed="81"/>
            <rFont val="Tahoma"/>
            <family val="2"/>
          </rPr>
          <t>Es réplica de:
Anexo: ANEXO 11
Índice: 01110102000000
Columna: C</t>
        </r>
      </text>
    </comment>
    <comment ref="A32" authorId="1" shapeId="0" xr:uid="{00000000-0006-0000-1000-00000800000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xr:uid="{00000000-0006-0000-1000-00000900000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xr:uid="{00000000-0006-0000-1000-00000A00000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xr:uid="{00000000-0006-0000-1000-00000B00000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xr:uid="{00000000-0006-0000-1000-00000C00000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xr:uid="{00000000-0006-0000-1000-00000D000000}">
      <text>
        <r>
          <rPr>
            <b/>
            <sz val="9"/>
            <color indexed="81"/>
            <rFont val="Tahoma"/>
            <family val="2"/>
          </rPr>
          <t>Se replica en:
Anexo: ANEXO 15
Índice: 01150031000000
Columna: C</t>
        </r>
      </text>
    </comment>
    <comment ref="B56" authorId="1" shapeId="0" xr:uid="{00000000-0006-0000-1000-00000E00000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xr:uid="{00000000-0006-0000-1000-00000F000000}">
      <text>
        <r>
          <rPr>
            <b/>
            <sz val="9"/>
            <color indexed="81"/>
            <rFont val="Tahoma"/>
            <family val="2"/>
          </rPr>
          <t>Se replica en:
Anexo: ANEXO 11
Índice: 01110007000000
Columna: C</t>
        </r>
      </text>
    </comment>
    <comment ref="B70" authorId="1" shapeId="0" xr:uid="{00000000-0006-0000-1000-00001000000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xr:uid="{00000000-0006-0000-1000-000011000000}">
      <text>
        <r>
          <rPr>
            <b/>
            <sz val="9"/>
            <color indexed="12"/>
            <rFont val="Tahoma"/>
            <family val="2"/>
          </rPr>
          <t>Info TIP: _x000D_
Utilizar esta celda para incluir las partidas a que se refiere el índice 01060022000000 del anexo 6.</t>
        </r>
      </text>
    </comment>
    <comment ref="B72" authorId="1" shapeId="0" xr:uid="{00000000-0006-0000-1000-000012000000}">
      <text>
        <r>
          <rPr>
            <b/>
            <sz val="9"/>
            <color indexed="12"/>
            <rFont val="Tahoma"/>
            <family val="2"/>
          </rPr>
          <t>Info TIP: _x000D_
Utilizar esta celda para incluir las partidas a que se refieren los índices 01060023000000, 01060024000000 y 01060035000000 del Anexo 6.</t>
        </r>
      </text>
    </comment>
    <comment ref="B73" authorId="1" shapeId="0" xr:uid="{00000000-0006-0000-1000-00001300000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xr:uid="{00000000-0006-0000-1000-00001400000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xr:uid="{00000000-0006-0000-1000-00001500000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xr:uid="{00000000-0006-0000-1000-00001600000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xr:uid="{00000000-0006-0000-1000-000017000000}">
      <text>
        <r>
          <rPr>
            <b/>
            <sz val="9"/>
            <color indexed="81"/>
            <rFont val="Tahoma"/>
            <family val="2"/>
          </rPr>
          <t>Se replica en:
Anexo: ANEXO 11
Índice: 01110008000000
Columna: C</t>
        </r>
      </text>
    </comment>
    <comment ref="B121" authorId="1" shapeId="0" xr:uid="{00000000-0006-0000-1000-00001800000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xr:uid="{00000000-0006-0000-1000-00001900000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xr:uid="{00000000-0006-0000-1000-00001A00000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xr:uid="{00000000-0006-0000-1000-00001B000000}">
      <text>
        <r>
          <rPr>
            <b/>
            <sz val="9"/>
            <color indexed="81"/>
            <rFont val="Tahoma"/>
            <family val="2"/>
          </rPr>
          <t>Se replica en:
Anexo: ANEXO 11
Índice: 01110009000000
Columna: C</t>
        </r>
      </text>
    </comment>
    <comment ref="B146" authorId="1" shapeId="0" xr:uid="{00000000-0006-0000-1000-00001C00000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xr:uid="{00000000-0006-0000-1000-00001D00000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1100-00000100000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xr:uid="{00000000-0006-0000-1100-000002000000}">
      <text>
        <r>
          <rPr>
            <b/>
            <sz val="9"/>
            <color indexed="81"/>
            <rFont val="Tahoma"/>
            <family val="2"/>
          </rPr>
          <t>Es réplica de:
Anexo: ANEXO 2
Índice: 01020000000000
Columna: C</t>
        </r>
      </text>
    </comment>
    <comment ref="C48" authorId="1" shapeId="0" xr:uid="{00000000-0006-0000-1100-00000300000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E2" authorId="0" shapeId="0" xr:uid="{00000000-0006-0000-1200-00000100000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xr:uid="{00000000-0006-0000-1200-00000200000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xr:uid="{00000000-0006-0000-1200-00000300000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xr:uid="{00000000-0006-0000-1200-00000400000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xr:uid="{00000000-0006-0000-1200-00000500000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xr:uid="{00000000-0006-0000-1200-00000600000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xr:uid="{00000000-0006-0000-1200-000007000000}">
      <text>
        <r>
          <rPr>
            <b/>
            <sz val="9"/>
            <color indexed="60"/>
            <rFont val="Tahoma"/>
            <family val="2"/>
          </rPr>
          <t>Instrucción: _x000D_
EL CONTRIBUYENTE LLENARA LOS DATOS CORRESPONDIENTES A LA SUMATORIA DE LOS PAGOS MENSUALES DEFINITIVOS DE ENERO A DICIEMBRE</t>
        </r>
      </text>
    </comment>
    <comment ref="A62" authorId="0" shapeId="0" xr:uid="{00000000-0006-0000-1200-000008000000}">
      <text>
        <r>
          <rPr>
            <b/>
            <sz val="9"/>
            <color indexed="60"/>
            <rFont val="Tahoma"/>
            <family val="2"/>
          </rPr>
          <t>Instrucción: _x000D_
EL CONTRIBUYENTE LLENARA LOS DATOS CORRESPONDIENTES A LA SUMATORIA DE LOS PAGOS MENSUALES DEFINITIVOS DE ENERO A DICIEMBRE</t>
        </r>
      </text>
    </comment>
    <comment ref="A64" authorId="0" shapeId="0" xr:uid="{00000000-0006-0000-1200-000009000000}">
      <text>
        <r>
          <rPr>
            <b/>
            <sz val="9"/>
            <color indexed="60"/>
            <rFont val="Tahoma"/>
            <family val="2"/>
          </rPr>
          <t>Instrucción: _x000D_
EL CONTRIBUYENTE LLENARA LOS DATOS CORRESPONDIENTES A LA SUMATORIA DE LOS PAGOS MENSUALES DEFINITIVOS DE ENERO A DICIEMBRE</t>
        </r>
      </text>
    </comment>
    <comment ref="A66" authorId="0" shapeId="0" xr:uid="{00000000-0006-0000-1200-00000A000000}">
      <text>
        <r>
          <rPr>
            <b/>
            <sz val="9"/>
            <color indexed="60"/>
            <rFont val="Tahoma"/>
            <family val="2"/>
          </rPr>
          <t>Instrucción: _x000D_
EL CONTRIBUYENTE LLENARA LOS DATOS CORRESPONDIENTES A LA SUMATORIA DE LOS PAGOS MENSUALES DEFINITIVOS DE ENERO A DICIEMBRE</t>
        </r>
      </text>
    </comment>
    <comment ref="A68" authorId="0" shapeId="0" xr:uid="{00000000-0006-0000-1200-00000B000000}">
      <text>
        <r>
          <rPr>
            <b/>
            <sz val="9"/>
            <color indexed="60"/>
            <rFont val="Tahoma"/>
            <family val="2"/>
          </rPr>
          <t>Instrucción: _x000D_
EL CONTRIBUYENTE LLENARA LOS DATOS CORRESPONDIENTES A LA SUMATORIA DE LOS PAGOS MENSUALES DEFINITIVOS DE ENERO A DICIEMBRE</t>
        </r>
      </text>
    </comment>
    <comment ref="A70" authorId="0" shapeId="0" xr:uid="{00000000-0006-0000-1200-00000C000000}">
      <text>
        <r>
          <rPr>
            <b/>
            <sz val="9"/>
            <color indexed="60"/>
            <rFont val="Tahoma"/>
            <family val="2"/>
          </rPr>
          <t>Instrucción: _x000D_
EL CONTRIBUYENTE LLENARA LOS DATOS CORRESPONDIENTES A LA SUMATORIA DE LOS PAGOS MENSUALES DEFINITIVOS DE ENERO A DICIEMBRE</t>
        </r>
      </text>
    </comment>
    <comment ref="A71" authorId="0" shapeId="0" xr:uid="{00000000-0006-0000-1200-00000D000000}">
      <text>
        <r>
          <rPr>
            <b/>
            <sz val="9"/>
            <color indexed="60"/>
            <rFont val="Tahoma"/>
            <family val="2"/>
          </rPr>
          <t>Instrucción: _x000D_
EL CONTRIBUYENTE LLENARA LOS DATOS CORRESPONDIENTES A LA SUMATORIA DE LOS PAGOS MENSUALES DEFINITIVOS DE ENERO A DICIEMBRE</t>
        </r>
      </text>
    </comment>
    <comment ref="B71" authorId="0" shapeId="0" xr:uid="{00000000-0006-0000-1200-00000E00000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xr:uid="{00000000-0006-0000-1200-00000F000000}">
      <text>
        <r>
          <rPr>
            <b/>
            <sz val="9"/>
            <color indexed="60"/>
            <rFont val="Tahoma"/>
            <family val="2"/>
          </rPr>
          <t>Instrucción: _x000D_
EL CONTRIBUYENTE LLENARA LOS DATOS CORRESPONDIENTES A LA SUMATORIA DE LOS PAGOS MENSUALES DEFINITIVOS DE ENERO A DICIEMBRE</t>
        </r>
      </text>
    </comment>
    <comment ref="A74" authorId="0" shapeId="0" xr:uid="{00000000-0006-0000-1200-000010000000}">
      <text>
        <r>
          <rPr>
            <b/>
            <sz val="9"/>
            <color indexed="60"/>
            <rFont val="Tahoma"/>
            <family val="2"/>
          </rPr>
          <t>Instrucción: _x000D_
EL CONTRIBUYENTE LLENARA LOS DATOS CORRESPONDIENTES A LA SUMATORIA DE LOS PAGOS MENSUALES DEFINITIVOS DE ENERO A DICIEMBRE</t>
        </r>
      </text>
    </comment>
    <comment ref="A75" authorId="0" shapeId="0" xr:uid="{00000000-0006-0000-1200-000011000000}">
      <text>
        <r>
          <rPr>
            <b/>
            <sz val="9"/>
            <color indexed="60"/>
            <rFont val="Tahoma"/>
            <family val="2"/>
          </rPr>
          <t>Instrucción: _x000D_
EL CONTRIBUYENTE LLENARA LOS DATOS CORRESPONDIENTES A LA SUMATORIA DE LOS PAGOS MENSUALES DEFINITIVOS DE ENERO A DICIEMBRE</t>
        </r>
      </text>
    </comment>
    <comment ref="B80" authorId="0" shapeId="0" xr:uid="{00000000-0006-0000-1200-00001200000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xr:uid="{00000000-0006-0000-1200-000013000000}">
      <text>
        <r>
          <rPr>
            <b/>
            <sz val="9"/>
            <color indexed="60"/>
            <rFont val="Tahoma"/>
            <family val="2"/>
          </rPr>
          <t>Instrucción: _x000D_
EL CONTRIBUYENTE LLENARA LOS DATOS CORRESPONDIENTES A LA SUMATORIA DE LOS PAGOS MENSUALES DEFINITIVOS DE ENERO A DICIEMBRE</t>
        </r>
      </text>
    </comment>
    <comment ref="A86" authorId="0" shapeId="0" xr:uid="{00000000-0006-0000-1200-000014000000}">
      <text>
        <r>
          <rPr>
            <b/>
            <sz val="9"/>
            <color indexed="60"/>
            <rFont val="Tahoma"/>
            <family val="2"/>
          </rPr>
          <t>Instrucción: _x000D_
EL CONTRIBUYENTE LLENARA LOS DATOS CORRESPONDIENTES A LA SUMATORIA DE LOS PAGOS MENSUALES DEFINITIVOS DE ENERO A DICIEMBRE</t>
        </r>
      </text>
    </comment>
    <comment ref="A87" authorId="0" shapeId="0" xr:uid="{00000000-0006-0000-1200-000015000000}">
      <text>
        <r>
          <rPr>
            <b/>
            <sz val="9"/>
            <color indexed="60"/>
            <rFont val="Tahoma"/>
            <family val="2"/>
          </rPr>
          <t>Instrucción: _x000D_
EL CONTRIBUYENTE LLENARA LOS DATOS CORRESPONDIENTES A LA SUMATORIA DE LOS PAGOS MENSUALES DEFINITIVOS DE ENERO A DICIEMBRE</t>
        </r>
      </text>
    </comment>
    <comment ref="A88" authorId="0" shapeId="0" xr:uid="{00000000-0006-0000-1200-000016000000}">
      <text>
        <r>
          <rPr>
            <b/>
            <sz val="9"/>
            <color indexed="60"/>
            <rFont val="Tahoma"/>
            <family val="2"/>
          </rPr>
          <t>Instrucción: _x000D_
EL CONTRIBUYENTE LLENARA LOS DATOS CORRESPONDIENTES A LA SUMATORIA DE LOS PAGOS MENSUALES DEFINITIVOS DE ENERO A DICIEMBRE</t>
        </r>
      </text>
    </comment>
    <comment ref="A89" authorId="0" shapeId="0" xr:uid="{00000000-0006-0000-1200-000017000000}">
      <text>
        <r>
          <rPr>
            <b/>
            <sz val="9"/>
            <color indexed="60"/>
            <rFont val="Tahoma"/>
            <family val="2"/>
          </rPr>
          <t>Instrucción: _x000D_
EL CONTRIBUYENTE LLENARA LOS DATOS CORRESPONDIENTES A LA SUMATORIA DE LOS PAGOS MENSUALES DEFINITIVOS DE ENERO A DICIEMBRE</t>
        </r>
      </text>
    </comment>
    <comment ref="A90" authorId="0" shapeId="0" xr:uid="{00000000-0006-0000-1200-000018000000}">
      <text>
        <r>
          <rPr>
            <b/>
            <sz val="9"/>
            <color indexed="60"/>
            <rFont val="Tahoma"/>
            <family val="2"/>
          </rPr>
          <t>Instrucción: _x000D_
EL CONTRIBUYENTE LLENARA LOS DATOS CORRESPONDIENTES A LA SUMATORIA DE LOS PAGOS MENSUALES DEFINITIVOS DE ENERO A DICIEMBRE</t>
        </r>
      </text>
    </comment>
    <comment ref="A91" authorId="0" shapeId="0" xr:uid="{00000000-0006-0000-1200-000019000000}">
      <text>
        <r>
          <rPr>
            <b/>
            <sz val="9"/>
            <color indexed="60"/>
            <rFont val="Tahoma"/>
            <family val="2"/>
          </rPr>
          <t>Instrucción: _x000D_
EL CONTRIBUYENTE LLENARA LOS DATOS CORRESPONDIENTES A LA SUMATORIA DE LOS PAGOS MENSUALES DEFINITIVOS DE ENERO A DICIEMBRE</t>
        </r>
      </text>
    </comment>
    <comment ref="A92" authorId="0" shapeId="0" xr:uid="{00000000-0006-0000-1200-00001A000000}">
      <text>
        <r>
          <rPr>
            <b/>
            <sz val="9"/>
            <color indexed="60"/>
            <rFont val="Tahoma"/>
            <family val="2"/>
          </rPr>
          <t>Instrucción: _x000D_
EL CONTRIBUYENTE LLENARA LOS DATOS CORRESPONDIENTES A LA SUMATORIA DE LOS PAGOS MENSUALES DEFINITIVOS DE ENERO A DICIEMBRE</t>
        </r>
      </text>
    </comment>
    <comment ref="A93" authorId="0" shapeId="0" xr:uid="{00000000-0006-0000-1200-00001B000000}">
      <text>
        <r>
          <rPr>
            <b/>
            <sz val="9"/>
            <color indexed="60"/>
            <rFont val="Tahoma"/>
            <family val="2"/>
          </rPr>
          <t>Instrucción: _x000D_
EL CONTRIBUYENTE LLENARA LOS DATOS CORRESPONDIENTES A LA SUMATORIA DE LOS PAGOS MENSUALES DEFINITIVOS DE ENERO A DICIEMBRE</t>
        </r>
      </text>
    </comment>
    <comment ref="A94" authorId="0" shapeId="0" xr:uid="{00000000-0006-0000-1200-00001C000000}">
      <text>
        <r>
          <rPr>
            <b/>
            <sz val="9"/>
            <color indexed="60"/>
            <rFont val="Tahoma"/>
            <family val="2"/>
          </rPr>
          <t>Instrucción: _x000D_
EL CONTRIBUYENTE LLENARA LOS DATOS CORRESPONDIENTES A LA SUMATORIA DE LOS PAGOS MENSUALES DEFINITIVOS DE ENERO A DICIEMBRE</t>
        </r>
      </text>
    </comment>
    <comment ref="A95" authorId="0" shapeId="0" xr:uid="{00000000-0006-0000-1200-00001D000000}">
      <text>
        <r>
          <rPr>
            <b/>
            <sz val="9"/>
            <color indexed="60"/>
            <rFont val="Tahoma"/>
            <family val="2"/>
          </rPr>
          <t>Instrucción: _x000D_
EL CONTRIBUYENTE LLENARA LOS DATOS CORRESPONDIENTES A LA SUMATORIA DE LOS PAGOS MENSUALES DEFINITIVOS DE ENERO A DICIEMBRE</t>
        </r>
      </text>
    </comment>
    <comment ref="A97" authorId="0" shapeId="0" xr:uid="{00000000-0006-0000-1200-00001E000000}">
      <text>
        <r>
          <rPr>
            <b/>
            <sz val="9"/>
            <color indexed="60"/>
            <rFont val="Tahoma"/>
            <family val="2"/>
          </rPr>
          <t>Instrucción: _x000D_
EL CONTRIBUYENTE LLENARA LOS DATOS CORRESPONDIENTES A LA SUMATORIA DE LOS PAGOS MENSUALES DEFINITIVOS DE ENERO A DICIEMBRE</t>
        </r>
      </text>
    </comment>
    <comment ref="A99" authorId="0" shapeId="0" xr:uid="{00000000-0006-0000-1200-00001F000000}">
      <text>
        <r>
          <rPr>
            <b/>
            <sz val="9"/>
            <color indexed="60"/>
            <rFont val="Tahoma"/>
            <family val="2"/>
          </rPr>
          <t>Instrucción: _x000D_
EL CONTRIBUYENTE LLENARA LOS DATOS CORRESPONDIENTES A LA SUMATORIA DE LOS PAGOS MENSUALES DEFINITIVOS DE ENERO A DICIEMBRE</t>
        </r>
      </text>
    </comment>
    <comment ref="A101" authorId="0" shapeId="0" xr:uid="{00000000-0006-0000-1200-000020000000}">
      <text>
        <r>
          <rPr>
            <b/>
            <sz val="9"/>
            <color indexed="60"/>
            <rFont val="Tahoma"/>
            <family val="2"/>
          </rPr>
          <t>Instrucción: _x000D_
EL CONTRIBUYENTE LLENARA LOS DATOS CORRESPONDIENTES A LA SUMATORIA DE LOS PAGOS MENSUALES DEFINITIVOS DE ENERO A DICIEMBRE</t>
        </r>
      </text>
    </comment>
    <comment ref="A104" authorId="0" shapeId="0" xr:uid="{00000000-0006-0000-1200-000021000000}">
      <text>
        <r>
          <rPr>
            <b/>
            <sz val="9"/>
            <color indexed="60"/>
            <rFont val="Tahoma"/>
            <family val="2"/>
          </rPr>
          <t>Instrucción: _x000D_
EL CONTRIBUYENTE LLENARA LOS DATOS CORRESPONDIENTES A LA SUMATORIA DE LOS PAGOS MENSUALES DEFINITIVOS DE ENERO A DICIEMBRE</t>
        </r>
      </text>
    </comment>
    <comment ref="A106" authorId="0" shapeId="0" xr:uid="{00000000-0006-0000-1200-000022000000}">
      <text>
        <r>
          <rPr>
            <b/>
            <sz val="9"/>
            <color indexed="60"/>
            <rFont val="Tahoma"/>
            <family val="2"/>
          </rPr>
          <t>Instrucción: _x000D_
EL CONTRIBUYENTE LLENARA LOS DATOS CORRESPONDIENTES A LA SUMATORIA DE LOS PAGOS MENSUALES DEFINITIVOS DE ENERO A DICIEMBRE</t>
        </r>
      </text>
    </comment>
    <comment ref="A107" authorId="0" shapeId="0" xr:uid="{00000000-0006-0000-1200-000023000000}">
      <text>
        <r>
          <rPr>
            <b/>
            <sz val="9"/>
            <color indexed="60"/>
            <rFont val="Tahoma"/>
            <family val="2"/>
          </rPr>
          <t>Instrucción: _x000D_
EL CONTRIBUYENTE LLENARA LOS DATOS CORRESPONDIENTES A LA SUMATORIA DE LOS PAGOS MENSUALES DEFINITIVOS DE ENERO A DICIEMBRE</t>
        </r>
      </text>
    </comment>
    <comment ref="A108" authorId="0" shapeId="0" xr:uid="{00000000-0006-0000-1200-000024000000}">
      <text>
        <r>
          <rPr>
            <b/>
            <sz val="9"/>
            <color indexed="60"/>
            <rFont val="Tahoma"/>
            <family val="2"/>
          </rPr>
          <t>Instrucción: _x000D_
EL CONTRIBUYENTE LLENARA LOS DATOS CORRESPONDIENTES A LA SUMATORIA DE LOS PAGOS MENSUALES DEFINITIVOS DE ENERO A DICIEMBRE</t>
        </r>
      </text>
    </comment>
    <comment ref="A109" authorId="0" shapeId="0" xr:uid="{00000000-0006-0000-1200-000025000000}">
      <text>
        <r>
          <rPr>
            <b/>
            <sz val="9"/>
            <color indexed="60"/>
            <rFont val="Tahoma"/>
            <family val="2"/>
          </rPr>
          <t>Instrucción: _x000D_
EL CONTRIBUYENTE LLENARA LOS DATOS CORRESPONDIENTES A LA SUMATORIA DE LOS PAGOS MENSUALES DEFINITIVOS DE ENERO A DICIEMBRE</t>
        </r>
      </text>
    </comment>
    <comment ref="A111" authorId="0" shapeId="0" xr:uid="{00000000-0006-0000-1200-000026000000}">
      <text>
        <r>
          <rPr>
            <b/>
            <sz val="9"/>
            <color indexed="60"/>
            <rFont val="Tahoma"/>
            <family val="2"/>
          </rPr>
          <t>Instrucción: _x000D_
EL CONTRIBUYENTE LLENARA LOS DATOS CORRESPONDIENTES A LA SUMATORIA DE LOS PAGOS MENSUALES DEFINITIVOS DE ENERO A DICIEMBRE</t>
        </r>
      </text>
    </comment>
    <comment ref="A112" authorId="0" shapeId="0" xr:uid="{00000000-0006-0000-1200-000027000000}">
      <text>
        <r>
          <rPr>
            <b/>
            <sz val="9"/>
            <color indexed="60"/>
            <rFont val="Tahoma"/>
            <family val="2"/>
          </rPr>
          <t>Instrucción: _x000D_
EL CONTRIBUYENTE LLENARA LOS DATOS CORRESPONDIENTES A LA SUMATORIA DE LOS PAGOS MENSUALES DEFINITIVOS DE ENERO A DICIEMBRE</t>
        </r>
      </text>
    </comment>
    <comment ref="A113" authorId="0" shapeId="0" xr:uid="{00000000-0006-0000-1200-000028000000}">
      <text>
        <r>
          <rPr>
            <b/>
            <sz val="9"/>
            <color indexed="60"/>
            <rFont val="Tahoma"/>
            <family val="2"/>
          </rPr>
          <t>Instrucción: _x000D_
EL CONTRIBUYENTE LLENARA LOS DATOS CORRESPONDIENTES A LA SUMATORIA DE LOS PAGOS MENSUALES DEFINITIVOS DE ENERO A DICIEMBRE</t>
        </r>
      </text>
    </comment>
    <comment ref="A114" authorId="0" shapeId="0" xr:uid="{00000000-0006-0000-1200-000029000000}">
      <text>
        <r>
          <rPr>
            <b/>
            <sz val="9"/>
            <color indexed="60"/>
            <rFont val="Tahoma"/>
            <family val="2"/>
          </rPr>
          <t>Instrucción: _x000D_
EL CONTRIBUYENTE LLENARA LOS DATOS CORRESPONDIENTES A LA SUMATORIA DE LOS PAGOS MENSUALES DEFINITIVOS DE ENERO A DICIEMBRE</t>
        </r>
      </text>
    </comment>
    <comment ref="A115" authorId="0" shapeId="0" xr:uid="{00000000-0006-0000-1200-00002A000000}">
      <text>
        <r>
          <rPr>
            <b/>
            <sz val="9"/>
            <color indexed="60"/>
            <rFont val="Tahoma"/>
            <family val="2"/>
          </rPr>
          <t>Instrucción: _x000D_
EL CONTRIBUYENTE LLENARA LOS DATOS CORRESPONDIENTES A LA SUMATORIA DE LOS PAGOS MENSUALES DEFINITIVOS DE ENERO A DICIEMBRE</t>
        </r>
      </text>
    </comment>
    <comment ref="A116" authorId="0" shapeId="0" xr:uid="{00000000-0006-0000-1200-00002B000000}">
      <text>
        <r>
          <rPr>
            <b/>
            <sz val="9"/>
            <color indexed="60"/>
            <rFont val="Tahoma"/>
            <family val="2"/>
          </rPr>
          <t>Instrucción: _x000D_
EL CONTRIBUYENTE LLENARA LOS DATOS CORRESPONDIENTES A LA SUMATORIA DE LOS PAGOS MENSUALES DEFINITIVOS DE ENERO A DICIEMBRE</t>
        </r>
      </text>
    </comment>
    <comment ref="A117" authorId="0" shapeId="0" xr:uid="{00000000-0006-0000-1200-00002C000000}">
      <text>
        <r>
          <rPr>
            <b/>
            <sz val="9"/>
            <color indexed="60"/>
            <rFont val="Tahoma"/>
            <family val="2"/>
          </rPr>
          <t>Instrucción: _x000D_
EL CONTRIBUYENTE LLENARA LOS DATOS CORRESPONDIENTES A LA SUMATORIA DE LOS PAGOS MENSUALES DEFINITIVOS DE ENERO A DICIEMBRE</t>
        </r>
      </text>
    </comment>
    <comment ref="A118" authorId="0" shapeId="0" xr:uid="{00000000-0006-0000-1200-00002D000000}">
      <text>
        <r>
          <rPr>
            <b/>
            <sz val="9"/>
            <color indexed="60"/>
            <rFont val="Tahoma"/>
            <family val="2"/>
          </rPr>
          <t>Instrucción: _x000D_
EL CONTRIBUYENTE LLENARA LOS DATOS CORRESPONDIENTES A LA SUMATORIA DE LOS PAGOS MENSUALES DEFINITIVOS DE ENERO A DICIEMBRE</t>
        </r>
      </text>
    </comment>
    <comment ref="A119" authorId="0" shapeId="0" xr:uid="{00000000-0006-0000-1200-00002E000000}">
      <text>
        <r>
          <rPr>
            <b/>
            <sz val="9"/>
            <color indexed="60"/>
            <rFont val="Tahoma"/>
            <family val="2"/>
          </rPr>
          <t>Instrucción: _x000D_
EL CONTRIBUYENTE LLENARA LOS DATOS CORRESPONDIENTES A LA SUMATORIA DE LOS PAGOS MENSUALES DEFINITIVOS DE ENERO A DICIEMBRE</t>
        </r>
      </text>
    </comment>
    <comment ref="A121" authorId="0" shapeId="0" xr:uid="{00000000-0006-0000-1200-00002F000000}">
      <text>
        <r>
          <rPr>
            <b/>
            <sz val="9"/>
            <color indexed="60"/>
            <rFont val="Tahoma"/>
            <family val="2"/>
          </rPr>
          <t>Instrucción: _x000D_
EL CONTRIBUYENTE LLENARA LOS DATOS CORRESPONDIENTES A LA SUMATORIA DE LOS PAGOS MENSUALES DEFINITIVOS DE ENERO A DICIEMBRE</t>
        </r>
      </text>
    </comment>
    <comment ref="A122" authorId="0" shapeId="0" xr:uid="{00000000-0006-0000-1200-000030000000}">
      <text>
        <r>
          <rPr>
            <b/>
            <sz val="9"/>
            <color indexed="60"/>
            <rFont val="Tahoma"/>
            <family val="2"/>
          </rPr>
          <t>Instrucción: _x000D_
EL CONTRIBUYENTE LLENARA LOS DATOS CORRESPONDIENTES A LA SUMATORIA DE LOS PAGOS MENSUALES DEFINITIVOS DE ENERO A DICIEMBRE</t>
        </r>
      </text>
    </comment>
    <comment ref="A123" authorId="0" shapeId="0" xr:uid="{00000000-0006-0000-1200-000031000000}">
      <text>
        <r>
          <rPr>
            <b/>
            <sz val="9"/>
            <color indexed="60"/>
            <rFont val="Tahoma"/>
            <family val="2"/>
          </rPr>
          <t>Instrucción: _x000D_
EL CONTRIBUYENTE LLENARA LOS DATOS CORRESPONDIENTES A LA SUMATORIA DE LOS PAGOS MENSUALES DEFINITIVOS DE ENERO A DICIEMBRE</t>
        </r>
      </text>
    </comment>
    <comment ref="A124" authorId="0" shapeId="0" xr:uid="{00000000-0006-0000-1200-000032000000}">
      <text>
        <r>
          <rPr>
            <b/>
            <sz val="9"/>
            <color indexed="60"/>
            <rFont val="Tahoma"/>
            <family val="2"/>
          </rPr>
          <t>Instrucción: _x000D_
EL CONTRIBUYENTE LLENARA LOS DATOS CORRESPONDIENTES A LA SUMATORIA DE LOS PAGOS MENSUALES DEFINITIVOS DE ENERO A DICIEMBRE</t>
        </r>
      </text>
    </comment>
    <comment ref="A125" authorId="0" shapeId="0" xr:uid="{00000000-0006-0000-1200-000033000000}">
      <text>
        <r>
          <rPr>
            <b/>
            <sz val="9"/>
            <color indexed="60"/>
            <rFont val="Tahoma"/>
            <family val="2"/>
          </rPr>
          <t>Instrucción: _x000D_
EL CONTRIBUYENTE LLENARA LOS DATOS CORRESPONDIENTES A LA SUMATORIA DE LOS PAGOS MENSUALES DEFINITIVOS DE ENERO A DICIEMBRE</t>
        </r>
      </text>
    </comment>
    <comment ref="A126" authorId="0" shapeId="0" xr:uid="{00000000-0006-0000-1200-000034000000}">
      <text>
        <r>
          <rPr>
            <b/>
            <sz val="9"/>
            <color indexed="60"/>
            <rFont val="Tahoma"/>
            <family val="2"/>
          </rPr>
          <t>Instrucción: _x000D_
EL CONTRIBUYENTE LLENARA LOS DATOS CORRESPONDIENTES A LA SUMATORIA DE LOS PAGOS MENSUALES DEFINITIVOS DE ENERO A DICIEMBRE</t>
        </r>
      </text>
    </comment>
    <comment ref="A127" authorId="0" shapeId="0" xr:uid="{00000000-0006-0000-1200-000035000000}">
      <text>
        <r>
          <rPr>
            <b/>
            <sz val="9"/>
            <color indexed="60"/>
            <rFont val="Tahoma"/>
            <family val="2"/>
          </rPr>
          <t>Instrucción: _x000D_
EL CONTRIBUYENTE LLENARA LOS DATOS CORRESPONDIENTES A LA SUMATORIA DE LOS PAGOS MENSUALES DEFINITIVOS DE ENERO A DICIEMBRE</t>
        </r>
      </text>
    </comment>
    <comment ref="A128" authorId="0" shapeId="0" xr:uid="{00000000-0006-0000-1200-000036000000}">
      <text>
        <r>
          <rPr>
            <b/>
            <sz val="9"/>
            <color indexed="60"/>
            <rFont val="Tahoma"/>
            <family val="2"/>
          </rPr>
          <t>Instrucción: _x000D_
EL CONTRIBUYENTE LLENARA LOS DATOS CORRESPONDIENTES A LA SUMATORIA DE LOS PAGOS MENSUALES DEFINITIVOS DE ENERO A DICIEMBRE</t>
        </r>
      </text>
    </comment>
    <comment ref="A129" authorId="0" shapeId="0" xr:uid="{00000000-0006-0000-1200-000037000000}">
      <text>
        <r>
          <rPr>
            <b/>
            <sz val="9"/>
            <color indexed="60"/>
            <rFont val="Tahoma"/>
            <family val="2"/>
          </rPr>
          <t>Instrucción: _x000D_
EL CONTRIBUYENTE LLENARA LOS DATOS CORRESPONDIENTES A LA SUMATORIA DE LOS PAGOS MENSUALES DEFINITIVOS DE ENERO A DICIEMBRE</t>
        </r>
      </text>
    </comment>
    <comment ref="A130" authorId="0" shapeId="0" xr:uid="{00000000-0006-0000-1200-000038000000}">
      <text>
        <r>
          <rPr>
            <b/>
            <sz val="9"/>
            <color indexed="60"/>
            <rFont val="Tahoma"/>
            <family val="2"/>
          </rPr>
          <t>Instrucción: _x000D_
EL CONTRIBUYENTE LLENARA LOS DATOS CORRESPONDIENTES A LA SUMATORIA DE LOS PAGOS MENSUALES DEFINITIVOS DE ENERO A DICIEMBRE</t>
        </r>
      </text>
    </comment>
    <comment ref="A132" authorId="0" shapeId="0" xr:uid="{00000000-0006-0000-1200-000039000000}">
      <text>
        <r>
          <rPr>
            <b/>
            <sz val="9"/>
            <color indexed="60"/>
            <rFont val="Tahoma"/>
            <family val="2"/>
          </rPr>
          <t>Instrucción: _x000D_
EL CONTRIBUYENTE LLENARA LOS DATOS CORRESPONDIENTES A LA SUMATORIA DE LOS PAGOS MENSUALES DEFINITIVOS DE ENERO A DICIEMBRE</t>
        </r>
      </text>
    </comment>
    <comment ref="A134" authorId="0" shapeId="0" xr:uid="{00000000-0006-0000-1200-00003A000000}">
      <text>
        <r>
          <rPr>
            <b/>
            <sz val="9"/>
            <color indexed="60"/>
            <rFont val="Tahoma"/>
            <family val="2"/>
          </rPr>
          <t>Instrucción: _x000D_
EL CONTRIBUYENTE LLENARA LOS DATOS CORRESPONDIENTES A LA SUMATORIA DE LOS PAGOS MENSUALES DEFINITIVOS DE ENERO A DICIEMBRE</t>
        </r>
      </text>
    </comment>
    <comment ref="A135" authorId="0" shapeId="0" xr:uid="{00000000-0006-0000-1200-00003B000000}">
      <text>
        <r>
          <rPr>
            <b/>
            <sz val="9"/>
            <color indexed="60"/>
            <rFont val="Tahoma"/>
            <family val="2"/>
          </rPr>
          <t>Instrucción: _x000D_
EL CONTRIBUYENTE LLENARA LOS DATOS CORRESPONDIENTES A LA SUMATORIA DE LOS PAGOS MENSUALES DEFINITIVOS DE ENERO A DICIEMBRE</t>
        </r>
      </text>
    </comment>
    <comment ref="A136" authorId="0" shapeId="0" xr:uid="{00000000-0006-0000-1200-00003C000000}">
      <text>
        <r>
          <rPr>
            <b/>
            <sz val="9"/>
            <color indexed="60"/>
            <rFont val="Tahoma"/>
            <family val="2"/>
          </rPr>
          <t>Instrucción: _x000D_
EL CONTRIBUYENTE LLENARA LOS DATOS CORRESPONDIENTES A LA SUMATORIA DE LOS PAGOS MENSUALES DEFINITIVOS DE ENERO A DICIEMBRE</t>
        </r>
      </text>
    </comment>
    <comment ref="A137" authorId="0" shapeId="0" xr:uid="{00000000-0006-0000-1200-00003D000000}">
      <text>
        <r>
          <rPr>
            <b/>
            <sz val="9"/>
            <color indexed="60"/>
            <rFont val="Tahoma"/>
            <family val="2"/>
          </rPr>
          <t>Instrucción: _x000D_
EL CONTRIBUYENTE LLENARA LOS DATOS CORRESPONDIENTES A LA SUMATORIA DE LOS PAGOS MENSUALES DEFINITIVOS DE ENERO A DICIEMBRE</t>
        </r>
      </text>
    </comment>
    <comment ref="A138" authorId="0" shapeId="0" xr:uid="{00000000-0006-0000-1200-00003E000000}">
      <text>
        <r>
          <rPr>
            <b/>
            <sz val="9"/>
            <color indexed="60"/>
            <rFont val="Tahoma"/>
            <family val="2"/>
          </rPr>
          <t>Instrucción: _x000D_
EL CONTRIBUYENTE LLENARA LOS DATOS CORRESPONDIENTES A LA SUMATORIA DE LOS PAGOS MENSUALES DEFINITIVOS DE ENERO A DICIEMBRE</t>
        </r>
      </text>
    </comment>
    <comment ref="A139" authorId="0" shapeId="0" xr:uid="{00000000-0006-0000-1200-00003F000000}">
      <text>
        <r>
          <rPr>
            <b/>
            <sz val="9"/>
            <color indexed="60"/>
            <rFont val="Tahoma"/>
            <family val="2"/>
          </rPr>
          <t>Instrucción: _x000D_
EL CONTRIBUYENTE LLENARA LOS DATOS CORRESPONDIENTES A LA SUMATORIA DE LOS PAGOS MENSUALES DEFINITIVOS DE ENERO A DICIEMBRE</t>
        </r>
      </text>
    </comment>
    <comment ref="A140" authorId="0" shapeId="0" xr:uid="{00000000-0006-0000-1200-000040000000}">
      <text>
        <r>
          <rPr>
            <b/>
            <sz val="9"/>
            <color indexed="60"/>
            <rFont val="Tahoma"/>
            <family val="2"/>
          </rPr>
          <t>Instrucción: _x000D_
EL CONTRIBUYENTE LLENARA LOS DATOS CORRESPONDIENTES A LA SUMATORIA DE LOS PAGOS MENSUALES DEFINITIVOS DE ENERO A DICIEMBRE</t>
        </r>
      </text>
    </comment>
    <comment ref="A141" authorId="0" shapeId="0" xr:uid="{00000000-0006-0000-1200-000041000000}">
      <text>
        <r>
          <rPr>
            <b/>
            <sz val="9"/>
            <color indexed="60"/>
            <rFont val="Tahoma"/>
            <family val="2"/>
          </rPr>
          <t>Instrucción: _x000D_
EL CONTRIBUYENTE LLENARA LOS DATOS CORRESPONDIENTES A LA SUMATORIA DE LOS PAGOS MENSUALES DEFINITIVOS DE ENERO A DICIEMBRE</t>
        </r>
      </text>
    </comment>
    <comment ref="A143" authorId="0" shapeId="0" xr:uid="{00000000-0006-0000-1200-000042000000}">
      <text>
        <r>
          <rPr>
            <b/>
            <sz val="9"/>
            <color indexed="60"/>
            <rFont val="Tahoma"/>
            <family val="2"/>
          </rPr>
          <t>Instrucción: _x000D_
EL CONTRIBUYENTE LLENARA LOS DATOS CORRESPONDIENTES A LA SUMATORIA DE LOS PAGOS MENSUALES DEFINITIVOS DE ENERO A DICIEMBRE</t>
        </r>
      </text>
    </comment>
    <comment ref="A145" authorId="0" shapeId="0" xr:uid="{00000000-0006-0000-1200-000043000000}">
      <text>
        <r>
          <rPr>
            <b/>
            <sz val="9"/>
            <color indexed="60"/>
            <rFont val="Tahoma"/>
            <family val="2"/>
          </rPr>
          <t>Instrucción: _x000D_
EL CONTRIBUYENTE LLENARA LOS DATOS CORRESPONDIENTES A LA SUMATORIA DE LOS PAGOS MENSUALES DEFINITIVOS DE ENERO A DICIEMBRE</t>
        </r>
      </text>
    </comment>
    <comment ref="A147" authorId="0" shapeId="0" xr:uid="{00000000-0006-0000-1200-000044000000}">
      <text>
        <r>
          <rPr>
            <b/>
            <sz val="9"/>
            <color indexed="60"/>
            <rFont val="Tahoma"/>
            <family val="2"/>
          </rPr>
          <t>Instrucción: _x000D_
EL CONTRIBUYENTE LLENARA LOS DATOS CORRESPONDIENTES A LA SUMATORIA DE LOS PAGOS MENSUALES DEFINITIVOS DE ENERO A DICIEMBRE</t>
        </r>
      </text>
    </comment>
    <comment ref="A148" authorId="0" shapeId="0" xr:uid="{00000000-0006-0000-1200-000045000000}">
      <text>
        <r>
          <rPr>
            <b/>
            <sz val="9"/>
            <color indexed="60"/>
            <rFont val="Tahoma"/>
            <family val="2"/>
          </rPr>
          <t>Instrucción: _x000D_
EL CONTRIBUYENTE LLENARA LOS DATOS CORRESPONDIENTES A LA SUMATORIA DE LOS PAGOS MENSUALES DEFINITIVOS DE ENERO A DICIEMBRE</t>
        </r>
      </text>
    </comment>
    <comment ref="A149" authorId="0" shapeId="0" xr:uid="{00000000-0006-0000-1200-000046000000}">
      <text>
        <r>
          <rPr>
            <b/>
            <sz val="9"/>
            <color indexed="60"/>
            <rFont val="Tahoma"/>
            <family val="2"/>
          </rPr>
          <t>Instrucción: _x000D_
EL CONTRIBUYENTE LLENARA LOS DATOS CORRESPONDIENTES A LA SUMATORIA DE LOS PAGOS MENSUALES DEFINITIVOS DE ENERO A DICIEMBRE</t>
        </r>
      </text>
    </comment>
    <comment ref="A150" authorId="0" shapeId="0" xr:uid="{00000000-0006-0000-1200-000047000000}">
      <text>
        <r>
          <rPr>
            <b/>
            <sz val="9"/>
            <color indexed="60"/>
            <rFont val="Tahoma"/>
            <family val="2"/>
          </rPr>
          <t>Instrucción: _x000D_
EL CONTRIBUYENTE LLENARA LOS DATOS CORRESPONDIENTES A LA SUMATORIA DE LOS PAGOS MENSUALES DEFINITIVOS DE ENERO A DICIEMBRE</t>
        </r>
      </text>
    </comment>
    <comment ref="A152" authorId="0" shapeId="0" xr:uid="{00000000-0006-0000-1200-000048000000}">
      <text>
        <r>
          <rPr>
            <b/>
            <sz val="9"/>
            <color indexed="60"/>
            <rFont val="Tahoma"/>
            <family val="2"/>
          </rPr>
          <t>Instrucción: _x000D_
EL CONTRIBUYENTE LLENARA LOS DATOS CORRESPONDIENTES A LA SUMATORIA DE LOS PAGOS MENSUALES DEFINITIVOS DE ENERO A DICIEMBRE</t>
        </r>
      </text>
    </comment>
    <comment ref="A153" authorId="0" shapeId="0" xr:uid="{00000000-0006-0000-1200-000049000000}">
      <text>
        <r>
          <rPr>
            <b/>
            <sz val="9"/>
            <color indexed="60"/>
            <rFont val="Tahoma"/>
            <family val="2"/>
          </rPr>
          <t>Instrucción: _x000D_
EL CONTRIBUYENTE LLENARA LOS DATOS CORRESPONDIENTES A LA SUMATORIA DE LOS PAGOS MENSUALES DEFINITIVOS DE ENERO A DICIEMBRE</t>
        </r>
      </text>
    </comment>
    <comment ref="A154" authorId="0" shapeId="0" xr:uid="{00000000-0006-0000-1200-00004A000000}">
      <text>
        <r>
          <rPr>
            <b/>
            <sz val="9"/>
            <color indexed="60"/>
            <rFont val="Tahoma"/>
            <family val="2"/>
          </rPr>
          <t>Instrucción: _x000D_
EL CONTRIBUYENTE LLENARA LOS DATOS CORRESPONDIENTES A LA SUMATORIA DE LOS PAGOS MENSUALES DEFINITIVOS DE ENERO A DICIEMBRE</t>
        </r>
      </text>
    </comment>
    <comment ref="A155" authorId="0" shapeId="0" xr:uid="{00000000-0006-0000-1200-00004B000000}">
      <text>
        <r>
          <rPr>
            <b/>
            <sz val="9"/>
            <color indexed="60"/>
            <rFont val="Tahoma"/>
            <family val="2"/>
          </rPr>
          <t>Instrucción: _x000D_
EL CONTRIBUYENTE LLENARA LOS DATOS CORRESPONDIENTES A LA SUMATORIA DE LOS PAGOS MENSUALES DEFINITIVOS DE ENERO A DICIEMBRE</t>
        </r>
      </text>
    </comment>
    <comment ref="A156" authorId="0" shapeId="0" xr:uid="{00000000-0006-0000-1200-00004C000000}">
      <text>
        <r>
          <rPr>
            <b/>
            <sz val="9"/>
            <color indexed="60"/>
            <rFont val="Tahoma"/>
            <family val="2"/>
          </rPr>
          <t>Instrucción: _x000D_
EL CONTRIBUYENTE LLENARA LOS DATOS CORRESPONDIENTES A LA SUMATORIA DE LOS PAGOS MENSUALES DEFINITIVOS DE ENERO A DICIEMBRE</t>
        </r>
      </text>
    </comment>
    <comment ref="A157" authorId="0" shapeId="0" xr:uid="{00000000-0006-0000-1200-00004D000000}">
      <text>
        <r>
          <rPr>
            <b/>
            <sz val="9"/>
            <color indexed="60"/>
            <rFont val="Tahoma"/>
            <family val="2"/>
          </rPr>
          <t>Instrucción: _x000D_
EL CONTRIBUYENTE LLENARA LOS DATOS CORRESPONDIENTES A LA SUMATORIA DE LOS PAGOS MENSUALES DEFINITIVOS DE ENERO A DICIEMBRE</t>
        </r>
      </text>
    </comment>
    <comment ref="A158" authorId="0" shapeId="0" xr:uid="{00000000-0006-0000-1200-00004E000000}">
      <text>
        <r>
          <rPr>
            <b/>
            <sz val="9"/>
            <color indexed="60"/>
            <rFont val="Tahoma"/>
            <family val="2"/>
          </rPr>
          <t>Instrucción: _x000D_
EL CONTRIBUYENTE LLENARA LOS DATOS CORRESPONDIENTES A LA SUMATORIA DE LOS PAGOS MENSUALES DEFINITIVOS DE ENERO A DICIEMBRE</t>
        </r>
      </text>
    </comment>
    <comment ref="A159" authorId="0" shapeId="0" xr:uid="{00000000-0006-0000-1200-00004F000000}">
      <text>
        <r>
          <rPr>
            <b/>
            <sz val="9"/>
            <color indexed="60"/>
            <rFont val="Tahoma"/>
            <family val="2"/>
          </rPr>
          <t>Instrucción: _x000D_
EL CONTRIBUYENTE LLENARA LOS DATOS CORRESPONDIENTES A LA SUMATORIA DE LOS PAGOS MENSUALES DEFINITIVOS DE ENERO A DICIEMBRE</t>
        </r>
      </text>
    </comment>
    <comment ref="A160" authorId="0" shapeId="0" xr:uid="{00000000-0006-0000-1200-000050000000}">
      <text>
        <r>
          <rPr>
            <b/>
            <sz val="9"/>
            <color indexed="60"/>
            <rFont val="Tahoma"/>
            <family val="2"/>
          </rPr>
          <t>Instrucción: _x000D_
EL CONTRIBUYENTE LLENARA LOS DATOS CORRESPONDIENTES A LA SUMATORIA DE LOS PAGOS MENSUALES DEFINITIVOS DE ENERO A DICIEMBRE</t>
        </r>
      </text>
    </comment>
    <comment ref="A162" authorId="0" shapeId="0" xr:uid="{00000000-0006-0000-1200-000051000000}">
      <text>
        <r>
          <rPr>
            <b/>
            <sz val="9"/>
            <color indexed="60"/>
            <rFont val="Tahoma"/>
            <family val="2"/>
          </rPr>
          <t>Instrucción: _x000D_
EL CONTRIBUYENTE LLENARA LOS DATOS CORRESPONDIENTES A LA SUMATORIA DE LOS PAGOS MENSUALES DEFINITIVOS DE ENERO A DICIEMBRE</t>
        </r>
      </text>
    </comment>
    <comment ref="A163" authorId="0" shapeId="0" xr:uid="{00000000-0006-0000-1200-000052000000}">
      <text>
        <r>
          <rPr>
            <b/>
            <sz val="9"/>
            <color indexed="60"/>
            <rFont val="Tahoma"/>
            <family val="2"/>
          </rPr>
          <t>Instrucción: _x000D_
EL CONTRIBUYENTE LLENARA LOS DATOS CORRESPONDIENTES A LA SUMATORIA DE LOS PAGOS MENSUALES DEFINITIVOS DE ENERO A DICIEMBRE</t>
        </r>
      </text>
    </comment>
    <comment ref="A164" authorId="0" shapeId="0" xr:uid="{00000000-0006-0000-1200-000053000000}">
      <text>
        <r>
          <rPr>
            <b/>
            <sz val="9"/>
            <color indexed="60"/>
            <rFont val="Tahoma"/>
            <family val="2"/>
          </rPr>
          <t>Instrucción: _x000D_
EL CONTRIBUYENTE LLENARA LOS DATOS CORRESPONDIENTES A LA SUMATORIA DE LOS PAGOS MENSUALES DEFINITIVOS DE ENERO A DICIEMBRE</t>
        </r>
      </text>
    </comment>
    <comment ref="A165" authorId="0" shapeId="0" xr:uid="{00000000-0006-0000-1200-000054000000}">
      <text>
        <r>
          <rPr>
            <b/>
            <sz val="9"/>
            <color indexed="60"/>
            <rFont val="Tahoma"/>
            <family val="2"/>
          </rPr>
          <t>Instrucción: _x000D_
EL CONTRIBUYENTE LLENARA LOS DATOS CORRESPONDIENTES A LA SUMATORIA DE LOS PAGOS MENSUALES DEFINITIVOS DE ENERO A DICIEMBRE</t>
        </r>
      </text>
    </comment>
    <comment ref="A166" authorId="0" shapeId="0" xr:uid="{00000000-0006-0000-1200-000055000000}">
      <text>
        <r>
          <rPr>
            <b/>
            <sz val="9"/>
            <color indexed="60"/>
            <rFont val="Tahoma"/>
            <family val="2"/>
          </rPr>
          <t>Instrucción: _x000D_
EL CONTRIBUYENTE LLENARA LOS DATOS CORRESPONDIENTES A LA SUMATORIA DE LOS PAGOS MENSUALES DEFINITIVOS DE ENERO A DICIEMBRE</t>
        </r>
      </text>
    </comment>
    <comment ref="A167" authorId="0" shapeId="0" xr:uid="{00000000-0006-0000-1200-000056000000}">
      <text>
        <r>
          <rPr>
            <b/>
            <sz val="9"/>
            <color indexed="60"/>
            <rFont val="Tahoma"/>
            <family val="2"/>
          </rPr>
          <t>Instrucción: _x000D_
EL CONTRIBUYENTE LLENARA LOS DATOS CORRESPONDIENTES A LA SUMATORIA DE LOS PAGOS MENSUALES DEFINITIVOS DE ENERO A DICIEMBRE</t>
        </r>
      </text>
    </comment>
    <comment ref="A168" authorId="0" shapeId="0" xr:uid="{00000000-0006-0000-1200-000057000000}">
      <text>
        <r>
          <rPr>
            <b/>
            <sz val="9"/>
            <color indexed="60"/>
            <rFont val="Tahoma"/>
            <family val="2"/>
          </rPr>
          <t>Instrucción: _x000D_
EL CONTRIBUYENTE LLENARA LOS DATOS CORRESPONDIENTES A LA SUMATORIA DE LOS PAGOS MENSUALES DEFINITIVOS DE ENERO A DICIEMBRE</t>
        </r>
      </text>
    </comment>
    <comment ref="A169" authorId="0" shapeId="0" xr:uid="{00000000-0006-0000-1200-000058000000}">
      <text>
        <r>
          <rPr>
            <b/>
            <sz val="9"/>
            <color indexed="60"/>
            <rFont val="Tahoma"/>
            <family val="2"/>
          </rPr>
          <t>Instrucción: _x000D_
EL CONTRIBUYENTE LLENARA LOS DATOS CORRESPONDIENTES A LA SUMATORIA DE LOS PAGOS MENSUALES DEFINITIVOS DE ENERO A DICIEMBRE</t>
        </r>
      </text>
    </comment>
    <comment ref="A170" authorId="0" shapeId="0" xr:uid="{00000000-0006-0000-1200-000059000000}">
      <text>
        <r>
          <rPr>
            <b/>
            <sz val="9"/>
            <color indexed="60"/>
            <rFont val="Tahoma"/>
            <family val="2"/>
          </rPr>
          <t>Instrucción: _x000D_
EL CONTRIBUYENTE LLENARA LOS DATOS CORRESPONDIENTES A LA SUMATORIA DE LOS PAGOS MENSUALES DEFINITIVOS DE ENERO A DICIEMBRE</t>
        </r>
      </text>
    </comment>
    <comment ref="A171" authorId="0" shapeId="0" xr:uid="{00000000-0006-0000-1200-00005A000000}">
      <text>
        <r>
          <rPr>
            <b/>
            <sz val="9"/>
            <color indexed="60"/>
            <rFont val="Tahoma"/>
            <family val="2"/>
          </rPr>
          <t>Instrucción: _x000D_
EL CONTRIBUYENTE LLENARA LOS DATOS CORRESPONDIENTES A LA SUMATORIA DE LOS PAGOS MENSUALES DEFINITIVOS DE ENERO A DICIEMBRE</t>
        </r>
      </text>
    </comment>
    <comment ref="A173" authorId="0" shapeId="0" xr:uid="{00000000-0006-0000-1200-00005B000000}">
      <text>
        <r>
          <rPr>
            <b/>
            <sz val="9"/>
            <color indexed="60"/>
            <rFont val="Tahoma"/>
            <family val="2"/>
          </rPr>
          <t>Instrucción: _x000D_
EL CONTRIBUYENTE LLENARA LOS DATOS CORRESPONDIENTES A LA SUMATORIA DE LOS PAGOS MENSUALES DEFINITIVOS DE ENERO A DICIEMBRE</t>
        </r>
      </text>
    </comment>
    <comment ref="A174" authorId="0" shapeId="0" xr:uid="{00000000-0006-0000-1200-00005C000000}">
      <text>
        <r>
          <rPr>
            <b/>
            <sz val="9"/>
            <color indexed="60"/>
            <rFont val="Tahoma"/>
            <family val="2"/>
          </rPr>
          <t>Instrucción: _x000D_
EL CONTRIBUYENTE LLENARA LOS DATOS CORRESPONDIENTES A LA SUMATORIA DE LOS PAGOS MENSUALES DEFINITIVOS DE ENERO A DICIEMBRE</t>
        </r>
      </text>
    </comment>
    <comment ref="A175" authorId="0" shapeId="0" xr:uid="{00000000-0006-0000-1200-00005D000000}">
      <text>
        <r>
          <rPr>
            <b/>
            <sz val="9"/>
            <color indexed="60"/>
            <rFont val="Tahoma"/>
            <family val="2"/>
          </rPr>
          <t>Instrucción: _x000D_
EL CONTRIBUYENTE LLENARA LOS DATOS CORRESPONDIENTES A LA SUMATORIA DE LOS PAGOS MENSUALES DEFINITIVOS DE ENERO A DICIEMBRE</t>
        </r>
      </text>
    </comment>
    <comment ref="A176" authorId="0" shapeId="0" xr:uid="{00000000-0006-0000-1200-00005E000000}">
      <text>
        <r>
          <rPr>
            <b/>
            <sz val="9"/>
            <color indexed="60"/>
            <rFont val="Tahoma"/>
            <family val="2"/>
          </rPr>
          <t>Instrucción: _x000D_
EL CONTRIBUYENTE LLENARA LOS DATOS CORRESPONDIENTES A LA SUMATORIA DE LOS PAGOS MENSUALES DEFINITIVOS DE ENERO A DICIEMBRE</t>
        </r>
      </text>
    </comment>
    <comment ref="A177" authorId="0" shapeId="0" xr:uid="{00000000-0006-0000-1200-00005F000000}">
      <text>
        <r>
          <rPr>
            <b/>
            <sz val="9"/>
            <color indexed="60"/>
            <rFont val="Tahoma"/>
            <family val="2"/>
          </rPr>
          <t>Instrucción: _x000D_
EL CONTRIBUYENTE LLENARA LOS DATOS CORRESPONDIENTES A LA SUMATORIA DE LOS PAGOS MENSUALES DEFINITIVOS DE ENERO A DICIEMBRE</t>
        </r>
      </text>
    </comment>
    <comment ref="A178" authorId="0" shapeId="0" xr:uid="{00000000-0006-0000-1200-000060000000}">
      <text>
        <r>
          <rPr>
            <b/>
            <sz val="9"/>
            <color indexed="60"/>
            <rFont val="Tahoma"/>
            <family val="2"/>
          </rPr>
          <t>Instrucción: _x000D_
EL CONTRIBUYENTE LLENARA LOS DATOS CORRESPONDIENTES A LA SUMATORIA DE LOS PAGOS MENSUALES DEFINITIVOS DE ENERO A DICIEMBRE</t>
        </r>
      </text>
    </comment>
    <comment ref="A180" authorId="0" shapeId="0" xr:uid="{00000000-0006-0000-1200-000061000000}">
      <text>
        <r>
          <rPr>
            <b/>
            <sz val="9"/>
            <color indexed="60"/>
            <rFont val="Tahoma"/>
            <family val="2"/>
          </rPr>
          <t>Instrucción: _x000D_
EL CONTRIBUYENTE LLENARA LOS DATOS CORRESPONDIENTES A LA SUMATORIA DE LOS PAGOS MENSUALES DEFINITIVOS DE ENERO A DICIEMBRE</t>
        </r>
      </text>
    </comment>
    <comment ref="A181" authorId="0" shapeId="0" xr:uid="{00000000-0006-0000-1200-000062000000}">
      <text>
        <r>
          <rPr>
            <b/>
            <sz val="9"/>
            <color indexed="60"/>
            <rFont val="Tahoma"/>
            <family val="2"/>
          </rPr>
          <t>Instrucción: _x000D_
EL CONTRIBUYENTE LLENARA LOS DATOS CORRESPONDIENTES A LA SUMATORIA DE LOS PAGOS MENSUALES DEFINITIVOS DE ENERO A DICIEMBRE</t>
        </r>
      </text>
    </comment>
    <comment ref="A183" authorId="0" shapeId="0" xr:uid="{00000000-0006-0000-1200-000063000000}">
      <text>
        <r>
          <rPr>
            <b/>
            <sz val="9"/>
            <color indexed="60"/>
            <rFont val="Tahoma"/>
            <family val="2"/>
          </rPr>
          <t>Instrucción: _x000D_
EL CONTRIBUYENTE LLENARA LOS DATOS CORRESPONDIENTES A LA SUMATORIA DE LOS PAGOS MENSUALES DEFINITIVOS DE ENERO A DICIEMBRE</t>
        </r>
      </text>
    </comment>
    <comment ref="A185" authorId="0" shapeId="0" xr:uid="{00000000-0006-0000-1200-000064000000}">
      <text>
        <r>
          <rPr>
            <b/>
            <sz val="9"/>
            <color indexed="60"/>
            <rFont val="Tahoma"/>
            <family val="2"/>
          </rPr>
          <t>Instrucción: _x000D_
EL CONTRIBUYENTE LLENARA LOS DATOS CORRESPONDIENTES A LA SUMATORIA DE LOS PAGOS MENSUALES DEFINITIVOS DE ENERO A DICIEMBRE</t>
        </r>
      </text>
    </comment>
    <comment ref="A186" authorId="0" shapeId="0" xr:uid="{00000000-0006-0000-1200-000065000000}">
      <text>
        <r>
          <rPr>
            <b/>
            <sz val="9"/>
            <color indexed="60"/>
            <rFont val="Tahoma"/>
            <family val="2"/>
          </rPr>
          <t>Instrucción: _x000D_
EL CONTRIBUYENTE LLENARA LOS DATOS CORRESPONDIENTES A LA SUMATORIA DE LOS PAGOS MENSUALES DEFINITIVOS DE ENERO A DICIEMBRE</t>
        </r>
      </text>
    </comment>
    <comment ref="A187" authorId="0" shapeId="0" xr:uid="{00000000-0006-0000-1200-000066000000}">
      <text>
        <r>
          <rPr>
            <b/>
            <sz val="9"/>
            <color indexed="60"/>
            <rFont val="Tahoma"/>
            <family val="2"/>
          </rPr>
          <t>Instrucción: _x000D_
EL CONTRIBUYENTE LLENARA LOS DATOS CORRESPONDIENTES A LA SUMATORIA DE LOS PAGOS MENSUALES DEFINITIVOS DE ENERO A DICIEMBRE</t>
        </r>
      </text>
    </comment>
    <comment ref="A188" authorId="0" shapeId="0" xr:uid="{00000000-0006-0000-1200-000067000000}">
      <text>
        <r>
          <rPr>
            <b/>
            <sz val="9"/>
            <color indexed="60"/>
            <rFont val="Tahoma"/>
            <family val="2"/>
          </rPr>
          <t>Instrucción: _x000D_
EL CONTRIBUYENTE LLENARA LOS DATOS CORRESPONDIENTES A LA SUMATORIA DE LOS PAGOS MENSUALES DEFINITIVOS DE ENERO A DICIEMBRE</t>
        </r>
      </text>
    </comment>
    <comment ref="A198" authorId="0" shapeId="0" xr:uid="{00000000-0006-0000-1200-000068000000}">
      <text>
        <r>
          <rPr>
            <b/>
            <sz val="9"/>
            <color indexed="60"/>
            <rFont val="Tahoma"/>
            <family val="2"/>
          </rPr>
          <t>Instrucción: _x000D_
NO SE DEBERA LLENAR LA INFORMACION CONTENIDA EN LAS COLUMNAS: “BASE GRAVABLE” Y “TASA, TARIFA O CUOTA”.</t>
        </r>
      </text>
    </comment>
    <comment ref="B202" authorId="0" shapeId="0" xr:uid="{00000000-0006-0000-1200-00006900000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xr:uid="{00000000-0006-0000-1200-00006A00000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xr:uid="{00000000-0006-0000-1200-00006B00000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xr:uid="{00000000-0006-0000-1200-00006C00000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xr:uid="{00000000-0006-0000-1200-00006D00000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xr:uid="{00000000-0006-0000-1200-00006E00000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xr:uid="{00000000-0006-0000-1200-00006F00000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xr:uid="{00000000-0006-0000-1200-00007000000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xr:uid="{00000000-0006-0000-1200-00007100000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xr:uid="{00000000-0006-0000-1200-00007200000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xr:uid="{00000000-0006-0000-1200-00007300000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xr:uid="{00000000-0006-0000-1200-000074000000}">
      <text>
        <r>
          <rPr>
            <b/>
            <sz val="9"/>
            <color indexed="12"/>
            <rFont val="Tahoma"/>
            <family val="2"/>
          </rPr>
          <t>Info TIP: _x000D_
Se debe incluir esta información tratándose de dividendos aplicados contra la CUFIN generada a partir del ejercicio 2014</t>
        </r>
      </text>
    </comment>
    <comment ref="B273" authorId="0" shapeId="0" xr:uid="{00000000-0006-0000-1200-00007500000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xr:uid="{00000000-0006-0000-1200-00007600000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xr:uid="{00000000-0006-0000-1200-00007700000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xr:uid="{00000000-0006-0000-1200-00007800000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xr:uid="{00000000-0006-0000-1200-000079000000}">
      <text>
        <r>
          <rPr>
            <b/>
            <sz val="9"/>
            <color indexed="60"/>
            <rFont val="Tahoma"/>
            <family val="2"/>
          </rPr>
          <t>Instrucción: _x000D_
NO SE DEBERA LLENAR LA INFORMACION CONTENIDA EN LAS COLUMNAS: “BASE GRAVABLE” Y “TASA, TARIFA O CUOTA”.</t>
        </r>
      </text>
    </comment>
    <comment ref="A286" authorId="0" shapeId="0" xr:uid="{00000000-0006-0000-1200-00007A000000}">
      <text>
        <r>
          <rPr>
            <b/>
            <sz val="9"/>
            <color indexed="60"/>
            <rFont val="Tahoma"/>
            <family val="2"/>
          </rPr>
          <t>Instrucción: _x000D_
NO SE DEBERA LLENAR LA INFORMACION CONTENIDA EN LAS COLUMNAS: “BASE GRAVABLE” Y “TASA, TARIFA O CUOTA”.</t>
        </r>
      </text>
    </comment>
    <comment ref="B286" authorId="0" shapeId="0" xr:uid="{00000000-0006-0000-1200-00007B000000}">
      <text>
        <r>
          <rPr>
            <b/>
            <sz val="9"/>
            <color indexed="12"/>
            <rFont val="Tahoma"/>
            <family val="2"/>
          </rPr>
          <t>Info TIP: _x000D_
Estas cuotas no serán deducibles aun cuando sean pagadas por el patrón. Art. 25 Fracc. VI LISR.</t>
        </r>
      </text>
    </comment>
    <comment ref="A287" authorId="0" shapeId="0" xr:uid="{00000000-0006-0000-1200-00007C000000}">
      <text>
        <r>
          <rPr>
            <b/>
            <sz val="9"/>
            <color indexed="60"/>
            <rFont val="Tahoma"/>
            <family val="2"/>
          </rPr>
          <t>Instrucción: _x000D_
NO SE DEBERA LLENAR LA INFORMACION CONTENIDA EN LAS COLUMNAS: “BASE GRAVABLE” Y “TASA, TARIFA O CUOTA”.</t>
        </r>
      </text>
    </comment>
    <comment ref="B294" authorId="0" shapeId="0" xr:uid="{00000000-0006-0000-1200-00007D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xr:uid="{00000000-0006-0000-1200-00007E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xr:uid="{00000000-0006-0000-1200-00007F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xr:uid="{00000000-0006-0000-1200-000080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xr:uid="{00000000-0006-0000-1200-000081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xr:uid="{00000000-0006-0000-1200-000082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xr:uid="{00000000-0006-0000-1200-000083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xr:uid="{00000000-0006-0000-1200-000084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xr:uid="{00000000-0006-0000-1200-000085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xr:uid="{00000000-0006-0000-1200-000086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xr:uid="{00000000-0006-0000-1200-000087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xr:uid="{00000000-0006-0000-1200-000088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xr:uid="{00000000-0006-0000-1200-000089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xr:uid="{00000000-0006-0000-1200-00008A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xr:uid="{00000000-0006-0000-1200-00008B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xr:uid="{00000000-0006-0000-1200-00008C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xr:uid="{00000000-0006-0000-1200-00008D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xr:uid="{00000000-0006-0000-1200-00008E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xr:uid="{00000000-0006-0000-1200-00008F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xr:uid="{00000000-0006-0000-1200-000090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xr:uid="{00000000-0006-0000-1200-000091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xr:uid="{00000000-0006-0000-1200-000092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xr:uid="{00000000-0006-0000-1200-000093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xr:uid="{00000000-0006-0000-1200-000094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xr:uid="{00000000-0006-0000-1200-00009500000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1" authorId="0" shapeId="0" xr:uid="{00000000-0006-0000-1300-000001000000}">
      <text>
        <r>
          <rPr>
            <b/>
            <sz val="9"/>
            <color indexed="12"/>
            <rFont val="Tahoma"/>
            <family val="2"/>
          </rPr>
          <t>Info TIP: _x000D_
Si en el ejercicio no se obtuvo base para PTU, se colocará CERO, favor de confirmar.</t>
        </r>
      </text>
    </comment>
    <comment ref="B16" authorId="0" shapeId="0" xr:uid="{00000000-0006-0000-1300-00000200000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xr:uid="{00000000-0006-0000-1300-00000300000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xr:uid="{00000000-0006-0000-1300-00000400000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xr:uid="{00000000-0006-0000-1300-00000500000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xr:uid="{00000000-0006-0000-1300-00000600000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xr:uid="{00000000-0006-0000-1300-00000700000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xr:uid="{00000000-0006-0000-1300-000008000000}">
      <text>
        <r>
          <rPr>
            <b/>
            <sz val="9"/>
            <color indexed="12"/>
            <rFont val="Tahoma"/>
            <family val="2"/>
          </rPr>
          <t>Info TIP: _x000D_
El dato solicitado en este índice corresponde a la CUFIN generada de 2001 a 2013 actualizada al cierre del ejercicio anterior.</t>
        </r>
      </text>
    </comment>
    <comment ref="B67" authorId="0" shapeId="0" xr:uid="{00000000-0006-0000-1300-000009000000}">
      <text>
        <r>
          <rPr>
            <b/>
            <sz val="9"/>
            <color indexed="12"/>
            <rFont val="Tahoma"/>
            <family val="2"/>
          </rPr>
          <t>Info TIP: _x000D_
Esta actualización es la correspondiente al ejercicio dictaminado.</t>
        </r>
      </text>
    </comment>
    <comment ref="B81" authorId="0" shapeId="0" xr:uid="{00000000-0006-0000-1300-00000A00000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xr:uid="{00000000-0006-0000-1300-00000B00000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400-00000100000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xr:uid="{00000000-0006-0000-1400-00000200000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xr:uid="{00000000-0006-0000-1400-00000300000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xr:uid="{00000000-0006-0000-1400-000004000000}">
      <text>
        <r>
          <rPr>
            <b/>
            <sz val="9"/>
            <color indexed="60"/>
            <rFont val="Tahoma"/>
            <family val="2"/>
          </rPr>
          <t>Instrucción: _x000D_
EL DATO DEL “MONTO CONTRATADO” SE EXPRESARA EN MONEDA EXTRANJERA.</t>
        </r>
      </text>
    </comment>
    <comment ref="I2" authorId="0" shapeId="0" xr:uid="{00000000-0006-0000-1400-000005000000}">
      <text>
        <r>
          <rPr>
            <b/>
            <sz val="9"/>
            <color indexed="60"/>
            <rFont val="Tahoma"/>
            <family val="2"/>
          </rPr>
          <t>Instrucción: _x000D_
EL DATO PORCENTAJE DE LA COLUMNA “TASA DE INTERES” SE EXPRESARA EN PORCENTAJE.</t>
        </r>
      </text>
    </comment>
    <comment ref="K2" authorId="0" shapeId="0" xr:uid="{00000000-0006-0000-1400-00000600000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500-00000100000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xr:uid="{00000000-0006-0000-1500-00000200000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xr:uid="{00000000-0006-0000-1500-00000300000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xr:uid="{00000000-0006-0000-1500-00000400000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xr:uid="{00000000-0006-0000-1500-00000500000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xr:uid="{00000000-0006-0000-1500-00000600000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xr:uid="{00000000-0006-0000-1500-00000700000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600-00000100000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xr:uid="{00000000-0006-0000-1600-00000200000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xr:uid="{00000000-0006-0000-1600-00000300000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xr:uid="{00000000-0006-0000-1600-00000400000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xr:uid="{00000000-0006-0000-1600-00000500000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xr:uid="{00000000-0006-0000-1600-000006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xr:uid="{00000000-0006-0000-1600-00000700000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Francisco Garcia</author>
    <author>María del Pilar Ubaldo Juárez</author>
  </authors>
  <commentList>
    <comment ref="B1" authorId="0" shapeId="0" xr:uid="{00000000-0006-0000-1700-00000100000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xr:uid="{00000000-0006-0000-1700-00000200000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xr:uid="{00000000-0006-0000-1700-00000300000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xr:uid="{00000000-0006-0000-1700-00000400000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900-00000100000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xr:uid="{00000000-0006-0000-1900-00000200000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xr:uid="{00000000-0006-0000-1900-00000300000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xr:uid="{00000000-0006-0000-1900-00000400000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A00-00000100000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xr:uid="{00000000-0006-0000-1A00-00000200000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xr:uid="{00000000-0006-0000-1A00-00000300000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xr:uid="{00000000-0006-0000-1A00-00000400000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xr:uid="{00000000-0006-0000-1A00-00000500000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xr:uid="{00000000-0006-0000-1A00-00000600000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xr:uid="{00000000-0006-0000-1A00-00000700000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xr:uid="{00000000-0006-0000-1A00-00000800000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xr:uid="{00000000-0006-0000-1A00-00000900000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xr:uid="{00000000-0006-0000-1A00-00000A00000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xr:uid="{00000000-0006-0000-1A00-00000B00000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xr:uid="{00000000-0006-0000-1A00-00000C00000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xr:uid="{00000000-0006-0000-1A00-00000D00000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Francisco Garcia</author>
  </authors>
  <commentList>
    <comment ref="B1" authorId="0" shapeId="0" xr:uid="{00000000-0006-0000-1B00-00000100000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xr:uid="{00000000-0006-0000-1B00-00000200000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xr:uid="{00000000-0006-0000-1B00-00000300000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xr:uid="{00000000-0006-0000-1B00-00000400000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<sst xmlns="http://schemas.openxmlformats.org/spreadsheetml/2006/main" count="7501" uniqueCount="6024">
  <si>
    <t/>
  </si>
  <si>
    <t>DATO</t>
  </si>
  <si>
    <t>01A000000</t>
  </si>
  <si>
    <t>RFC:</t>
  </si>
  <si>
    <t>01A001000</t>
  </si>
  <si>
    <t>NOMBRE (APELLIDO PATERNO, APELLIDO MATERNO, NOMBRE(S)), DENOMINACION O RAZON SOCIAL:</t>
  </si>
  <si>
    <t>01A002000</t>
  </si>
  <si>
    <t>CURP:</t>
  </si>
  <si>
    <t>01A002010</t>
  </si>
  <si>
    <t>01A002011</t>
  </si>
  <si>
    <t>DOMICILIO FISCAL:</t>
  </si>
  <si>
    <t>01A003000</t>
  </si>
  <si>
    <t>ENTIDAD FEDERATIVA:</t>
  </si>
  <si>
    <t>01A004000</t>
  </si>
  <si>
    <t>DELEGACION O MUNICIPIO:</t>
  </si>
  <si>
    <t>01A005000</t>
  </si>
  <si>
    <t>COLONIA O LOCALIDAD:</t>
  </si>
  <si>
    <t>01A006000</t>
  </si>
  <si>
    <t>CODIGO POSTAL:</t>
  </si>
  <si>
    <t>01A007000</t>
  </si>
  <si>
    <t>CALLE, NUMERO EXTERIOR E INTERIOR:</t>
  </si>
  <si>
    <t>01A008000</t>
  </si>
  <si>
    <t>CIUDAD O POBLACION:</t>
  </si>
  <si>
    <t>01A009000</t>
  </si>
  <si>
    <t>TELEFONO:</t>
  </si>
  <si>
    <t>01A010000</t>
  </si>
  <si>
    <t>CORREO ELECTRONICO:</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</si>
  <si>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</si>
  <si>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</si>
  <si>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</si>
  <si>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</si>
  <si>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</si>
  <si>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</si>
  <si>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</si>
  <si>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</si>
  <si>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</si>
  <si>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</si>
  <si>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</si>
  <si>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</si>
  <si>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</si>
  <si>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</si>
  <si>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01B000000</t>
  </si>
  <si>
    <t>01B001000</t>
  </si>
  <si>
    <t>NOMBRE (APELLIDO PATERNO, APELLIDO MATERNO, NOMBRE(S))</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</si>
  <si>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</si>
  <si>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</si>
  <si>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</si>
  <si>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</si>
  <si>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</si>
  <si>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</si>
  <si>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</si>
  <si>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</si>
  <si>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</si>
  <si>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</si>
  <si>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</si>
  <si>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</si>
  <si>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</si>
  <si>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</si>
  <si>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</si>
  <si>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</si>
  <si>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</si>
  <si>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</si>
  <si>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</si>
  <si>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</si>
  <si>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</si>
  <si>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</si>
  <si>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</si>
  <si>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</si>
  <si>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</si>
  <si>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</si>
  <si>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</si>
  <si>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</si>
  <si>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</si>
  <si>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</si>
  <si>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</si>
  <si>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</si>
  <si>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</si>
  <si>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</si>
  <si>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01C000000</t>
  </si>
  <si>
    <t>01C001000</t>
  </si>
  <si>
    <t>01C002000</t>
  </si>
  <si>
    <t>NACIONAL:</t>
  </si>
  <si>
    <t>01C003000</t>
  </si>
  <si>
    <t>EXTRANJERO:</t>
  </si>
  <si>
    <t>01C004000</t>
  </si>
  <si>
    <t>01C004010</t>
  </si>
  <si>
    <t>01C004011</t>
  </si>
  <si>
    <t>01C005000</t>
  </si>
  <si>
    <t>01C006000</t>
  </si>
  <si>
    <t>01C007000</t>
  </si>
  <si>
    <t>01C008000</t>
  </si>
  <si>
    <t>01C009000</t>
  </si>
  <si>
    <t>01C010000</t>
  </si>
  <si>
    <t>01C011000</t>
  </si>
  <si>
    <t>01C012000</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</si>
  <si>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</si>
  <si>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</si>
  <si>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</si>
  <si>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</si>
  <si>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</si>
  <si>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</si>
  <si>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</si>
  <si>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</si>
  <si>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</si>
  <si>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</si>
  <si>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</si>
  <si>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</si>
  <si>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</si>
  <si>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</si>
  <si>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</si>
  <si>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</si>
  <si>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</si>
  <si>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</si>
  <si>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</si>
  <si>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</si>
  <si>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ESTADOS FINANCIEROS GENERAL</t>
  </si>
  <si>
    <t>01D000000</t>
  </si>
  <si>
    <t>AUTORIDAD COMPETENTE</t>
  </si>
  <si>
    <t>01D001000</t>
  </si>
  <si>
    <t>SEDE A LA QUE PERTENECE LA ADAF</t>
  </si>
  <si>
    <t>01D002000</t>
  </si>
  <si>
    <t>ADMINISTRACION</t>
  </si>
  <si>
    <t>01D003000</t>
  </si>
  <si>
    <t>01D004000</t>
  </si>
  <si>
    <t>01D005000</t>
  </si>
  <si>
    <t>01D006000</t>
  </si>
  <si>
    <t>EN CASO NEGATIVO EN TODAS LAS PREGUNTAS DE LOS INDICES 01D003000, 01D004000 Y 01D005000 ANTERIORES, MENCIONE EL MOTIVO POR EL QUE PRESENTA EL DICTAMEN</t>
  </si>
  <si>
    <t>01D007000</t>
  </si>
  <si>
    <t>FORMA PARTE DE UNA ASOCIACION EN PARTICIPACION</t>
  </si>
  <si>
    <t>01D008000</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</si>
  <si>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</si>
  <si>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</si>
  <si>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</si>
  <si>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</si>
  <si>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</si>
  <si>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</si>
  <si>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</si>
  <si>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</si>
  <si>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</si>
  <si>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</si>
  <si>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</si>
  <si>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</si>
  <si>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</si>
  <si>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</si>
  <si>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</si>
  <si>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</si>
  <si>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</si>
  <si>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</si>
  <si>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</si>
  <si>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</si>
  <si>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</si>
  <si>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</si>
  <si>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</si>
  <si>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</si>
  <si>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</si>
  <si>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</si>
  <si>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</si>
  <si>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</si>
  <si>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</si>
  <si>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</si>
  <si>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</si>
  <si>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</si>
  <si>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</si>
  <si>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</si>
  <si>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</si>
  <si>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</si>
  <si>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</si>
  <si>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</si>
  <si>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</si>
  <si>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</si>
  <si>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</si>
  <si>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</si>
  <si>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</si>
  <si>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</si>
  <si>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</si>
  <si>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</si>
  <si>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</si>
  <si>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</si>
  <si>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</si>
  <si>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</si>
  <si>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</si>
  <si>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</si>
  <si>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</si>
  <si>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</si>
  <si>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01D035000</t>
  </si>
  <si>
    <t>01D036000</t>
  </si>
  <si>
    <t>01D037000</t>
  </si>
  <si>
    <t>01D038000</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</si>
  <si>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</si>
  <si>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</si>
  <si>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</si>
  <si>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</si>
  <si>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</si>
  <si>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</si>
  <si>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</si>
  <si>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</si>
  <si>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</si>
  <si>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</si>
  <si>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</si>
  <si>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</si>
  <si>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</si>
  <si>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</si>
  <si>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</si>
  <si>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</si>
  <si>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</si>
  <si>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</si>
  <si>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</si>
  <si>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</si>
  <si>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</si>
  <si>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</si>
  <si>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</si>
  <si>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</si>
  <si>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</si>
  <si>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</si>
  <si>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</si>
  <si>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</si>
  <si>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</si>
  <si>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</si>
  <si>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</si>
  <si>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</si>
  <si>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</si>
  <si>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</si>
  <si>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</si>
  <si>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</si>
  <si>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</si>
  <si>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</si>
  <si>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</si>
  <si>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</si>
  <si>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</si>
  <si>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</si>
  <si>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</si>
  <si>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</si>
  <si>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01D061000</t>
  </si>
  <si>
    <t>MANTUVO INVERSIONES PERMANENTES EN SUBSIDIARIAS, ASOCIADAS Y AFILIADAS DURANTE EL EJERCICIO (EN CASO AFIRMATIVO DEBE LLENAR EL ANEXO 13)</t>
  </si>
  <si>
    <t>01D062000</t>
  </si>
  <si>
    <t>01D063000</t>
  </si>
  <si>
    <t>01D064000</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</si>
  <si>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</si>
  <si>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</si>
  <si>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</si>
  <si>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</si>
  <si>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</si>
  <si>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</si>
  <si>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</si>
  <si>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01D068000</t>
  </si>
  <si>
    <t>01D069000</t>
  </si>
  <si>
    <t>01D070000</t>
  </si>
  <si>
    <t>01D071000</t>
  </si>
  <si>
    <t>01D072000</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</si>
  <si>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</si>
  <si>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</si>
  <si>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</si>
  <si>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</si>
  <si>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</si>
  <si>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</si>
  <si>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</si>
  <si>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01D077000</t>
  </si>
  <si>
    <t>01D078000</t>
  </si>
  <si>
    <t>TIENE ACCIONISTAS RESIDENTES EN EL PAIS</t>
  </si>
  <si>
    <t>01D079000</t>
  </si>
  <si>
    <t>EN CASO AFIRMATIVO, ESTAN INSCRITOS EN EL REGISTRO FEDERAL DE CONTRIBUYENTES (ARTICULO 27 CFF)</t>
  </si>
  <si>
    <t>01D080000</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</si>
  <si>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</si>
  <si>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</si>
  <si>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</si>
  <si>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</si>
  <si>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</si>
  <si>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</si>
  <si>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</si>
  <si>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</si>
  <si>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</si>
  <si>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</si>
  <si>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</si>
  <si>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</si>
  <si>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</si>
  <si>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</si>
  <si>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</si>
  <si>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</si>
  <si>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</si>
  <si>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</si>
  <si>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</si>
  <si>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</si>
  <si>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</si>
  <si>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</si>
  <si>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</si>
  <si>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</si>
  <si>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</si>
  <si>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</si>
  <si>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</si>
  <si>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</si>
  <si>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</si>
  <si>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</si>
  <si>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</si>
  <si>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</si>
  <si>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</si>
  <si>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</si>
  <si>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</si>
  <si>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01D100000</t>
  </si>
  <si>
    <t>01D101000</t>
  </si>
  <si>
    <t>01D102000</t>
  </si>
  <si>
    <t>OBTUVO PERDIDA POR LA ENAJENACION DE CUENTAS Y DOCUMENTOS POR COBRAR EN EL EJERCICIO</t>
  </si>
  <si>
    <t>CONTABILIDAD ELECTRONICA</t>
  </si>
  <si>
    <t>01D103000</t>
  </si>
  <si>
    <t>01D104000</t>
  </si>
  <si>
    <t>NOTA: EN CASO NEGATIVO, SEÑALE EL DOMICILIO EN EL CUAL CONSERVA LA DOCUMENTACION COMPROBATORIA DE LOS REGISTROS O ASIENTOS, A TRAVES DEL ANEXO DENOMINADO INFORMACION ADICIONAL DEL DICTAMEN.</t>
  </si>
  <si>
    <t>PARA EFECTOS DEL I.V.A. INDIQUE LO SIGUIENTE:</t>
  </si>
  <si>
    <t>01D105000</t>
  </si>
  <si>
    <t>01D106000</t>
  </si>
  <si>
    <t>01D107000</t>
  </si>
  <si>
    <t>01D108000</t>
  </si>
  <si>
    <t>01D109000</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</si>
  <si>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</si>
  <si>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</si>
  <si>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</si>
  <si>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</si>
  <si>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</si>
  <si>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</si>
  <si>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</si>
  <si>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</si>
  <si>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</si>
  <si>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</si>
  <si>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</si>
  <si>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</si>
  <si>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</si>
  <si>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</si>
  <si>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</si>
  <si>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</si>
  <si>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</si>
  <si>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</si>
  <si>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</si>
  <si>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</si>
  <si>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</si>
  <si>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 xml:space="preserve">DIO CUMPLIMIENTO A LAS SIGUIENTES OBLIGACIONES FISCALES: </t>
  </si>
  <si>
    <t>01D120000</t>
  </si>
  <si>
    <t>01D121000</t>
  </si>
  <si>
    <t>EXPEDIR COMPROBANTES FISCALES EN LOS QUE SE ASIENTEN EL MONTO DE LOS PAGOS EFECTUADOS A RESIDENTES EN EL EXTRANJERO EN LOS TERMINOS DEL TITULO V DE LA LEY Y DEL IMPUESTO RETENIDO (ARTICULO 76 FRACCION III DE LA LEY)</t>
  </si>
  <si>
    <t>01D122000</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</si>
  <si>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</si>
  <si>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</si>
  <si>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</si>
  <si>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</si>
  <si>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</si>
  <si>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</si>
  <si>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</si>
  <si>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</si>
  <si>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</si>
  <si>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</si>
  <si>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</si>
  <si>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</si>
  <si>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</si>
  <si>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01D130000</t>
  </si>
  <si>
    <t>RETENER Y ENTERAR EL ISR ADICIONAL A LA TASA DEL 10% SOBRE LOS DIVIDENDOS O UTILIDADES DISTRIBUIDOS (ARTICULO 140 PARRAFO SEGUNDO DE LA LEY)</t>
  </si>
  <si>
    <t>(I.S.R.) OBTUVO INGRESOS POR</t>
  </si>
  <si>
    <t>01D131000</t>
  </si>
  <si>
    <t>01D132000</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</si>
  <si>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</si>
  <si>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</si>
  <si>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</si>
  <si>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</si>
  <si>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</si>
  <si>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</si>
  <si>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</si>
  <si>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</si>
  <si>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</si>
  <si>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</si>
  <si>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</si>
  <si>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</si>
  <si>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</si>
  <si>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</si>
  <si>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</si>
  <si>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</si>
  <si>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</si>
  <si>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</si>
  <si>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</si>
  <si>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</si>
  <si>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</si>
  <si>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</si>
  <si>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</si>
  <si>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</si>
  <si>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</si>
  <si>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01D145000</t>
  </si>
  <si>
    <t>01D146000</t>
  </si>
  <si>
    <t>ESTAR DEBIDAMENTE REGISTRADAS EN CONTABILIDAD (ARTICULOS 27 FRACCION IV Y 105 ULTIMO PARRAFO DE LA LEY Y 36 DEL REGLAMENTO DE LA LEY)</t>
  </si>
  <si>
    <t>01D147000</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</si>
  <si>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</si>
  <si>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</si>
  <si>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</si>
  <si>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</si>
  <si>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</si>
  <si>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</si>
  <si>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</si>
  <si>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</si>
  <si>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</si>
  <si>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</si>
  <si>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</si>
  <si>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</si>
  <si>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</si>
  <si>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</si>
  <si>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01D156000</t>
  </si>
  <si>
    <t>01D157000</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</si>
  <si>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</si>
  <si>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</si>
  <si>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</si>
  <si>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</si>
  <si>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</si>
  <si>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</si>
  <si>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</si>
  <si>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</si>
  <si>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</si>
  <si>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</si>
  <si>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</si>
  <si>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</si>
  <si>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</si>
  <si>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</si>
  <si>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</si>
  <si>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</si>
  <si>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</si>
  <si>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</si>
  <si>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</si>
  <si>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</si>
  <si>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</si>
  <si>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</si>
  <si>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01D170000</t>
  </si>
  <si>
    <t>EN EL CASO DE LOS DOS CONCEPTOS ANTERIORES, FUERON GASTOS EFECTUADOS POR SOCIOS, ACCIONISTAS O SUS FAMILIARES SIN RELACION LABORAL</t>
  </si>
  <si>
    <t>01D171000</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</si>
  <si>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</si>
  <si>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</si>
  <si>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</si>
  <si>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</si>
  <si>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</si>
  <si>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</si>
  <si>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</si>
  <si>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</si>
  <si>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</si>
  <si>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EN CASO AFIRMATIVO, EN SU CALIDAD DE:</t>
  </si>
  <si>
    <t>01D177000</t>
  </si>
  <si>
    <t>FUSIONADA</t>
  </si>
  <si>
    <t>01D178000</t>
  </si>
  <si>
    <t>FUSIONANTE</t>
  </si>
  <si>
    <t>01D179000</t>
  </si>
  <si>
    <t>FECHA EN QUE SURTIO EFECTOS LA FUSION</t>
  </si>
  <si>
    <t>01D180000</t>
  </si>
  <si>
    <t>PARTICIPO EN ALGUNA ESCISION EN EL EJERCICIO</t>
  </si>
  <si>
    <t>01D181000</t>
  </si>
  <si>
    <t>01D182000</t>
  </si>
  <si>
    <t>ESCINDENTE</t>
  </si>
  <si>
    <t>01D183000</t>
  </si>
  <si>
    <t>FECHA EN QUE SURTIO EFECTOS LA ESCISION</t>
  </si>
  <si>
    <t>PARTE DEL ACTIVO, PASIVO Y CAPITAL SOCIAL CORRESPONDIENTE APORTADO POR LA ESCINDENTE Y RECIBIDO POR:</t>
  </si>
  <si>
    <t>01D184000</t>
  </si>
  <si>
    <t>ESCINDIDA 1: RFC</t>
  </si>
  <si>
    <t>01D185000</t>
  </si>
  <si>
    <t>VALOR ACTIVO:</t>
  </si>
  <si>
    <t>01D186000</t>
  </si>
  <si>
    <t>VALOR PASIVO:</t>
  </si>
  <si>
    <t>01D187000</t>
  </si>
  <si>
    <t>VALOR CAPITAL SOCIAL:</t>
  </si>
  <si>
    <t>01D188000</t>
  </si>
  <si>
    <t>ESCINDIDA 2: RFC</t>
  </si>
  <si>
    <t>01D189000</t>
  </si>
  <si>
    <t>01D190000</t>
  </si>
  <si>
    <t>01D191000</t>
  </si>
  <si>
    <t>01D192000</t>
  </si>
  <si>
    <t>ESCINDIDA 3: RFC</t>
  </si>
  <si>
    <t>01D193000</t>
  </si>
  <si>
    <t>01D194000</t>
  </si>
  <si>
    <t>01D195000</t>
  </si>
  <si>
    <t>01D196000</t>
  </si>
  <si>
    <t>ESCINDIDA 4: RFC</t>
  </si>
  <si>
    <t>01D197000</t>
  </si>
  <si>
    <t>01D198000</t>
  </si>
  <si>
    <t>01D199000</t>
  </si>
  <si>
    <t>01D200000</t>
  </si>
  <si>
    <t>ESCINDIDA 5: RFC</t>
  </si>
  <si>
    <t>01D201000</t>
  </si>
  <si>
    <t>01D202000</t>
  </si>
  <si>
    <t>01D203000</t>
  </si>
  <si>
    <t>01D204000</t>
  </si>
  <si>
    <t>ESCINDIDA 6: RFC</t>
  </si>
  <si>
    <t>01D205000</t>
  </si>
  <si>
    <t>01D206000</t>
  </si>
  <si>
    <t>01D207000</t>
  </si>
  <si>
    <t>01D208000</t>
  </si>
  <si>
    <t>ESCINDIDA 7: RFC</t>
  </si>
  <si>
    <t>01D209000</t>
  </si>
  <si>
    <t>01D210000</t>
  </si>
  <si>
    <t>01D211000</t>
  </si>
  <si>
    <t>01D212000</t>
  </si>
  <si>
    <t>ESCINDIDA 8: RFC</t>
  </si>
  <si>
    <t>01D213000</t>
  </si>
  <si>
    <t>01D214000</t>
  </si>
  <si>
    <t>01D215000</t>
  </si>
  <si>
    <t>01D216000</t>
  </si>
  <si>
    <t>ESCINDIDA 9: RFC</t>
  </si>
  <si>
    <t>01D217000</t>
  </si>
  <si>
    <t>01D218000</t>
  </si>
  <si>
    <t>01D219000</t>
  </si>
  <si>
    <t>01D220000</t>
  </si>
  <si>
    <t>ESCINDIDA 10: RFC</t>
  </si>
  <si>
    <t>01D221000</t>
  </si>
  <si>
    <t>01D222000</t>
  </si>
  <si>
    <t>01D223000</t>
  </si>
  <si>
    <t>01D224000</t>
  </si>
  <si>
    <t>ESCINDENTE: RFC</t>
  </si>
  <si>
    <t>01D225000</t>
  </si>
  <si>
    <t>01D226000</t>
  </si>
  <si>
    <t>01D227000</t>
  </si>
  <si>
    <t>EN CASO DE LIQUIDACION, SEÑALAR:</t>
  </si>
  <si>
    <t>01D228000</t>
  </si>
  <si>
    <t>FECHA DE INICIO DE LA LIQUIDACION</t>
  </si>
  <si>
    <t>INDIQUE EL NOMBRE O DENOMINACION O RAZON SOCIAL Y RFC DEL LIQUIDADOR:</t>
  </si>
  <si>
    <t>01D229000</t>
  </si>
  <si>
    <t>01D230000</t>
  </si>
  <si>
    <t>01D231000</t>
  </si>
  <si>
    <t>01D232000</t>
  </si>
  <si>
    <t>MANTUVO INVERSIONES A TRAVES DE FIDEICOMISOS PARA LA ADQUISICION O CONSTRUCCION DE INMUEBLES (FIBRAS)</t>
  </si>
  <si>
    <t>01D233000</t>
  </si>
  <si>
    <t>EN CASO AFIRMATIVO, CUMPLIO CON TODOS LOS REQUISITOS PREVISTOS EN LOS ARTICULOS 187 Y 188 DE LA LEY</t>
  </si>
  <si>
    <t>01D234000</t>
  </si>
  <si>
    <t>FORMO PARTE DE UN FIDEICOMISO PARA LA ADQUISICION O CONSTRUCCION DE INMUEBLES (FIBRA)</t>
  </si>
  <si>
    <t>01D235000</t>
  </si>
  <si>
    <t>ACREDITAMIENTOS</t>
  </si>
  <si>
    <t>01D236000</t>
  </si>
  <si>
    <t>CUENTA CON LA DOCUMENTACION COMPROBATORIA DEL PAGO DEL ISR PAGADO EN EL EXTRANJERO QUE ACREDITO</t>
  </si>
  <si>
    <t>01D237000</t>
  </si>
  <si>
    <t>CUMPLE CON LOS REQUISITOS ESTABLECIDOS EN EL ARTICULO 5 DE LA LISR PARA ACREDITAR EL ISR PAGADO EN EL EXTRANJERO</t>
  </si>
  <si>
    <t>REGIMENES FISCALES PREFERENTES</t>
  </si>
  <si>
    <t>01D238000</t>
  </si>
  <si>
    <t>OBTUVO INGRESOS SUJETOS A REGIMENES FISCALES PREFERENTES, A TRAVES DE ENTIDADES O FIGURAS JURIDICAS EXTRANJERAS QUE SEAN TRANSPARENTES FISCALES EN EL EXTRANJERO</t>
  </si>
  <si>
    <t>RETENCIONES Y/O RESPONSABILIDAD SOLIDARIA</t>
  </si>
  <si>
    <t>01D239000</t>
  </si>
  <si>
    <t>EL CONTRIBUYENTE EFECTUO ALGUN PAGO A UN RESIDENTE EN EL EXTRANJERO, EN EL QUE EL ISR QUE LE CORRESPONDIO A DICHO RESIDENTE EN EL EXTRANJERO, FUE CUBIERTO POR EL PROPIO CONTRIBUYENTE</t>
  </si>
  <si>
    <t>01D240000</t>
  </si>
  <si>
    <t>APLICO LO DISPUESTO POR EL ARTICULO 1.13. DEL DECRETO PUBLICADO EN EL DIARIO OFICIAL DE LA FEDERACION EL 26 DE DICIEMBRE DE 2013</t>
  </si>
  <si>
    <t>01D241000</t>
  </si>
  <si>
    <t>APLICO TRATADOS PARA EVITAR LA DOBLE TRIBUTACION</t>
  </si>
  <si>
    <t>EN CASO AFIRMATIVO:</t>
  </si>
  <si>
    <t>01D242000</t>
  </si>
  <si>
    <t>CUENTA CON LA DOCUMENTACION NECESARIA QUE ACREDITE LA RESIDENCIA DEL PAIS DE QUE SE TRATE, EN TERMINOS DEL ARTICULO 4 DE LA LISR.</t>
  </si>
  <si>
    <t>01D243000</t>
  </si>
  <si>
    <t>CUMPLIO CON TODOS LOS REQUISITOS PARA APLICAR UNA TASA DE RETENCION PREFERENCIAL.</t>
  </si>
  <si>
    <t>01D244000</t>
  </si>
  <si>
    <t>APLICO LO DISPUESTO POR EL ARTICULO 1.4. DEL DECRETO PUBLICADO EN EL DIARIO OFICIAL DE LA FEDERACION EL 26 DE DICIEMBRE DE 2013.</t>
  </si>
  <si>
    <t>IMPUESTO AL VALOR AGREGADO</t>
  </si>
  <si>
    <t>ACTOS O ACTIVIDADES (I.V.A.)</t>
  </si>
  <si>
    <t>01D245000</t>
  </si>
  <si>
    <t>01D246000</t>
  </si>
  <si>
    <t>CONSIDERO COMO ENAJENACION EL VALOR DEL FALTANTE DE BIENES EN SUS INVENTARIOS (ARTICULOS 8 DE LA LEY Y 25 DEL REGLAMENTO DE LA LEY)</t>
  </si>
  <si>
    <t>01D247000</t>
  </si>
  <si>
    <t>CONSIDERO COMO ACTO O ACTIVIDAD GRAVADA LA IMPORTACION DE LOS SIGUIENTES BIENES O SERVICIOS:</t>
  </si>
  <si>
    <t>01D248000</t>
  </si>
  <si>
    <t>LA ADQUISICION O EL USO O GOCE TEMPORAL DE BIENES INTANGIBLES (ARTICULOS 24, FRACCIONES II Y III DE LA LEY Y 50 DEL REGLAMENTO DE LA LEY)</t>
  </si>
  <si>
    <t>01D249000</t>
  </si>
  <si>
    <t>01D250000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</si>
  <si>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</si>
  <si>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</si>
  <si>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</si>
  <si>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01D251000</t>
  </si>
  <si>
    <t>01D252000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</si>
  <si>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</si>
  <si>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01D253000</t>
  </si>
  <si>
    <t>EL IMPUESTO AL VALOR AGREGADO ACREDITADO FUE TRASLADADO EXPRESAMENTE CONSTO POR SEPARADO EN LOS COMPROBANTES (ARTICULO 5 FRACCION II DE LA LEY)</t>
  </si>
  <si>
    <t>01D254000</t>
  </si>
  <si>
    <t>EL IMPUESTO AL VALOR AGREGADO TRASLADADO FUE EFECTIVAMENTE PAGADO EN EL MES DE QUE SE TRATE (ARTICULO 5 FRACCION III DE LA LEY)</t>
  </si>
  <si>
    <t>01D255000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</si>
  <si>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</si>
  <si>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01D256000</t>
  </si>
  <si>
    <t>01D257000</t>
  </si>
  <si>
    <t>SE ACREDITO EL IMPUESTO QUE CORRESPONDIO A EROGACIONES DISTINTAS A LAS INVERSIONES, EN SU TOTALIDAD POR HABER REALIZADO ACTIVIDADES EXCLUSIVAMENTE POR LOS QUE DEBE PAGAR EL IMPUESTO, O LE SEA APLICABLE LA TASA DEL 0% (ARTICULO 5 FRACCION V INCISO A) DE LA LEY)</t>
  </si>
  <si>
    <t>01D258000</t>
  </si>
  <si>
    <t>NO SE ACREDITO EL IMPUESTO QUE CORRESPONDIO A EROGACIONES DISTINTAS A LAS INVERSIONES, POR HABER REALIZADO ACTIVIDADES EXCLUSIVAMENTE POR LOS QUE NO DEBE PAGAR EL IMPUESTO (ARTICULO 5 FRACCION V INCISO B) DE LA LEY)</t>
  </si>
  <si>
    <t>01D259000</t>
  </si>
  <si>
    <t>01D260000</t>
  </si>
  <si>
    <t>01D261000</t>
  </si>
  <si>
    <t>01D262000</t>
  </si>
  <si>
    <t>01D263000</t>
  </si>
  <si>
    <t>EN MESES POSTERIORES LAS INVERSIONES DEJARON DE DESTINARSE EN FORMA EXCLUSIVA A LAS ACTIVIDADES A QUE ESTABAN PREVISTAS (ARTICULO 5 FRACCION V INCISO d) PUNTO 4 DE LA LEY)</t>
  </si>
  <si>
    <t>01D264000</t>
  </si>
  <si>
    <t>EN CASO AFIRMATIVO, REALIZO AJUSTES AL VALOR DEL IMPUESTO ACREDITABLE (ARTICULO 5-A DE LA LEY Y 19 DEL REGLAMENTO DE LA LEY)</t>
  </si>
  <si>
    <t>APLICACION DE ESTIMULOS FISCALES</t>
  </si>
  <si>
    <t>01D265000</t>
  </si>
  <si>
    <t>01D266000</t>
  </si>
  <si>
    <t>APLICO LO PREVISTO EN EL ARTICULO 2.2. DEL DECRETO PUBLICADO EN EL DIARIO OFICIAL DE LA FEDERACION EL 26 DE DICIEMBRE DE 2013</t>
  </si>
  <si>
    <t>IMPUESTO ESPECIAL SOBRE PRODUCCION Y SERVICIOS (I.E.P.S.)</t>
  </si>
  <si>
    <t>01D267000</t>
  </si>
  <si>
    <t>ESTUVO OBLIGADO AL PAGO DEL I.E.P.S. EN EL EJERCICIO</t>
  </si>
  <si>
    <t>2016</t>
  </si>
  <si>
    <t>2015</t>
  </si>
  <si>
    <t>PORCENTAJE _x000D_
EN RELACION _x000D_
CON EL TOTAL _x000D_
DEL ACTIVO _x000D_
(AÑO ACTUAL)</t>
  </si>
  <si>
    <t>PORCENTAJE _x000D_
EN RELACION _x000D_
CON EL TOTAL _x000D_
DEL ACTIVO _x000D_
(AÑO ANTERIOR)</t>
  </si>
  <si>
    <t>VARIACION _x000D_
EN PESOS          RESPECTO AL             _x000D_AÑO ANTERIOR</t>
  </si>
  <si>
    <t>PORCENTAJE _x000D_
DE VARIACION _x000D_
EN PESOS_x000D_
 RESPECTO AL            AÑO ANTERIOR</t>
  </si>
  <si>
    <t>EXPLICAR         VARIACION</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</si>
  <si>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</si>
  <si>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</si>
  <si>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</si>
  <si>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</si>
  <si>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</si>
  <si>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</si>
  <si>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</si>
  <si>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</si>
  <si>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</si>
  <si>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</si>
  <si>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CUENTAS POR COBRAR</t>
  </si>
  <si>
    <t>01010005000000</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</si>
  <si>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</si>
  <si>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</si>
  <si>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</si>
  <si>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</si>
  <si>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</si>
  <si>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</si>
  <si>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</si>
  <si>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</si>
  <si>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</si>
  <si>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</si>
  <si>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</si>
  <si>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</si>
  <si>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</si>
  <si>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</si>
  <si>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</si>
  <si>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</si>
  <si>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</si>
  <si>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</si>
  <si>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</si>
  <si>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</si>
  <si>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TOTAL DE CUENTAS POR COBRAR</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</si>
  <si>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</si>
  <si>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</si>
  <si>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</si>
  <si>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</si>
  <si>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</si>
  <si>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</si>
  <si>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</si>
  <si>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</si>
  <si>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</si>
  <si>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</si>
  <si>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</si>
  <si>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</si>
  <si>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OTROS</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</si>
  <si>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</si>
  <si>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</si>
  <si>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</si>
  <si>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</si>
  <si>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</si>
  <si>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</si>
  <si>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</si>
  <si>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</si>
  <si>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</si>
  <si>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</si>
  <si>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</si>
  <si>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</si>
  <si>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</si>
  <si>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</si>
  <si>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</si>
  <si>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</si>
  <si>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</si>
  <si>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</si>
  <si>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</si>
  <si>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</si>
  <si>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</si>
  <si>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</si>
  <si>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</si>
  <si>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</si>
  <si>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</si>
  <si>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</si>
  <si>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</si>
  <si>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</si>
  <si>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</si>
  <si>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</si>
  <si>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</si>
  <si>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</si>
  <si>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</si>
  <si>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</si>
  <si>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</si>
  <si>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</si>
  <si>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</si>
  <si>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</si>
  <si>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</si>
  <si>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</si>
  <si>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</si>
  <si>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</si>
  <si>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</si>
  <si>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</si>
  <si>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</si>
  <si>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</si>
  <si>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</si>
  <si>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</si>
  <si>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</si>
  <si>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</si>
  <si>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</si>
  <si>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</si>
  <si>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</si>
  <si>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</si>
  <si>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</si>
  <si>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</si>
  <si>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</si>
  <si>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</si>
  <si>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</si>
  <si>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</si>
  <si>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</si>
  <si>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</si>
  <si>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</si>
  <si>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</si>
  <si>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</si>
  <si>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</si>
  <si>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</si>
  <si>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</si>
  <si>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</si>
  <si>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</si>
  <si>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</si>
  <si>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01010056000000</t>
  </si>
  <si>
    <t>01010057000000</t>
  </si>
  <si>
    <t>01010058000000</t>
  </si>
  <si>
    <t>01010059000000</t>
  </si>
  <si>
    <t>01010060000000</t>
  </si>
  <si>
    <t>01010061000000</t>
  </si>
  <si>
    <t>01010062000000</t>
  </si>
  <si>
    <t>TOTAL DE INMUEBLES, MAQUINARIA Y EQUIPO NETO</t>
  </si>
  <si>
    <t>ACTIVOS INTANGIBLES</t>
  </si>
  <si>
    <t>01010063000000</t>
  </si>
  <si>
    <t>GASTOS PREOPERATIVOS</t>
  </si>
  <si>
    <t>01010064000000</t>
  </si>
  <si>
    <t>INVESTIGACION DE MERCADO</t>
  </si>
  <si>
    <t>01010065000000</t>
  </si>
  <si>
    <t>PATENTES Y MARCAS</t>
  </si>
  <si>
    <t>01010066000000</t>
  </si>
  <si>
    <t>AMORTIZACIONES</t>
  </si>
  <si>
    <t>01010067000000</t>
  </si>
  <si>
    <t>01010068000000</t>
  </si>
  <si>
    <t>OTROS ACTIVOS INTANGIBLES</t>
  </si>
  <si>
    <t>01010069000000</t>
  </si>
  <si>
    <t>TOTAL DE ACTIVOS INTANGIBLES</t>
  </si>
  <si>
    <t>OTROS ACTIVOS</t>
  </si>
  <si>
    <t>01010070000000</t>
  </si>
  <si>
    <t>CREDITO MERCANTIL</t>
  </si>
  <si>
    <t>01010071000000</t>
  </si>
  <si>
    <t>01010072000000</t>
  </si>
  <si>
    <t>IMPUESTO SOBRE LA RENTA DIFERIDO</t>
  </si>
  <si>
    <t>01010073000000</t>
  </si>
  <si>
    <t>PARTICIPACION DE LOS TRABAJADORES EN LAS UTILIDADES DIFERIDA</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</si>
  <si>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</si>
  <si>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</si>
  <si>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</si>
  <si>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</si>
  <si>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</si>
  <si>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</si>
  <si>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</si>
  <si>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</si>
  <si>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</si>
  <si>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</si>
  <si>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</si>
  <si>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</si>
  <si>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</si>
  <si>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NACIONALES</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</si>
  <si>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</si>
  <si>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</si>
  <si>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</si>
  <si>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</si>
  <si>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</si>
  <si>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</si>
  <si>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</si>
  <si>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</si>
  <si>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</si>
  <si>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</si>
  <si>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</si>
  <si>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</si>
  <si>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</si>
  <si>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</si>
  <si>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</si>
  <si>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</si>
  <si>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</si>
  <si>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</si>
  <si>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</si>
  <si>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</si>
  <si>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</si>
  <si>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IMPUESTO SOBRE LA RENTA</t>
  </si>
  <si>
    <t>01010092000000</t>
  </si>
  <si>
    <t>IMPUESTO AL ACTIVO</t>
  </si>
  <si>
    <t>01010093000000</t>
  </si>
  <si>
    <t>01010094000000</t>
  </si>
  <si>
    <t>IMPUESTO EMPRESARIAL A TASA UNICA</t>
  </si>
  <si>
    <t>01010095000000</t>
  </si>
  <si>
    <t>IMPUESTO ESPECIAL SOBRE PRODUCCION Y SERVICIOS</t>
  </si>
  <si>
    <t>01010096000000</t>
  </si>
  <si>
    <t>IMPUESTO SOBRE AUTOMOVILES NUEVOS</t>
  </si>
  <si>
    <t>01010097000000</t>
  </si>
  <si>
    <t>IMPUESTOS LOCALES</t>
  </si>
  <si>
    <t>01010098000000</t>
  </si>
  <si>
    <t>CUOTAS PATRONALES SEGURO SOCIAL</t>
  </si>
  <si>
    <t>01010099000000</t>
  </si>
  <si>
    <t>CUOTAS OBRERAS SEGURO SOCIAL</t>
  </si>
  <si>
    <t>01010100000000</t>
  </si>
  <si>
    <t>APORTACIONES AL INFONAVIT</t>
  </si>
  <si>
    <t>01010101000000</t>
  </si>
  <si>
    <t>APORTACIONES AL SAR</t>
  </si>
  <si>
    <t>01010102000000</t>
  </si>
  <si>
    <t>IMPUESTO A LOS DEPOSITOS EN EFECTIVO</t>
  </si>
  <si>
    <t>01010103000000</t>
  </si>
  <si>
    <t>OTROS IMPUESTOS Y CONTRIBUCIONES</t>
  </si>
  <si>
    <t>01010104000000</t>
  </si>
  <si>
    <t>TOTAL DE CONTRIBUCIONES POR PAGAR</t>
  </si>
  <si>
    <t>OTROS PASIVOS</t>
  </si>
  <si>
    <t>01010105000000</t>
  </si>
  <si>
    <t>IMPUESTO AL VALOR AGREGADO NO COBRADO</t>
  </si>
  <si>
    <t>01010106000000</t>
  </si>
  <si>
    <t>PARTICIPACION DE LOS TRABAJADORES EN LAS UTILIDADES</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</si>
  <si>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</si>
  <si>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</si>
  <si>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</si>
  <si>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</si>
  <si>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</si>
  <si>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</si>
  <si>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</si>
  <si>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</si>
  <si>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</si>
  <si>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</si>
  <si>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</si>
  <si>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</si>
  <si>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</si>
  <si>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</si>
  <si>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</si>
  <si>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</si>
  <si>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</si>
  <si>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</si>
  <si>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</si>
  <si>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</si>
  <si>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</si>
  <si>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</si>
  <si>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</si>
  <si>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</si>
  <si>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</si>
  <si>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</si>
  <si>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</si>
  <si>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</si>
  <si>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</si>
  <si>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</si>
  <si>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</si>
  <si>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</si>
  <si>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</si>
  <si>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</si>
  <si>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</si>
  <si>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</si>
  <si>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</si>
  <si>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</si>
  <si>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</si>
  <si>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</si>
  <si>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</si>
  <si>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</si>
  <si>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</si>
  <si>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</si>
  <si>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</si>
  <si>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</si>
  <si>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01010132000000</t>
  </si>
  <si>
    <t>APORTACIONES PARA FUTUROS AUMENTOS DE CAPITAL</t>
  </si>
  <si>
    <t>01010133000000</t>
  </si>
  <si>
    <t>01010134000000</t>
  </si>
  <si>
    <t>RESERVA LEGAL</t>
  </si>
  <si>
    <t>01010135000000</t>
  </si>
  <si>
    <t>01010136000000</t>
  </si>
  <si>
    <t>PERDIDA NETA</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</si>
  <si>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</si>
  <si>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</si>
  <si>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</si>
  <si>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</si>
  <si>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</si>
  <si>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</si>
  <si>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</si>
  <si>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</si>
  <si>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</si>
  <si>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</si>
  <si>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</si>
  <si>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</si>
  <si>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</si>
  <si>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</si>
  <si>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</si>
  <si>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</si>
  <si>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</si>
  <si>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</si>
  <si>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</si>
  <si>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</si>
  <si>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</si>
  <si>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</si>
  <si>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</si>
  <si>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</si>
  <si>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</si>
  <si>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LAS NOTAS ADJUNTAS SON PARTE INTEGRANTE DE ESTE ESTADO FINANCIERO</t>
  </si>
  <si>
    <t>TOTAL  2016</t>
  </si>
  <si>
    <t>PARTES _x000D_
RELACIONADAS _x000D_
2016</t>
  </si>
  <si>
    <t>01020000000000</t>
  </si>
  <si>
    <t>TOTAL DE VENTAS O INGRESOS NETOS</t>
  </si>
  <si>
    <t>MENOS:</t>
  </si>
  <si>
    <t>01020001000000</t>
  </si>
  <si>
    <t>COSTO DE VENTAS</t>
  </si>
  <si>
    <t>01020002000000</t>
  </si>
  <si>
    <t>PERDIDA BRUTA</t>
  </si>
  <si>
    <t>01020003000000</t>
  </si>
  <si>
    <t>UTILIDAD BRUTA</t>
  </si>
  <si>
    <t>GASTOS DE OPERACION</t>
  </si>
  <si>
    <t>01020004000000</t>
  </si>
  <si>
    <t>GASTOS GENERALES</t>
  </si>
  <si>
    <t>01020005000000</t>
  </si>
  <si>
    <t>GASTOS DE ADMINISTRACION</t>
  </si>
  <si>
    <t>01020006000000</t>
  </si>
  <si>
    <t>GASTOS DE VENTA</t>
  </si>
  <si>
    <t>01020007000000</t>
  </si>
  <si>
    <t>TOTAL</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</si>
  <si>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</si>
  <si>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</si>
  <si>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</si>
  <si>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</si>
  <si>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</si>
  <si>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</si>
  <si>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</si>
  <si>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</si>
  <si>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</si>
  <si>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</si>
  <si>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</si>
  <si>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</si>
  <si>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</si>
  <si>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</si>
  <si>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</si>
  <si>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</si>
  <si>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</si>
  <si>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</si>
  <si>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</si>
  <si>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</si>
  <si>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</si>
  <si>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</si>
  <si>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</si>
  <si>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</si>
  <si>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</si>
  <si>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</si>
  <si>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</si>
  <si>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</si>
  <si>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</si>
  <si>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</si>
  <si>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</si>
  <si>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</si>
  <si>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</si>
  <si>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</si>
  <si>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</si>
  <si>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</si>
  <si>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</si>
  <si>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</si>
  <si>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</si>
  <si>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</si>
  <si>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</si>
  <si>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</si>
  <si>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</si>
  <si>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</si>
  <si>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</si>
  <si>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</si>
  <si>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</si>
  <si>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</si>
  <si>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</si>
  <si>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</si>
  <si>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01020032000000</t>
  </si>
  <si>
    <t>OTRAS PROVISIONES</t>
  </si>
  <si>
    <t>01020033000000</t>
  </si>
  <si>
    <t>01020034000000</t>
  </si>
  <si>
    <t>01020035000000</t>
  </si>
  <si>
    <t>UTILIDAD NETA</t>
  </si>
  <si>
    <t>OTROS RESULTADOS INTEGRALES</t>
  </si>
  <si>
    <t>01020036000000</t>
  </si>
  <si>
    <t>01020037000000</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</si>
  <si>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</si>
  <si>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</si>
  <si>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</si>
  <si>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</si>
  <si>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</si>
  <si>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</si>
  <si>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</si>
  <si>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</si>
  <si>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</si>
  <si>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01020043000000</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</si>
  <si>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</si>
  <si>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</si>
  <si>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</si>
  <si>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</si>
  <si>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</si>
  <si>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</si>
  <si>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</si>
  <si>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</si>
  <si>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</si>
  <si>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</si>
  <si>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</si>
  <si>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</si>
  <si>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</si>
  <si>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</si>
  <si>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</si>
  <si>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</si>
  <si>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</si>
  <si>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</si>
  <si>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</si>
  <si>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RETENIDAS_x000D_
DE EJERCICIOS_x000D_
ANTERIORES</t>
  </si>
  <si>
    <t>PERDIDAS_x000D_
ACUMULADAS_x000D_
DE EJERCICIOS _x000D_
ANTERIORES</t>
  </si>
  <si>
    <t>OTROS         RESULTADOS INTEGRALES 
(DEUDOR)                      SIN EFECTO             FISCAL</t>
  </si>
  <si>
    <t>OTROS         RESULTADOS INTEGRALES _x000D_
(DEUDOR)_x000D_
CON EFECTO _x000D_
FISCAL</t>
  </si>
  <si>
    <t>OTROS           RESULTADOS INTEGRALES  (ACREEDOR)                 SIN EFECTO             FISCAL</t>
  </si>
  <si>
    <t>OTROS         RESULTADOS INTEGRALES (ACREEDOR)_x000D_
CON EFECTO _x000D_
FISCAL</t>
  </si>
  <si>
    <t xml:space="preserve">EXCESO EN LA       ACTUALIZACION DEL CAPITAL           CONTABLE
</t>
  </si>
  <si>
    <t>INSUFICIENCIA _x000D_
EN LA _x000D_
ACTUALIZACION _x000D_
DEL CAPITAL _x000D_
CONTABLE</t>
  </si>
  <si>
    <t xml:space="preserve">RESULTADO                  POR TENENCIA               DE _x000D_ACTIVOS                 NO MONETARIOS_x000D_
</t>
  </si>
  <si>
    <t xml:space="preserve">OTRAS                CUENTAS _x000D_
DE CAPITAL ACREEDORAS_x000D_
</t>
  </si>
  <si>
    <t xml:space="preserve">OTRAS                CUENTAS
DE CAPITAL 
DEUDORAS
</t>
  </si>
  <si>
    <t>TOTAL                          DEL CAPITAL     CONTABLE</t>
  </si>
  <si>
    <t>01030000000000</t>
  </si>
  <si>
    <t>01030001000000</t>
  </si>
  <si>
    <t>AJUSTE POR APLICACIÓN RETROSPECTIVA POR CAMBIOS CONTABLES Y CORRECCIONES DE ERRORES</t>
  </si>
  <si>
    <t>01030002000000</t>
  </si>
  <si>
    <t>01030003000000</t>
  </si>
  <si>
    <t>01030004000000</t>
  </si>
  <si>
    <t>AUMENTO O DISMINUCION DEL CAPITAL SOCIAL</t>
  </si>
  <si>
    <t>01030005000000</t>
  </si>
  <si>
    <t>DIVIDENDOS PAGADOS</t>
  </si>
  <si>
    <t>01030006000000</t>
  </si>
  <si>
    <t>01030007000000</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</si>
  <si>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</si>
  <si>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</si>
  <si>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</si>
  <si>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</si>
  <si>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</si>
  <si>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</si>
  <si>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</si>
  <si>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</si>
  <si>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</si>
  <si>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</si>
  <si>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</si>
  <si>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</si>
  <si>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</si>
  <si>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</si>
  <si>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</si>
  <si>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</si>
  <si>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</si>
  <si>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</si>
  <si>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</si>
  <si>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</si>
  <si>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01030024000000</t>
  </si>
  <si>
    <t>01030025000000</t>
  </si>
  <si>
    <t>01030026000000</t>
  </si>
  <si>
    <t>01030027000000</t>
  </si>
  <si>
    <t>01030028000000</t>
  </si>
  <si>
    <t>01030029000000</t>
  </si>
  <si>
    <t>01030030000000</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</si>
  <si>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</si>
  <si>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</si>
  <si>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</si>
  <si>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</si>
  <si>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</si>
  <si>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</si>
  <si>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</si>
  <si>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</si>
  <si>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</si>
  <si>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</si>
  <si>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</si>
  <si>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</si>
  <si>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</si>
  <si>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</si>
  <si>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</si>
  <si>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</si>
  <si>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</si>
  <si>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ACTIVIDADES DE OPERACION</t>
  </si>
  <si>
    <t>01040000000000</t>
  </si>
  <si>
    <t>01040001000000</t>
  </si>
  <si>
    <t>PARTIDAS RELACIONADAS CON ACTIVIDADES DE INVERSION</t>
  </si>
  <si>
    <t>01040002000000</t>
  </si>
  <si>
    <t>DEPRECIACIONES Y AMORTIZACIONES</t>
  </si>
  <si>
    <t>01040003000000</t>
  </si>
  <si>
    <t>PERDIDA POR DETERIORO DE ACTIVOS</t>
  </si>
  <si>
    <t>01040004000000</t>
  </si>
  <si>
    <t>UTILIDAD POR VENTA DE ACTIVO FIJO Y TERRENO</t>
  </si>
  <si>
    <t>01040005000000</t>
  </si>
  <si>
    <t>01040006000000</t>
  </si>
  <si>
    <t>DIVIDENDOS COBRADOS</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</si>
  <si>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</si>
  <si>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</si>
  <si>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</si>
  <si>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</si>
  <si>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</si>
  <si>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</si>
  <si>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</si>
  <si>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</si>
  <si>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</si>
  <si>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</si>
  <si>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</si>
  <si>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</si>
  <si>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</si>
  <si>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</si>
  <si>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</si>
  <si>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</si>
  <si>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</si>
  <si>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</si>
  <si>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</si>
  <si>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</si>
  <si>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</si>
  <si>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</si>
  <si>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</si>
  <si>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</si>
  <si>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</si>
  <si>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</si>
  <si>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</si>
  <si>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</si>
  <si>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</si>
  <si>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</si>
  <si>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</si>
  <si>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</si>
  <si>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</si>
  <si>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</si>
  <si>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</si>
  <si>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</si>
  <si>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</si>
  <si>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</si>
  <si>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</si>
  <si>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</si>
  <si>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</si>
  <si>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</si>
  <si>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</si>
  <si>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</si>
  <si>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</si>
  <si>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</si>
  <si>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</si>
  <si>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</si>
  <si>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</si>
  <si>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</si>
  <si>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</si>
  <si>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</si>
  <si>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</si>
  <si>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</si>
  <si>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</si>
  <si>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</si>
  <si>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</si>
  <si>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</si>
  <si>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</si>
  <si>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</si>
  <si>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</si>
  <si>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</si>
  <si>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</si>
  <si>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</si>
  <si>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</si>
  <si>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</si>
  <si>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</si>
  <si>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</si>
  <si>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</si>
  <si>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</si>
  <si>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</si>
  <si>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</si>
  <si>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</si>
  <si>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</si>
  <si>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</si>
  <si>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</si>
  <si>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01040046000000</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</si>
  <si>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</si>
  <si>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</si>
  <si>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</si>
  <si>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</si>
  <si>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</si>
  <si>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</si>
  <si>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</si>
  <si>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</si>
  <si>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</si>
  <si>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</si>
  <si>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</si>
  <si>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</si>
  <si>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</si>
  <si>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</si>
  <si>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</si>
  <si>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</si>
  <si>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</si>
  <si>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</si>
  <si>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</si>
  <si>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</si>
  <si>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</si>
  <si>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</si>
  <si>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</si>
  <si>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</si>
  <si>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</si>
  <si>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</si>
  <si>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</si>
  <si>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</si>
  <si>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</si>
  <si>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</si>
  <si>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</si>
  <si>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</si>
  <si>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</si>
  <si>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</si>
  <si>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</si>
  <si>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</si>
  <si>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</si>
  <si>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</si>
  <si>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</si>
  <si>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</si>
  <si>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</si>
  <si>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</si>
  <si>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</si>
  <si>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</si>
  <si>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</si>
  <si>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</si>
  <si>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</si>
  <si>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</si>
  <si>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</si>
  <si>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</si>
  <si>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</si>
  <si>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EFECTOS POR CAMBIOS EN EL VALOR DEL EFECTIVO POR CONVERSION DE LOS SALDOS Y FLUJOS DE EFECTIVO DE SUS OPERACIONES EXTRANJERAS, A LA MONEDA DE INFORME</t>
  </si>
  <si>
    <t>01040085000000</t>
  </si>
  <si>
    <t>01040086000000</t>
  </si>
  <si>
    <t>01040087000000</t>
  </si>
  <si>
    <t>01040088000000</t>
  </si>
  <si>
    <t>01040089000000</t>
  </si>
  <si>
    <t>PORCENTAJE _x000D_
EN RELACION _x000D_
CON EL TOTAL _x000D_
DE VENTAS                      O INGRESOS _x000D_
NETOS_x000D_
ACTUALIZADO_x000D_
(AÑO ACTUAL)</t>
  </si>
  <si>
    <t>PORCENTAJE _x000D_
EN RELACION _x000D_
CON EL TOTAL _x000D_
DE VENTAS                      O INGRESOS _x000D_
NETOS_x000D_
ACTUALIZADO_x000D_
(AÑO ANTERIOR)</t>
  </si>
  <si>
    <t>VARIACION _x000D_
EN PESOS          RESPECTO AL _x000D_
AÑO ANTERIOR</t>
  </si>
  <si>
    <t>EXPLICAR          VARIACION</t>
  </si>
  <si>
    <t>01050000000000</t>
  </si>
  <si>
    <t>VENTAS TOTALES A NACIONALES DE INVENTARIOS PRODUCIDOS</t>
  </si>
  <si>
    <t>01050001000000</t>
  </si>
  <si>
    <t>01050002000000</t>
  </si>
  <si>
    <t>TOTAL DE VENTAS DE INVENTARIOS PRODUCIDOS</t>
  </si>
  <si>
    <t>01050003000000</t>
  </si>
  <si>
    <t>VENTAS TOTALES A NACIONALES DE INVENTARIOS ADQUIRIDOS PARA SU DISTRIBUCION</t>
  </si>
  <si>
    <t>01050004000000</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</si>
  <si>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</si>
  <si>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</si>
  <si>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</si>
  <si>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</si>
  <si>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</si>
  <si>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</si>
  <si>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</si>
  <si>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</si>
  <si>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</si>
  <si>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</si>
  <si>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</si>
  <si>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</si>
  <si>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</si>
  <si>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</si>
  <si>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</si>
  <si>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</si>
  <si>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</si>
  <si>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</si>
  <si>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COMISIONES</t>
  </si>
  <si>
    <t>01050014000000</t>
  </si>
  <si>
    <t>REGALIAS</t>
  </si>
  <si>
    <t>01050015000000</t>
  </si>
  <si>
    <t>ASISTENCIA TECNICA</t>
  </si>
  <si>
    <t>01050016000000</t>
  </si>
  <si>
    <t>ARRENDAMIENTO</t>
  </si>
  <si>
    <t>01050017000000</t>
  </si>
  <si>
    <t>GANANCIA EN ENAJENACION DE ACCIONES</t>
  </si>
  <si>
    <t>01050018000000</t>
  </si>
  <si>
    <t>01050019000000</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</si>
  <si>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</si>
  <si>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</si>
  <si>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</si>
  <si>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</si>
  <si>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</si>
  <si>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</si>
  <si>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</si>
  <si>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</si>
  <si>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</si>
  <si>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</si>
  <si>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</si>
  <si>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</si>
  <si>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</si>
  <si>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</si>
  <si>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</si>
  <si>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</si>
  <si>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01060000000000</t>
  </si>
  <si>
    <t>INVENTARIO INICIAL DE MATERIA PRIMA</t>
  </si>
  <si>
    <t>MAS:</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</si>
  <si>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</si>
  <si>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</si>
  <si>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</si>
  <si>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</si>
  <si>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</si>
  <si>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</si>
  <si>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</si>
  <si>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</si>
  <si>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</si>
  <si>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</si>
  <si>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</si>
  <si>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</si>
  <si>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</si>
  <si>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</si>
  <si>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</si>
  <si>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</si>
  <si>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</si>
  <si>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</si>
  <si>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</si>
  <si>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</si>
  <si>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</si>
  <si>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</si>
  <si>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</si>
  <si>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</si>
  <si>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</si>
  <si>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</si>
  <si>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</si>
  <si>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</si>
  <si>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</si>
  <si>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</si>
  <si>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</si>
  <si>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</si>
  <si>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</si>
  <si>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</si>
  <si>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</si>
  <si>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</si>
  <si>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</si>
  <si>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</si>
  <si>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</si>
  <si>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</si>
  <si>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</si>
  <si>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</si>
  <si>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</si>
  <si>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</si>
  <si>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</si>
  <si>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</si>
  <si>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</si>
  <si>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</si>
  <si>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</si>
  <si>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</si>
  <si>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</si>
  <si>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</si>
  <si>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</si>
  <si>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</si>
  <si>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</si>
  <si>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</si>
  <si>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</si>
  <si>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</si>
  <si>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</si>
  <si>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</si>
  <si>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</si>
  <si>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</si>
  <si>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</si>
  <si>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01060036000000</t>
  </si>
  <si>
    <t>DEPRECIACION CONTABLE</t>
  </si>
  <si>
    <t>01060037000000</t>
  </si>
  <si>
    <t>DEPRECIACION FISCAL</t>
  </si>
  <si>
    <t>01060038000000</t>
  </si>
  <si>
    <t>01060039000000</t>
  </si>
  <si>
    <t>GASTOS DE FABRICACION: PORCENTAJE _x000D_
EN RELACION _x000D_
CON EL TOTAL _x000D_
DE GASTOS _x000D_ACTUALIZADO
(AÑO ACTUAL)</t>
  </si>
  <si>
    <t>GASTOS DE FABRICACION: PORCENTAJE _x000D_
EN RELACION _x000D_
CON EL TOTAL _x000D_
DE GASTOS ACTUALIZADO _x000D_
(AÑO ANTERIOR)</t>
  </si>
  <si>
    <t>GASTOS DE FABRICACION: VARIACION _x000D_
EN PESOS        RESPECTO AL _x000D_
AÑO ANTERIOR</t>
  </si>
  <si>
    <t>GASTOS DE FABRICACION: PORCENTAJE _x000D_
DE VARIACION _x000D_
EN PESOS_x000D_
 RESPECTO AL              AÑO ANTERIOR</t>
  </si>
  <si>
    <t xml:space="preserve"> GASTOS DE FABRICACION:      EXPLICAR        VARIACION</t>
  </si>
  <si>
    <t>GASTOS DE              VENTA :
 PORCENTAJE   _x000D_
EN RELACION _x000D_
CON EL TOTAL _x000D_
DE GASTOS  ACTUALIZADO_x000D_
(AÑO ACTUAL)</t>
  </si>
  <si>
    <t>GASTOS DE               VENTA :
PORCENTAJE _x000D_
EN RELACION  _x000D_
CON EL TOTAL _x000D_
DE GASTOS _x000D_ACTUALIZADO
(AÑO ANTERIOR)</t>
  </si>
  <si>
    <t xml:space="preserve">GASTOS DE              VENTA :
VARIACION _x000D_
EN PESOS        RESPECTO AL _x000D_
AÑO ANTERIOR </t>
  </si>
  <si>
    <t xml:space="preserve">GASTOS DE              VENTA :
PORCENTAJE _x000D_
DE VARIACION _x000D_
EN PESOS_x000D_
 RESPECTO AL AÑO ANTERIOR </t>
  </si>
  <si>
    <t xml:space="preserve">GASTOS DE              VENTA :
EXPLICAR        VARIACION </t>
  </si>
  <si>
    <t xml:space="preserve">GASTOS DE ADMINISTRACION:
PORCENTAJE _x000D_
EN RELACION _x000D_
CON EL TOTAL _x000D_
DE GASTOS ACTUALIZADO _x000D_
(AÑO ACTUAL) </t>
  </si>
  <si>
    <t xml:space="preserve">GASTOS DE ADMINISTRACION:
PORCENTAJE _x000D_
EN RELACION _x000D_
CON EL TOTAL _x000D_
DE GASTOS ACTUALIZADO_x000D_
(AÑO ANTERIOR) </t>
  </si>
  <si>
    <t xml:space="preserve">GASTOS DE ADMINISTRACION:
VARIACION _x000D_
EN PESOS       RESPECTO AL              _x000D_AÑO ANTERIOR  </t>
  </si>
  <si>
    <t xml:space="preserve">GASTOS DE ADMINISTRACION:
PORCENTAJE _x000D_
DE VARIACION _x000D_
EN PESOS_x000D_
 RESPECTO AL              AÑO ANTERIOR  </t>
  </si>
  <si>
    <t xml:space="preserve">GASTOS DE ADMINISTRACION:
EXPLICAR        VARIACION  </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</si>
  <si>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</si>
  <si>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</si>
  <si>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</si>
  <si>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</si>
  <si>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</si>
  <si>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2016</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</si>
  <si>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</si>
  <si>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</si>
  <si>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</si>
  <si>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</si>
  <si>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</si>
  <si>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</si>
  <si>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</si>
  <si>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</si>
  <si>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</si>
  <si>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</si>
  <si>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</si>
  <si>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</si>
  <si>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</si>
  <si>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</si>
  <si>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</si>
  <si>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</si>
  <si>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</si>
  <si>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01070009000000</t>
  </si>
  <si>
    <t>OTRAS REMUNERACIONES</t>
  </si>
  <si>
    <t>01070010000000</t>
  </si>
  <si>
    <t>TOTAL DE REMUNERACIONES</t>
  </si>
  <si>
    <t xml:space="preserve"> </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</si>
  <si>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</si>
  <si>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</si>
  <si>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</si>
  <si>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</si>
  <si>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</si>
  <si>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</si>
  <si>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</si>
  <si>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</si>
  <si>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</si>
  <si>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</si>
  <si>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</si>
  <si>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</si>
  <si>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</si>
  <si>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</si>
  <si>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</si>
  <si>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</si>
  <si>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</si>
  <si>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01070019000000</t>
  </si>
  <si>
    <t>IMPUESTO SOBRE NOMINAS</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</si>
  <si>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</si>
  <si>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</si>
  <si>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</si>
  <si>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</si>
  <si>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</si>
  <si>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</si>
  <si>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</si>
  <si>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</si>
  <si>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</si>
  <si>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</si>
  <si>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</si>
  <si>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</si>
  <si>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</si>
  <si>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</si>
  <si>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</si>
  <si>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</si>
  <si>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</si>
  <si>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</si>
  <si>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</si>
  <si>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</si>
  <si>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</si>
  <si>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</si>
  <si>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</si>
  <si>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</si>
  <si>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</si>
  <si>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01070033000000</t>
  </si>
  <si>
    <t>01070034000000</t>
  </si>
  <si>
    <t>TOTAL DE DEPRECIACIONES</t>
  </si>
  <si>
    <t>01070035000000</t>
  </si>
  <si>
    <t>01070036000000</t>
  </si>
  <si>
    <t>TOTAL DE AMORTIZACIONES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</si>
  <si>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</si>
  <si>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</si>
  <si>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</si>
  <si>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</si>
  <si>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</si>
  <si>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</si>
  <si>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</si>
  <si>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</si>
  <si>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</si>
  <si>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</si>
  <si>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</si>
  <si>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</si>
  <si>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</si>
  <si>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</si>
  <si>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</si>
  <si>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</si>
  <si>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</si>
  <si>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</si>
  <si>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</si>
  <si>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</si>
  <si>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</si>
  <si>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</si>
  <si>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</si>
  <si>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</si>
  <si>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</si>
  <si>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</si>
  <si>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</si>
  <si>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</si>
  <si>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</si>
  <si>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</si>
  <si>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</si>
  <si>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</si>
  <si>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</si>
  <si>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</si>
  <si>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</si>
  <si>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</si>
  <si>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</si>
  <si>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</si>
  <si>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</si>
  <si>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</si>
  <si>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</si>
  <si>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</si>
  <si>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</si>
  <si>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</si>
  <si>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</si>
  <si>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</si>
  <si>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</si>
  <si>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</si>
  <si>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01070062000000</t>
  </si>
  <si>
    <t>01070063000000</t>
  </si>
  <si>
    <t>REGALIAS SUJETAS AL 10%</t>
  </si>
  <si>
    <t>01070064000000</t>
  </si>
  <si>
    <t>01070065000000</t>
  </si>
  <si>
    <t>REGALIAS SUJETAS AL 35%</t>
  </si>
  <si>
    <t>01070066000000</t>
  </si>
  <si>
    <t>COMISIONES SOBRE VENTAS</t>
  </si>
  <si>
    <t>01070067000000</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</si>
  <si>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</si>
  <si>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</si>
  <si>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</si>
  <si>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</si>
  <si>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</si>
  <si>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</si>
  <si>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</si>
  <si>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</si>
  <si>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</si>
  <si>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</si>
  <si>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</si>
  <si>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</si>
  <si>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</si>
  <si>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</si>
  <si>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</si>
  <si>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</si>
  <si>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</si>
  <si>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</si>
  <si>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</si>
  <si>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</si>
  <si>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</si>
  <si>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01070079000000</t>
  </si>
  <si>
    <t>01070080000000</t>
  </si>
  <si>
    <t>TOTAL DE OTROS GASTOS</t>
  </si>
  <si>
    <t>01070081000000</t>
  </si>
  <si>
    <t>TOTAL DE GASTOS</t>
  </si>
  <si>
    <t>01070082000000</t>
  </si>
  <si>
    <t>EFECTO DE REEXPRESION</t>
  </si>
  <si>
    <t>01070083000000</t>
  </si>
  <si>
    <t>TOTAL DE GASTOS ACTUALIZADO</t>
  </si>
  <si>
    <t>01080000000000</t>
  </si>
  <si>
    <t>BANCARIOS</t>
  </si>
  <si>
    <t>01080001000000</t>
  </si>
  <si>
    <t>PERSONAS FISICAS</t>
  </si>
  <si>
    <t>01080002000000</t>
  </si>
  <si>
    <t>PERSONAS MORALES</t>
  </si>
  <si>
    <t>EXTRANJEROS</t>
  </si>
  <si>
    <t>01080003000000</t>
  </si>
  <si>
    <t>01080004000000</t>
  </si>
  <si>
    <t>01080005000000</t>
  </si>
  <si>
    <t>01080006000000</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</si>
  <si>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</si>
  <si>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</si>
  <si>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</si>
  <si>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</si>
  <si>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</si>
  <si>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</si>
  <si>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</si>
  <si>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</si>
  <si>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</si>
  <si>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</si>
  <si>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</si>
  <si>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</si>
  <si>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</si>
  <si>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</si>
  <si>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</si>
  <si>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</si>
  <si>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</si>
  <si>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</si>
  <si>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</si>
  <si>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</si>
  <si>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</si>
  <si>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</si>
  <si>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</si>
  <si>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</si>
  <si>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</si>
  <si>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</si>
  <si>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</si>
  <si>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</si>
  <si>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</si>
  <si>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</si>
  <si>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</si>
  <si>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</si>
  <si>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</si>
  <si>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</si>
  <si>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</si>
  <si>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</si>
  <si>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</si>
  <si>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</si>
  <si>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</si>
  <si>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</si>
  <si>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</si>
  <si>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</si>
  <si>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</si>
  <si>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BASE                            GRAVABLE</t>
  </si>
  <si>
    <t>TASA,                                   TARIFA O                          CUOTA</t>
  </si>
  <si>
    <t>CONTRIBUCION DETERMINADA                 POR AUDITORIA                        A CARGO O                             A FAVOR</t>
  </si>
  <si>
    <t>CONTRIBUCION                      A CARGO O                                   SALDO A FAVOR DETERMINADO POR             EL CONTRIBUYENTE</t>
  </si>
  <si>
    <t>DIFERENCIA</t>
  </si>
  <si>
    <t>DIFERENCIAS _x000D_
NO MATERIALES_x000D_
NO INVESTIGADAS
POR AUDITORIA</t>
  </si>
  <si>
    <t>01090000000000</t>
  </si>
  <si>
    <t>01090001000000</t>
  </si>
  <si>
    <t>OTRAS REDUCCIONES DEL I.S.R.</t>
  </si>
  <si>
    <t>01090002000000</t>
  </si>
  <si>
    <t>I.S.R. CAUSADO EN EL EJERCICIO</t>
  </si>
  <si>
    <t>01090003000000</t>
  </si>
  <si>
    <t>01090004000000</t>
  </si>
  <si>
    <t>01090005000000</t>
  </si>
  <si>
    <t>ESTIMULO POR PROYECTOS DE INVERSION EN LA PRODUCCION CINEMATOGRAFICA NACIONAL</t>
  </si>
  <si>
    <t>01090006000000</t>
  </si>
  <si>
    <t>01090007000000</t>
  </si>
  <si>
    <t>01090008000000</t>
  </si>
  <si>
    <t>OTROS ESTIMULOS</t>
  </si>
  <si>
    <t>01090009000000</t>
  </si>
  <si>
    <t>TOTAL DE ESTIMULOS</t>
  </si>
  <si>
    <t>01090010000000</t>
  </si>
  <si>
    <t>PAGOS PROVISIONALES EFECTUADOS ENTERADOS A LA FEDERACION</t>
  </si>
  <si>
    <t>01090011000000</t>
  </si>
  <si>
    <t>I.S.R. RETENIDO AL CONTRIBUYENTE</t>
  </si>
  <si>
    <t>01090012000000</t>
  </si>
  <si>
    <t>I.S.R. ACREDITABLE PAGADO EN EL EXTRANJERO</t>
  </si>
  <si>
    <t>01090013000000</t>
  </si>
  <si>
    <t>I.S.R. ACREDITABLE POR DIVIDENDOS O UTILIDADES DISTRIBUIDOS</t>
  </si>
  <si>
    <t>01090014000000</t>
  </si>
  <si>
    <t>OTRAS CANTIDADES A CARGO</t>
  </si>
  <si>
    <t>01090015000000</t>
  </si>
  <si>
    <t>OTRAS CANTIDADES A FAVOR</t>
  </si>
  <si>
    <t>01090016000000</t>
  </si>
  <si>
    <t>DIFERENCIA A CARGO</t>
  </si>
  <si>
    <t>01090017000000</t>
  </si>
  <si>
    <t>DIFERENCIA A FAVOR</t>
  </si>
  <si>
    <t>01090018000000</t>
  </si>
  <si>
    <t>IMPUESTO SOBRE LA RENTA A CARGO DEL EJERCICIO</t>
  </si>
  <si>
    <t>01090019000000</t>
  </si>
  <si>
    <t>IMPUESTO SOBRE LA RENTA PAGADO EN DECLARACIONES ANUAL, NORMAL Y COMPLEMENTARIAS</t>
  </si>
  <si>
    <t>01090020000000</t>
  </si>
  <si>
    <t>DIFERENCIA A CARGO DEL EJERCICIO</t>
  </si>
  <si>
    <t>01090021000000</t>
  </si>
  <si>
    <t>I.S.R. PAGADO EN EXCESO APLICADO CONTRA EL I.E.T.U.</t>
  </si>
  <si>
    <t>01090022000000</t>
  </si>
  <si>
    <t>SALDO A FAVOR DEL EJERCICIO</t>
  </si>
  <si>
    <t>OTROS DATOS</t>
  </si>
  <si>
    <t>01090023000000</t>
  </si>
  <si>
    <t>01090024000000</t>
  </si>
  <si>
    <t>IMPUESTO SOBRE LA RENTA SOBRE DIVIDENDOS DISTRIBUIDOS NO PROVENIENTES DE CUFIN NI DE CUFINRE</t>
  </si>
  <si>
    <t>01090025000000</t>
  </si>
  <si>
    <t>IMPUESTO SOBRE LA RENTA SOBRE DIVIDENDOS DISTRIBUIDOS PROVENIENTES DE CUFINRE</t>
  </si>
  <si>
    <t>PERSONA FISICA</t>
  </si>
  <si>
    <t>01090026000000</t>
  </si>
  <si>
    <t>OTROS INGRESOS MANIFESTADOS COMO PERSONA FISICA</t>
  </si>
  <si>
    <t>IMPUESTO AL VALOR AGREGADO (I.V.A.)</t>
  </si>
  <si>
    <t>01090027000000</t>
  </si>
  <si>
    <t>VALOR DE LOS ACTOS O ACTIVIDADES GRAVADOS A LA TASA DEL 16%</t>
  </si>
  <si>
    <t>01090028000000</t>
  </si>
  <si>
    <t>VALOR DE LOS ACTOS O ACTIVIDADES GRAVADOS A LA TASA DEL 0%</t>
  </si>
  <si>
    <t>01090029000000</t>
  </si>
  <si>
    <t>SUMA DEL VALOR DE LOS ACTOS O ACTIVIDADES GRAVADOS</t>
  </si>
  <si>
    <t>01090030000000</t>
  </si>
  <si>
    <t>VALOR DE LOS ACTOS O ACTIVIDADES POR LOS QUE NO SE ESTA OBLIGADO AL PAGO (EXENTOS)</t>
  </si>
  <si>
    <t>01090031000000</t>
  </si>
  <si>
    <t>TOTAL DEL VALOR DE LOS ACTOS O ACTIVIDADES</t>
  </si>
  <si>
    <t>01090032000000</t>
  </si>
  <si>
    <t>SUMA DEL IVA CAUSADO DE LOS MESES DEL EJERCICIO</t>
  </si>
  <si>
    <t>01090033000000</t>
  </si>
  <si>
    <t>SUMA DEL IVA ACREDITABLE DE LOS MESES DEL EJERCICIO SIN INCLUIR SALDOS A FAVOR</t>
  </si>
  <si>
    <t>01090034000000</t>
  </si>
  <si>
    <t>SUMA DE COMPENSACIONES APLICADAS AL IVA DE OTRAS CONTRIBUCIONES FEDERALES EN LOS MESES DEL EJERCICIO</t>
  </si>
  <si>
    <t>01090035000000</t>
  </si>
  <si>
    <t>SUMA DE ACREDITAMIENTOS DE SALDOS A FAVOR DE IVA</t>
  </si>
  <si>
    <t>01090036000000</t>
  </si>
  <si>
    <t>SUMA DEL IVA DEVUELTO EN LOS MESES DEL EJERCICIO</t>
  </si>
  <si>
    <t>01090037000000</t>
  </si>
  <si>
    <t>VALOR DE LOS ACTOS O ACTIVIDADES GRAVADOS A LA TASA DEL 3 % (REDES PUBLICAS DE TELECOMUNICACIONES)</t>
  </si>
  <si>
    <t>01090038000000</t>
  </si>
  <si>
    <t>VALOR DE LOS ACTOS O ACTIVIDADES GRAVADOS A LA TASA DEL 25 % (BEBIDAS ENERGETIZANTES, ASI COMO CONCENTRADOS, POLVOS Y JARABES PARA PREPARAR BEBIDAS ENERGETIZANTES)</t>
  </si>
  <si>
    <t>01090039000000</t>
  </si>
  <si>
    <t>VALOR DE LOS ACTOS O ACTIVIDADES GRAVADOS A LA TASA DEL 26.5 % (BEBIDAS CON CONTENIDO ALCOHOLICO Y CERVEZA CON GRADUACION ALCOHOLICA DE HASTA 14°G.L.)</t>
  </si>
  <si>
    <t>01090040000000</t>
  </si>
  <si>
    <t>VALOR DE LOS ACTOS O ACTIVIDADES GRAVADOS A LA TASA DEL 30% (BEBIDAS CON CONTENIDO ALCOHOLICO Y CERVEZA CON GRADUACION ALCOHOLICA DE MAS DE 14°G.L. Y HASTA 20°G.L.)</t>
  </si>
  <si>
    <t>01090041000000</t>
  </si>
  <si>
    <t>VALOR DE LOS ACTOS O ACTIVIDADES GRAVADOS A LA TASA DEL 30 % (JUEGOS CON APUESTAS Y SORTEOS)</t>
  </si>
  <si>
    <t>01090042000000</t>
  </si>
  <si>
    <t>VALOR DE LOS ACTOS O ACTIVIDADES GRAVADOS A LA TASA DEL 30.4 % (TABACOS LABRADOS, PUROS Y OTROS TABACOS LABRADOS HECHOS ENTERAMENTE A MANO)</t>
  </si>
  <si>
    <t>01090043000000</t>
  </si>
  <si>
    <t>VALOR DE LOS ACTOS O ACTIVIDADES GRAVADOS A LA TASA DEL 50 % (ALCOHOL, ALCOHOL DESNATURALIZADO Y MIELES INCRISTALIZABLES)</t>
  </si>
  <si>
    <t>01090044000000</t>
  </si>
  <si>
    <t>VALOR DE LOS ACTOS O ACTIVIDADES GRAVADOS A LA TASA DEL 53 % (BEBIDAS CON CONTENIDO ALCOHOLICO Y CERVEZA CON GRADUACION ALCOHOLICA DE MAS DE 20°G.L.)</t>
  </si>
  <si>
    <t>01090045000000</t>
  </si>
  <si>
    <t>VALOR DE LOS ACTOS O ACTIVIDADES GRAVADOS A LA TASA DEL 160% (TABACOS LABRADOS, CIGARROS)</t>
  </si>
  <si>
    <t>01090046000000</t>
  </si>
  <si>
    <t>VALOR DE LOS ACTOS O ACTIVIDADES GRAVADOS A LA TASA DEL 160% (TABACOS LABRADOS, PUROS Y OTROS TABACOS LABRADOS)</t>
  </si>
  <si>
    <t>01090047000000</t>
  </si>
  <si>
    <t>VALOR DE LOS ACTOS O ACTIVIDADES GRAVADOS A OTRAS TASAS</t>
  </si>
  <si>
    <t>01090048000000</t>
  </si>
  <si>
    <t>01090049000000</t>
  </si>
  <si>
    <t>01090050000000</t>
  </si>
  <si>
    <t>01090051000000</t>
  </si>
  <si>
    <t>01090052000000</t>
  </si>
  <si>
    <t>01090053000000</t>
  </si>
  <si>
    <t>MONTO TOTAL DE ENAJENACIONES DE PLAGUICIDAS CATEGORIA 3 A LA TASA DEL 7%</t>
  </si>
  <si>
    <t>01090054000000</t>
  </si>
  <si>
    <t>MONTO TOTAL DE ENAJENACIONES DE PLAGUICIDAS CATEGORIA 4 A LA TASA DEL 6%</t>
  </si>
  <si>
    <t>01090055000000</t>
  </si>
  <si>
    <t>MONTO TOTAL DE ENAJENACIONES DE PLAGUICIDAS CATEGORIA 5</t>
  </si>
  <si>
    <t>01090056000000</t>
  </si>
  <si>
    <t>MONTO TOTAL DE ALIMENTOS NO BASICOS CON ALTA DENSIDAD CALORICA POR LAS ENAJENACIONES DE BOTANAS A LA TASA DEL 8%</t>
  </si>
  <si>
    <t>01090057000000</t>
  </si>
  <si>
    <t>MONTO TOTAL DE ALIMENTOS NO BASICOS CON ALTA DENSIDAD CALORICA POR LAS ENAJENACIONES DE PRODUCTOS DE CONFITERIA A LA TASA DEL 8%</t>
  </si>
  <si>
    <t>01090058000000</t>
  </si>
  <si>
    <t>MONTO TOTAL DE ALIMENTOS NO BASICOS CON ALTA DENSIDAD CALORICA POR LAS ENAJENACIONES DE CHOCOLATE Y DEMAS PRODUCTOS DERIVADOS DEL CACAO A LA TASA DEL 8%</t>
  </si>
  <si>
    <t>01090059000000</t>
  </si>
  <si>
    <t>MONTO TOTAL DE ALIMENTOS NO BASICOS CON ALTA DENSIDAD CALORICA POR LAS ENAJENACIONES DE FLANES Y PUDINES A LA TASA DEL 8%</t>
  </si>
  <si>
    <t>01090060000000</t>
  </si>
  <si>
    <t>MONTO TOTAL DE ALIMENTOS NO BASICOS CON ALTA DENSIDAD CALORICA POR LAS ENAJENACIONES DE DULCES DE FRUTAS Y HORTALIZAS A LA TASA DEL 8%</t>
  </si>
  <si>
    <t>01090061000000</t>
  </si>
  <si>
    <t>MONTO TOTAL DE ALIMENTOS NO BASICOS CON ALTA DENSIDAD CALORICA POR LAS ENAJENACIONES DE CREMAS DE CACAHUATE Y AVELLANAS A LA TASA DEL 8%</t>
  </si>
  <si>
    <t>01090062000000</t>
  </si>
  <si>
    <t>MONTO TOTAL DE ALIMENTOS NO BASICOS CON ALTA DENSIDAD CALORICA POR LAS ENAJENACIONES DE DULCES DE LECHE A LA TASA DEL 8%</t>
  </si>
  <si>
    <t>01090063000000</t>
  </si>
  <si>
    <t>MONTO TOTAL DE ALIMENTOS NO BASICOS CON ALTA DENSIDAD CALORICA POR LAS ENAJENACIONES DE ALIMENTOS PREPARADOS A BASE DE CEREALES A LA TASA DEL 8%</t>
  </si>
  <si>
    <t>01090064000000</t>
  </si>
  <si>
    <t>MONTO TOTAL DE ALIMENTOS NO BASICOS CON ALTA DENSIDAD CALORICA POR LAS ENAJENACIONES DE HELADOS, NIEVES Y PALETAS DE HIELO A LA TASA DEL 8%</t>
  </si>
  <si>
    <t>01090065000000</t>
  </si>
  <si>
    <t>01090066000000</t>
  </si>
  <si>
    <t>01090067000000</t>
  </si>
  <si>
    <t>01090068000000</t>
  </si>
  <si>
    <t>01090069000000</t>
  </si>
  <si>
    <t>01090070000000</t>
  </si>
  <si>
    <t>01090071000000</t>
  </si>
  <si>
    <t>01090072000000</t>
  </si>
  <si>
    <t>01090073000000</t>
  </si>
  <si>
    <t>01090074000000</t>
  </si>
  <si>
    <t>01090075000000</t>
  </si>
  <si>
    <t>SUMA DEL IEPS CAUSADO DE LOS MESES DEL EJERCICIO</t>
  </si>
  <si>
    <t>01090076000000</t>
  </si>
  <si>
    <t>VALOR DE LOS ACTOS O ACTIVIDADES IMPORTADOS A LA TASA DEL 25 % (BEBIDAS ENERGETIZANTES, ASI COMO CONCENTRADOS, POLVOS Y JARABES PARA PREPARAR BEBIDAS ENERGETIZANTES)</t>
  </si>
  <si>
    <t>01090077000000</t>
  </si>
  <si>
    <t>VALOR DE LOS ACTOS O ACTIVIDADES IMPORTADOS A LA TASA DEL 26.5 % (BEBIDAS CON CONTENIDO ALCOHOLICO Y CERVEZA CON GRADUACION ALCOHOLICA DE HASTA 14°G.L.)</t>
  </si>
  <si>
    <t>01090078000000</t>
  </si>
  <si>
    <t>VALOR DE LOS ACTOS O ACTIVIDADES IMPORTADOS A LA TASA DEL 30 % (BEBIDAS CON CONTENIDO ALCOHOLICO Y CERVEZA CON GRADUACION ALCOHOLICA DE MAS DE 14°G.L. Y HASTA 20°G.L.)</t>
  </si>
  <si>
    <t>01090079000000</t>
  </si>
  <si>
    <t>VALOR DE LOS ACTOS O ACTIVIDADES IMPORTADOS A LA TASA DEL 30.4 % (TABACOS LABRADOS, PUROS Y OTROS TABACOS LABRADOS HECHOS ENTERAMENTE A MANO)</t>
  </si>
  <si>
    <t>01090080000000</t>
  </si>
  <si>
    <t>VALOR DE LOS ACTOS O ACTIVIDADES IMPORTADOS A LA TASA DEL 53 % (BEBIDAS CON CONTENIDO ALCOHOLICO Y CERVEZA CON GRADUACION ALCOHOLICA DE MAS DE 20°G.L.)</t>
  </si>
  <si>
    <t>01090081000000</t>
  </si>
  <si>
    <t>VALOR DE LOS ACTOS O ACTIVIDADES IMPORTADOS A LA TASA DEL 160% (TABACOS LABRADOS, CIGARROS)</t>
  </si>
  <si>
    <t>01090082000000</t>
  </si>
  <si>
    <t>VALOR DE LOS ACTOS O ACTIVIDADES IMPORTADOS A LA TASA DEL 160% (TABACOS LABRADOS, PUROS Y OTROS TABACOS LABRADOS)</t>
  </si>
  <si>
    <t>01090083000000</t>
  </si>
  <si>
    <t>VALOR DE LOS ACTOS O ACTIVIDADES IMPORTADOS A OTRAS TASAS</t>
  </si>
  <si>
    <t>01090084000000</t>
  </si>
  <si>
    <t>SUMA DEL VALOR DE LOS ACTOS O ACTIVIDADES IMPORTADOS</t>
  </si>
  <si>
    <t>01090085000000</t>
  </si>
  <si>
    <t>01090086000000</t>
  </si>
  <si>
    <t>01090087000000</t>
  </si>
  <si>
    <t>MONTO TOTAL DE IMPORTACIONES DE PLAGUICIDAS CATEGORIA 3 A LA TASA DEL 7%</t>
  </si>
  <si>
    <t>01090088000000</t>
  </si>
  <si>
    <t>MONTO TOTAL DE IMPORTACIONES DE PLAGUICIDAS CATEGORIA 4 A LA TASA DEL 6%</t>
  </si>
  <si>
    <t>01090089000000</t>
  </si>
  <si>
    <t>01090090000000</t>
  </si>
  <si>
    <t>MONTO TOTAL DE ALIMENTOS NO BASICOS CON ALTA DENSIDAD CALORICA POR LAS IMPORTACIONES DE BOTANAS A LA TASA DEL 8%</t>
  </si>
  <si>
    <t>01090091000000</t>
  </si>
  <si>
    <t>MONTO TOTAL DE ALIMENTOS NO BASICOS CON ALTA DENSIDAD CALORICA POR LAS IMPORTACIONES DE PRODUCTOS DE CONFITERIA A LA TASA DEL 8%</t>
  </si>
  <si>
    <t>01090092000000</t>
  </si>
  <si>
    <t>MONTO TOTAL DE ALIMENTOS NO BASICOS CON ALTA DENSIDAD CALORICA POR LAS IMPORTACIONES DE CHOCOLATE Y DEMAS PRODUCTOS DERIVADOS DEL CACAO A LA TASA DEL 8%</t>
  </si>
  <si>
    <t>01090093000000</t>
  </si>
  <si>
    <t>MONTO TOTAL DE ALIMENTOS NO BASICOS CON ALTA DENSIDAD CALORICA POR LAS IMPORTACIONES DE FLANES Y PUDINES A LA TASA DEL 8%</t>
  </si>
  <si>
    <t>01090094000000</t>
  </si>
  <si>
    <t>MONTO TOTAL DE ALIMENTOS NO BASICOS CON ALTA DENSIDAD CALORICA POR LAS IMPORTACIONES DE DULCES DE FRUTAS Y HORTALIZAS A LA TASA DEL 8%</t>
  </si>
  <si>
    <t>01090095000000</t>
  </si>
  <si>
    <t>MONTO TOTAL DE ALIMENTOS NO BASICOS CON ALTA DENSIDAD CALORICA POR LAS IMPORTACIONES DE CREMAS DE CACAHUATE Y AVELLANAS A LA TASA DEL 8%</t>
  </si>
  <si>
    <t>01090096000000</t>
  </si>
  <si>
    <t>MONTO TOTAL DE ALIMENTOS NO BASICOS CON ALTA DENSIDAD CALORICA POR LAS IMPORTACIONES DE DULCES DE LECHE A LA TASA DEL 8%</t>
  </si>
  <si>
    <t>01090097000000</t>
  </si>
  <si>
    <t>MONTO TOTAL DE ALIMENTOS NO BASICOS CON ALTA DENSIDAD CALORICA POR LAS IMPORTACIONES DE ALIMENTOS PREPARADOS A BASE DE CEREALES A LA TASA DEL 8%</t>
  </si>
  <si>
    <t>01090098000000</t>
  </si>
  <si>
    <t>MONTO TOTAL DE ALIMENTOS NO BASICOS CON ALTA DENSIDAD CALORICA POR LAS IMPORTACIONES DE HELADOS, NIEVES Y PALETAS DE HIELO A LA TASA DEL 8%</t>
  </si>
  <si>
    <t>01090099000000</t>
  </si>
  <si>
    <t>01090100000000</t>
  </si>
  <si>
    <t>01090101000000</t>
  </si>
  <si>
    <t>01090102000000</t>
  </si>
  <si>
    <t>01090103000000</t>
  </si>
  <si>
    <t>01090104000000</t>
  </si>
  <si>
    <t>01090105000000</t>
  </si>
  <si>
    <t>01090106000000</t>
  </si>
  <si>
    <t>01090107000000</t>
  </si>
  <si>
    <t>01090108000000</t>
  </si>
  <si>
    <t>01090109000000</t>
  </si>
  <si>
    <t>01090110000000</t>
  </si>
  <si>
    <t>01090111000000</t>
  </si>
  <si>
    <t>01090112000000</t>
  </si>
  <si>
    <t>01090113000000</t>
  </si>
  <si>
    <t>IMPUESTO CAUSADO POR CUOTA DE CIGARROS ENAJENADOS</t>
  </si>
  <si>
    <t>01090114000000</t>
  </si>
  <si>
    <t>IMPUESTO CAUSADO POR CUOTA DE CIGARROS IMPORTADOS</t>
  </si>
  <si>
    <t>01090115000000</t>
  </si>
  <si>
    <t>IMPUESTO CAUSADO POR CUOTA DE PUROS Y OTROS TABACOS LABRADOS CORRESPONDIENTE AL PESO TOTAL EN GRAMOS (PUROS Y OTROS TABACOS LABRADOS GRAVADOS ENAJENADOS ENTRE 0.75)</t>
  </si>
  <si>
    <t>01090116000000</t>
  </si>
  <si>
    <t>IMPUESTO CAUSADO POR CUOTA DE PUROS Y OTROS TABACOS LABRADOS CORRESPONDIENTE AL PESO TOTAL EN GRAMOS (PUROS Y OTROS TABACOS LABRADOS GRAVADOS IMPORTADOS ENTRE 0.75)</t>
  </si>
  <si>
    <t>01090117000000</t>
  </si>
  <si>
    <t>SUMA DEL IEPS ACREDITABLE DE LOS MESES DEL EJERCICIO</t>
  </si>
  <si>
    <t>01090118000000</t>
  </si>
  <si>
    <t>SUMA DE COMPENSACIONES DE SALDOS A FAVOR DE IEPS</t>
  </si>
  <si>
    <t>01090119000000</t>
  </si>
  <si>
    <t>SUMA DE COMPENSACIONES APLICADAS AL IEPS DE OTRAS CONTRIBUCIONES FEDERALES EN LOS MESES DEL EJERCICIO</t>
  </si>
  <si>
    <t>01090120000000</t>
  </si>
  <si>
    <t>SUMA DE ACREDITAMIENTOS DE SALDOS A FAVOR DE IEPS</t>
  </si>
  <si>
    <t>01090121000000</t>
  </si>
  <si>
    <t>SUMA DEL IEPS DEVUELTO EN LOS MESES DEL EJERCICIO</t>
  </si>
  <si>
    <t>IMPUESTO AL COMERCIO EXTERIOR</t>
  </si>
  <si>
    <t>01090122000000</t>
  </si>
  <si>
    <t>IMPUESTO GENERAL DE IMPORTACION</t>
  </si>
  <si>
    <t>01090123000000</t>
  </si>
  <si>
    <t>IMPUESTO GENERAL DE EXPORTACION</t>
  </si>
  <si>
    <t>01090124000000</t>
  </si>
  <si>
    <t>TOTAL DE IMPUESTOS AL COMERCIO EXTERIOR</t>
  </si>
  <si>
    <t>APORTACIONES DE SEGURIDAD SOCIAL</t>
  </si>
  <si>
    <t>01090125000000</t>
  </si>
  <si>
    <t>CUOTAS PATRONALES AL I.M.S.S.</t>
  </si>
  <si>
    <t>01090126000000</t>
  </si>
  <si>
    <t>01090127000000</t>
  </si>
  <si>
    <t>APORTACIONES AL SEGURO DE RETIRO</t>
  </si>
  <si>
    <t>DERECHOS POR LOS SERVICIOS QUE PRESTA</t>
  </si>
  <si>
    <t>01090128000000</t>
  </si>
  <si>
    <t>EL INSTITUTO NACIONAL DE MIGRACION (INM).- VISITANTE SIN PERMISO PARA REALIZAR ACTIVIDADES REMUNERADAS (ARTICULO 8, FRACCION I DE LA LEY FEDERAL DE DERECHOS)</t>
  </si>
  <si>
    <t>01090129000000</t>
  </si>
  <si>
    <t>EL INSTITUTO NACIONAL DE MIGRACION (INM).- SERVICIOS MIGRATORIOS (ARTICULO 12 DE LA LEY FEDERAL DE DERECHOS)</t>
  </si>
  <si>
    <t>01090130000000</t>
  </si>
  <si>
    <t>SERVICIOS A LA NAVEGACION EN EL ESPACIO AEREO MEXICANO (SENEAM)</t>
  </si>
  <si>
    <t>01090131000000</t>
  </si>
  <si>
    <t>INSTITUTO FEDERAL DE TELECOMUNICACIONES (IFT)</t>
  </si>
  <si>
    <t>01090132000000</t>
  </si>
  <si>
    <t>OTROS ESPECIFICAR CONCEPTO</t>
  </si>
  <si>
    <t>CONTRIBUCIONES DE LAS QUE ES RETENEDOR:</t>
  </si>
  <si>
    <t>POR PAGOS A RESIDENTES EN EL PAIS</t>
  </si>
  <si>
    <t>01090133000000</t>
  </si>
  <si>
    <t>POR SALARIOS</t>
  </si>
  <si>
    <t>01090134000000</t>
  </si>
  <si>
    <t>01090135000000</t>
  </si>
  <si>
    <t>PREMIOS</t>
  </si>
  <si>
    <t>01090136000000</t>
  </si>
  <si>
    <t>HONORARIOS AL 10%</t>
  </si>
  <si>
    <t>01090137000000</t>
  </si>
  <si>
    <t>ARRENDAMIENTO AL 10%</t>
  </si>
  <si>
    <t>01090138000000</t>
  </si>
  <si>
    <t>ENAJENACION DE OTROS BIENES AL 20%</t>
  </si>
  <si>
    <t>01090139000000</t>
  </si>
  <si>
    <t>INTERESES AL 20%</t>
  </si>
  <si>
    <t>01090140000000</t>
  </si>
  <si>
    <t>INTERESES Y GANANCIA CAMBIARIA AL 35%</t>
  </si>
  <si>
    <t>01090141000000</t>
  </si>
  <si>
    <t>01090142000000</t>
  </si>
  <si>
    <t>POR DIVIDENDOS AL 10%</t>
  </si>
  <si>
    <t>01090143000000</t>
  </si>
  <si>
    <t>01090144000000</t>
  </si>
  <si>
    <t>TOTAL DE I.S.R. RETENIDO A RESIDENTES EN EL PAIS</t>
  </si>
  <si>
    <t>POR PAGOS A RESIDENTES EN EL EXTRANJERO</t>
  </si>
  <si>
    <t>01090145000000</t>
  </si>
  <si>
    <t>SALARIOS AL 15%</t>
  </si>
  <si>
    <t>01090146000000</t>
  </si>
  <si>
    <t>SALARIOS AL 30%</t>
  </si>
  <si>
    <t>01090147000000</t>
  </si>
  <si>
    <t>JUBILACIONES, PENSIONES Y OTROS CONCEPTOS AL 15%</t>
  </si>
  <si>
    <t>01090148000000</t>
  </si>
  <si>
    <t>JUBILACIONES, PENSIONES Y OTROS CONCEPTOS AL 30%</t>
  </si>
  <si>
    <t>01090149000000</t>
  </si>
  <si>
    <t>HONORARIOS AL 25%</t>
  </si>
  <si>
    <t>01090150000000</t>
  </si>
  <si>
    <t>REGALIAS AL 5%</t>
  </si>
  <si>
    <t>01090151000000</t>
  </si>
  <si>
    <t>REGALIAS AL 10%</t>
  </si>
  <si>
    <t>01090152000000</t>
  </si>
  <si>
    <t>REGALIAS AL 25%</t>
  </si>
  <si>
    <t>01090153000000</t>
  </si>
  <si>
    <t>REGALIAS AL 35%</t>
  </si>
  <si>
    <t>01090154000000</t>
  </si>
  <si>
    <t>01090155000000</t>
  </si>
  <si>
    <t>MEDIACIONES</t>
  </si>
  <si>
    <t>01090156000000</t>
  </si>
  <si>
    <t>ARRENDAMIENTO DE INMUEBLES</t>
  </si>
  <si>
    <t>01090157000000</t>
  </si>
  <si>
    <t>ARRENDAMIENTO DE MUEBLES AL 5%</t>
  </si>
  <si>
    <t>01090158000000</t>
  </si>
  <si>
    <t>ARRENDAMIENTO DE MUEBLES AL 25%</t>
  </si>
  <si>
    <t>01090159000000</t>
  </si>
  <si>
    <t>INTERCAMBIO DE DEUDA PUBLICA POR CAPITAL</t>
  </si>
  <si>
    <t>01090160000000</t>
  </si>
  <si>
    <t>ARRENDAMIENTO FINANCIERO</t>
  </si>
  <si>
    <t>01090161000000</t>
  </si>
  <si>
    <t>01090162000000</t>
  </si>
  <si>
    <t>SERVICIO TURISTICO DE TIEMPO COMPARTIDO</t>
  </si>
  <si>
    <t>01090163000000</t>
  </si>
  <si>
    <t>INTERESES AL 4.9%</t>
  </si>
  <si>
    <t>01090164000000</t>
  </si>
  <si>
    <t>INTERESES AL 10%</t>
  </si>
  <si>
    <t>01090165000000</t>
  </si>
  <si>
    <t>INTERESES AL 15%</t>
  </si>
  <si>
    <t>01090166000000</t>
  </si>
  <si>
    <t>01090167000000</t>
  </si>
  <si>
    <t>INTERESES AL 35%</t>
  </si>
  <si>
    <t>01090168000000</t>
  </si>
  <si>
    <t>ENAJENACION DE INMUEBLES</t>
  </si>
  <si>
    <t>01090169000000</t>
  </si>
  <si>
    <t>ENAJENACION DE ACCIONES</t>
  </si>
  <si>
    <t>01090170000000</t>
  </si>
  <si>
    <t>OPERACIONES FINANCIERAS DERIVADAS DE CAPITAL</t>
  </si>
  <si>
    <t>01090171000000</t>
  </si>
  <si>
    <t>OPERACIONES FINANCIERAS DERIVADAS DE DEUDA</t>
  </si>
  <si>
    <t>01090172000000</t>
  </si>
  <si>
    <t>CONSTRUCCION DE OBRA, INSTALACION, MANTENIMIENTO O MONTAJE EN BIENES INMUEBLES</t>
  </si>
  <si>
    <t>01090173000000</t>
  </si>
  <si>
    <t>CONTRATO DE FLETAMENTO</t>
  </si>
  <si>
    <t>01090174000000</t>
  </si>
  <si>
    <t>ESPECTACULOS PUBLICOS, ARTISTICOS Y DEPORTIVOS</t>
  </si>
  <si>
    <t>01090175000000</t>
  </si>
  <si>
    <t>01090176000000</t>
  </si>
  <si>
    <t>01090177000000</t>
  </si>
  <si>
    <t>TOTAL DE I.S.R. RETENIDO A RESIDENTES EN EL EXTRANJERO</t>
  </si>
  <si>
    <t>01090178000000</t>
  </si>
  <si>
    <t>SERVICIOS PERSONALES INDEPENDIENTES PRESTADOS POR PERSONAS FISICAS</t>
  </si>
  <si>
    <t>01090179000000</t>
  </si>
  <si>
    <t>USO O GOCE TEMPORAL DE BIENES PRESTADOS U OTORGADOS POR PERSONAS FISICAS</t>
  </si>
  <si>
    <t>01090180000000</t>
  </si>
  <si>
    <t>01090181000000</t>
  </si>
  <si>
    <t>SERVICIOS DE AUTOTRANSPORTE TERRESTRE DE BIENES PRESTADOS POR PERSONAS FISICAS O MORALES</t>
  </si>
  <si>
    <t>01090182000000</t>
  </si>
  <si>
    <t>SERVICIOS PRESTADOS POR COMISIONISTAS PERSONAS FISICAS</t>
  </si>
  <si>
    <t>01090183000000</t>
  </si>
  <si>
    <t>ADQUISICION, O USO O GOCE TEMPORAL DE BIENES TANGIBLES, QUE ENAJENEN U OTORGUEN RESIDENTES EN EL EXTRANJERO SIN ESTABLECIMIENTO PERMANENTE EN EL PAIS</t>
  </si>
  <si>
    <t>01090184000000</t>
  </si>
  <si>
    <t>01090185000000</t>
  </si>
  <si>
    <t>TOTAL DE I.V.A. RETENIDO</t>
  </si>
  <si>
    <t>OTRAS CONTRIBUCIONES RETENIDAS</t>
  </si>
  <si>
    <t>01090186000000</t>
  </si>
  <si>
    <t>IMPUESTO ESPECIAL SOBRE PRODUCCION Y SERVICIOS RETENIDO</t>
  </si>
  <si>
    <t>01090187000000</t>
  </si>
  <si>
    <t>CUOTAS OBRERAS AL I.M.S.S.</t>
  </si>
  <si>
    <t>01090188000000</t>
  </si>
  <si>
    <t>COMPENSACIONES EFECTUADAS Y DEVOLUCIONES OBTENIDAS</t>
  </si>
  <si>
    <t>COMPENSACIONES EFECTUADAS DURANTE EL EJERCICIO DE SALDOS A FAVOR PROVENIENTES DE:</t>
  </si>
  <si>
    <t>A VALOR HISTORICO DE:</t>
  </si>
  <si>
    <t>01090189000000</t>
  </si>
  <si>
    <t>01090190000000</t>
  </si>
  <si>
    <t>01090191000000</t>
  </si>
  <si>
    <t>01090192000000</t>
  </si>
  <si>
    <t>01090193000000</t>
  </si>
  <si>
    <t>01090194000000</t>
  </si>
  <si>
    <t>OTRAS CONTRIBUCIONES FEDERALES</t>
  </si>
  <si>
    <t>A VALOR ACTUALIZADO DE:</t>
  </si>
  <si>
    <t>01090195000000</t>
  </si>
  <si>
    <t>01090196000000</t>
  </si>
  <si>
    <t>01090197000000</t>
  </si>
  <si>
    <t>01090198000000</t>
  </si>
  <si>
    <t>01090199000000</t>
  </si>
  <si>
    <t>01090200000000</t>
  </si>
  <si>
    <t>COMPENSACIONES EFECTUADAS DURANTE EL EJERCICIO APLICADAS A:</t>
  </si>
  <si>
    <t>01090201000000</t>
  </si>
  <si>
    <t>IMPUESTO AL VALOR AGREGADO PROPIO</t>
  </si>
  <si>
    <t>01090202000000</t>
  </si>
  <si>
    <t>IMPUESTO AL VALOR AGREGADO RETENIDO A TERCEROS</t>
  </si>
  <si>
    <t>01090203000000</t>
  </si>
  <si>
    <t>IMPUESTO SOBRE LA RENTA PROPIO</t>
  </si>
  <si>
    <t>01090204000000</t>
  </si>
  <si>
    <t>IMPUESTO SOBRE LA RENTA RETENIDO A TERCEROS</t>
  </si>
  <si>
    <t>01090205000000</t>
  </si>
  <si>
    <t>01090206000000</t>
  </si>
  <si>
    <t>01090207000000</t>
  </si>
  <si>
    <t>01090208000000</t>
  </si>
  <si>
    <t>01090209000000</t>
  </si>
  <si>
    <t>01090210000000</t>
  </si>
  <si>
    <t>01090211000000</t>
  </si>
  <si>
    <t>RECARGOS</t>
  </si>
  <si>
    <t>01090212000000</t>
  </si>
  <si>
    <t>MULTAS</t>
  </si>
  <si>
    <t>01090213000000</t>
  </si>
  <si>
    <t>OTROS ACCESORIOS</t>
  </si>
  <si>
    <t>DEVOLUCIONES OBTENIDAS EN EL EJERCICIO</t>
  </si>
  <si>
    <t>01090214000000</t>
  </si>
  <si>
    <t>01090215000000</t>
  </si>
  <si>
    <t>01090216000000</t>
  </si>
  <si>
    <t>01090217000000</t>
  </si>
  <si>
    <t>01090218000000</t>
  </si>
  <si>
    <t>01090219000000</t>
  </si>
  <si>
    <t>01090220000000</t>
  </si>
  <si>
    <t>01090221000000</t>
  </si>
  <si>
    <t>01090222000000</t>
  </si>
  <si>
    <t>01090223000000</t>
  </si>
  <si>
    <t>01090224000000</t>
  </si>
  <si>
    <t>01090225000000</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</si>
  <si>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</si>
  <si>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</si>
  <si>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</si>
  <si>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</si>
  <si>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</si>
  <si>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</si>
  <si>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</si>
  <si>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</si>
  <si>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</si>
  <si>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</si>
  <si>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</si>
  <si>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</si>
  <si>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01100000000000</t>
  </si>
  <si>
    <t>DETERMINADO POR EL CONTRIBUYENTE (DEL EJERCICIO)</t>
  </si>
  <si>
    <t>01100001000000</t>
  </si>
  <si>
    <t>IMPUESTO SOBRE LA RENTA PAGOS PROVISIONALES PROPIOS</t>
  </si>
  <si>
    <t>01100002000000</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</si>
  <si>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</si>
  <si>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</si>
  <si>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</si>
  <si>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</si>
  <si>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</si>
  <si>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</si>
  <si>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</si>
  <si>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</si>
  <si>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</si>
  <si>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</si>
  <si>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</si>
  <si>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</si>
  <si>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</si>
  <si>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</si>
  <si>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</si>
  <si>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</si>
  <si>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</si>
  <si>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</si>
  <si>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</si>
  <si>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</si>
  <si>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</si>
  <si>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</si>
  <si>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01100012000000</t>
  </si>
  <si>
    <t>INFORMACION DETERMINADA POR EL CONTRIBUYENTE:</t>
  </si>
  <si>
    <t>01100013000000</t>
  </si>
  <si>
    <t>01100014000000</t>
  </si>
  <si>
    <t>IMPUESTO AL VALOR AGREGADO EN SU CARACTER DE RETENEDOR</t>
  </si>
  <si>
    <t>01100015000000</t>
  </si>
  <si>
    <t>01100016000000</t>
  </si>
  <si>
    <t>IMPUESTO ESPECIAL SOBRE PRODUCCION Y SERVICIOS EN SU CARACTER DE RETENEDOR</t>
  </si>
  <si>
    <t>01100017000000</t>
  </si>
  <si>
    <t>01100018000000</t>
  </si>
  <si>
    <t>APORTACIONES AL INSTITUTO MEXICANO DEL SEGURO SOCIAL</t>
  </si>
  <si>
    <t>01100019000000</t>
  </si>
  <si>
    <t>APORTACIONES AL INSTITUTO DEL FONDO NACIONAL DE LA VIVIENDA PARA LOS TRABAJADORES</t>
  </si>
  <si>
    <t>01100020000000</t>
  </si>
  <si>
    <t>CORRESPONDIENTE AL BIMESTRE DE:</t>
  </si>
  <si>
    <t>01100021000000</t>
  </si>
  <si>
    <t>01100022000000</t>
  </si>
  <si>
    <t>01100023000000</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</si>
  <si>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</si>
  <si>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</si>
  <si>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</si>
  <si>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</si>
  <si>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</si>
  <si>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</si>
  <si>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</si>
  <si>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</si>
  <si>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</si>
  <si>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</si>
  <si>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</si>
  <si>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</si>
  <si>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</si>
  <si>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</si>
  <si>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</si>
  <si>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IMPUESTO SOBRE LA RENTA PAGOS PROVISIONALES</t>
  </si>
  <si>
    <t>01100031000000</t>
  </si>
  <si>
    <t>CORRESPONDIENTE AL MES O PERIODO DE:</t>
  </si>
  <si>
    <t>IMPUESTO SOBRE LA RENTA RETENCIONES A RESIDENTES EN MEXICO</t>
  </si>
  <si>
    <t>01100032000000</t>
  </si>
  <si>
    <t>IMPUESTO SOBRE LA RENTA RETENCIONES A RESIDENTES EN EL EXTRANJERO</t>
  </si>
  <si>
    <t>01100033000000</t>
  </si>
  <si>
    <t>01100034000000</t>
  </si>
  <si>
    <t>01100035000000</t>
  </si>
  <si>
    <t>CORRESPONDIENTE AL EJERCICIO</t>
  </si>
  <si>
    <t>01100036000000</t>
  </si>
  <si>
    <t>01100037000000</t>
  </si>
  <si>
    <t>01100038000000</t>
  </si>
  <si>
    <t>01100039000000</t>
  </si>
  <si>
    <t>01100040000000</t>
  </si>
  <si>
    <t>01100041000000</t>
  </si>
  <si>
    <t>01100042000000</t>
  </si>
  <si>
    <t>01100043000000</t>
  </si>
  <si>
    <t>01100044000000</t>
  </si>
  <si>
    <t>DERECHOS</t>
  </si>
  <si>
    <t>01100045000000</t>
  </si>
  <si>
    <t>01100046000000</t>
  </si>
  <si>
    <t>01100047000000</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</si>
  <si>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</si>
  <si>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</si>
  <si>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</si>
  <si>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</si>
  <si>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</si>
  <si>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</si>
  <si>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</si>
  <si>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</si>
  <si>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</si>
  <si>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</si>
  <si>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</si>
  <si>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</si>
  <si>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</si>
  <si>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</si>
  <si>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</si>
  <si>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</si>
  <si>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</si>
  <si>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</si>
  <si>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</si>
  <si>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</si>
  <si>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</si>
  <si>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</si>
  <si>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</si>
  <si>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</si>
  <si>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</si>
  <si>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</si>
  <si>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</si>
  <si>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</si>
  <si>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</si>
  <si>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</si>
  <si>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PTU PAGADA EN EL EJERCICIO</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</si>
  <si>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</si>
  <si>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</si>
  <si>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</si>
  <si>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</si>
  <si>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</si>
  <si>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</si>
  <si>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</si>
  <si>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</si>
  <si>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</si>
  <si>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</si>
  <si>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</si>
  <si>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AJUSTE ANUAL POR INFLACION ACUMULABLE</t>
  </si>
  <si>
    <t>01110023000000</t>
  </si>
  <si>
    <t>UTILIDAD CAMBIARIA FISCAL</t>
  </si>
  <si>
    <t>01110024000000</t>
  </si>
  <si>
    <t>01110025000000</t>
  </si>
  <si>
    <t>UTILIDAD FISCAL EN VENTA DE ACTIVO FIJO</t>
  </si>
  <si>
    <t>01110026000000</t>
  </si>
  <si>
    <t>UTILIDAD FISCAL EN VENTA DE TERRENOS</t>
  </si>
  <si>
    <t>01110027000000</t>
  </si>
  <si>
    <t>UTILIDAD FISCAL EN FIDEICOMISOS</t>
  </si>
  <si>
    <t>01110028000000</t>
  </si>
  <si>
    <t>ANTICIPOS DE CLIENTES</t>
  </si>
  <si>
    <t>01110029000000</t>
  </si>
  <si>
    <t>INGRESOS COBRADOS DEL EJERCICIO ANTERIOR (PERSONAS FISICAS)</t>
  </si>
  <si>
    <t>01110030000000</t>
  </si>
  <si>
    <t>INTERESES MORATORIOS EFECTIVAMENTE COBRADOS</t>
  </si>
  <si>
    <t>01110031000000</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</si>
  <si>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</si>
  <si>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</si>
  <si>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</si>
  <si>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</si>
  <si>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</si>
  <si>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</si>
  <si>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</si>
  <si>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</si>
  <si>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</si>
  <si>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</si>
  <si>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</si>
  <si>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</si>
  <si>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</si>
  <si>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</si>
  <si>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</si>
  <si>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</si>
  <si>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</si>
  <si>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</si>
  <si>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</si>
  <si>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</si>
  <si>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</si>
  <si>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</si>
  <si>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</si>
  <si>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</si>
  <si>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</si>
  <si>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</si>
  <si>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</si>
  <si>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</si>
  <si>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</si>
  <si>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</si>
  <si>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</si>
  <si>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</si>
  <si>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</si>
  <si>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</si>
  <si>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</si>
  <si>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</si>
  <si>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</si>
  <si>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01110055000000</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</si>
  <si>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</si>
  <si>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</si>
  <si>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</si>
  <si>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</si>
  <si>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</si>
  <si>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</si>
  <si>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</si>
  <si>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</si>
  <si>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</si>
  <si>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</si>
  <si>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</si>
  <si>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</si>
  <si>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</si>
  <si>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</si>
  <si>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</si>
  <si>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</si>
  <si>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</si>
  <si>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</si>
  <si>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</si>
  <si>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</si>
  <si>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</si>
  <si>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</si>
  <si>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</si>
  <si>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</si>
  <si>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</si>
  <si>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</si>
  <si>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</si>
  <si>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</si>
  <si>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</si>
  <si>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</si>
  <si>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</si>
  <si>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</si>
  <si>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</si>
  <si>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</si>
  <si>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</si>
  <si>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</si>
  <si>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</si>
  <si>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</si>
  <si>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</si>
  <si>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</si>
  <si>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</si>
  <si>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</si>
  <si>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</si>
  <si>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</si>
  <si>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</si>
  <si>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</si>
  <si>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</si>
  <si>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</si>
  <si>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</si>
  <si>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</si>
  <si>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</si>
  <si>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01110087000000</t>
  </si>
  <si>
    <t>01110088000000</t>
  </si>
  <si>
    <t>01110089000000</t>
  </si>
  <si>
    <t>UTILIDAD CONTABLE EN VENTA DE ACCIONES</t>
  </si>
  <si>
    <t>01110090000000</t>
  </si>
  <si>
    <t>UTILIDAD CONTABLE EN VENTA DE ACTIVO</t>
  </si>
  <si>
    <t>01110091000000</t>
  </si>
  <si>
    <t>UTILIDAD CONTABLE EN FIDEICOMISOS</t>
  </si>
  <si>
    <t>01110092000000</t>
  </si>
  <si>
    <t>UTILIDAD CONTABLE EN ASOCIACION EN PARTICIPACION</t>
  </si>
  <si>
    <t>01110093000000</t>
  </si>
  <si>
    <t>VENTAS ANTICIPADAS ACUMULADAS EN EL EJERCICIO ANTERIOR Y DEVENGADAS EN ESTE</t>
  </si>
  <si>
    <t>01110094000000</t>
  </si>
  <si>
    <t>CANCELACION DE ESTIMACIONES</t>
  </si>
  <si>
    <t>01110095000000</t>
  </si>
  <si>
    <t>CANCELACION DE PROVISIONES</t>
  </si>
  <si>
    <t>01110096000000</t>
  </si>
  <si>
    <t>INGRESOS POR DIVIDENDOS</t>
  </si>
  <si>
    <t>01110097000000</t>
  </si>
  <si>
    <t>INTERESES MORATORIOS DEVENGADOS A FAVOR COBRADOS O NO</t>
  </si>
  <si>
    <t>01110098000000</t>
  </si>
  <si>
    <t>UTILIDAD EN PARTICIPACION SUBSIDIARIA</t>
  </si>
  <si>
    <t>01110099000000</t>
  </si>
  <si>
    <t>ANTICIPO DE CLIENTES DE EJERCICIOS ANTERIORES CONSIDERADOS COMO INGRESOS EN EL EJERCICIO</t>
  </si>
  <si>
    <t>01110100000000</t>
  </si>
  <si>
    <t>INGRESOS DEL EJERCICIO NO COBRADOS (PERSONAS FISICAS)</t>
  </si>
  <si>
    <t>01110101000000</t>
  </si>
  <si>
    <t>01110102000000</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</si>
  <si>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</si>
  <si>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</si>
  <si>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</si>
  <si>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</si>
  <si>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</si>
  <si>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</si>
  <si>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</si>
  <si>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</si>
  <si>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</si>
  <si>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</si>
  <si>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01120000000000</t>
  </si>
  <si>
    <t>01120001000000</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</si>
  <si>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</si>
  <si>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</si>
  <si>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</si>
  <si>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</si>
  <si>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</si>
  <si>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</si>
  <si>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</si>
  <si>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01130000000000</t>
  </si>
  <si>
    <t>01130001000000</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</si>
  <si>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</si>
  <si>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</si>
  <si>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</si>
  <si>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</si>
  <si>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</si>
  <si>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</si>
  <si>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</si>
  <si>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</si>
  <si>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</si>
  <si>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01140000000000</t>
  </si>
  <si>
    <t>01140001000000</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</si>
  <si>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</si>
  <si>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</si>
  <si>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</si>
  <si>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</si>
  <si>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</si>
  <si>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</si>
  <si>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</si>
  <si>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</si>
  <si>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</si>
  <si>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</si>
  <si>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</si>
  <si>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</si>
  <si>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01150009000000</t>
  </si>
  <si>
    <t>01150010000000</t>
  </si>
  <si>
    <t>TOTAL DE PRODUCTOS FINANCIEROS</t>
  </si>
  <si>
    <t>01150011000000</t>
  </si>
  <si>
    <t>01150012000000</t>
  </si>
  <si>
    <t>UTILIDAD NETA POR PARTICIPACION EN LOS RESULTADOS DE SUBSIDIARIAS NO CONSOLIDADAS Y ASOCIADAS</t>
  </si>
  <si>
    <t>01150013000000</t>
  </si>
  <si>
    <t>INGRESOS POR LAS OPERACIONES DISCONTINUADAS</t>
  </si>
  <si>
    <t>01150014000000</t>
  </si>
  <si>
    <t>01150015000000</t>
  </si>
  <si>
    <t>01150016000000</t>
  </si>
  <si>
    <t>VALUACION FAVORABLE DE COBERTURAS DE FLUJO DE EFECTIVO Y/O INSTRUMENTOS FINANCIEROS</t>
  </si>
  <si>
    <t>01150017000000</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</si>
  <si>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</si>
  <si>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</si>
  <si>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</si>
  <si>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</si>
  <si>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</si>
  <si>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</si>
  <si>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</si>
  <si>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</si>
  <si>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</si>
  <si>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</si>
  <si>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</si>
  <si>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</si>
  <si>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</si>
  <si>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</si>
  <si>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</si>
  <si>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</si>
  <si>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</si>
  <si>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EFECTO DE REEXPRESION DE CAMBIOS EN EL VALOR RAZONABLE DE ACTIVOS Y PASIVOS FINANCIEROS A FAVOR</t>
  </si>
  <si>
    <t>01150029000000</t>
  </si>
  <si>
    <t>01150030000000</t>
  </si>
  <si>
    <t>01150031000000</t>
  </si>
  <si>
    <t>01150032000000</t>
  </si>
  <si>
    <t>01150033000000</t>
  </si>
  <si>
    <t>INGRESOS POR DIVIDENDOS PROVENIENTES DEL EXTRANJERO</t>
  </si>
  <si>
    <t>01150034000000</t>
  </si>
  <si>
    <t>GANANCIA FISCAL EN LA ENAJENACION DE ACTIVO FIJO</t>
  </si>
  <si>
    <t>01150035000000</t>
  </si>
  <si>
    <t>GANANCIA FISCAL EN LA ENAJENACION DE TERRENOS</t>
  </si>
  <si>
    <t>01150036000000</t>
  </si>
  <si>
    <t>01150037000000</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</si>
  <si>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</si>
  <si>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</si>
  <si>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</si>
  <si>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</si>
  <si>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</si>
  <si>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</si>
  <si>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</si>
  <si>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</si>
  <si>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</si>
  <si>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</si>
  <si>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</si>
  <si>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</si>
  <si>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</si>
  <si>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</si>
  <si>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</si>
  <si>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</si>
  <si>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</si>
  <si>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</si>
  <si>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</si>
  <si>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</si>
  <si>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</si>
  <si>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</si>
  <si>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</si>
  <si>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</si>
  <si>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</si>
  <si>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</si>
  <si>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</si>
  <si>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</si>
  <si>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</si>
  <si>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</si>
  <si>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</si>
  <si>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</si>
  <si>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</si>
  <si>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</si>
  <si>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</si>
  <si>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</si>
  <si>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</si>
  <si>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</si>
  <si>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</si>
  <si>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</si>
  <si>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</si>
  <si>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</si>
  <si>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</si>
  <si>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</si>
  <si>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</si>
  <si>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</si>
  <si>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</si>
  <si>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</si>
  <si>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</si>
  <si>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</si>
  <si>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</si>
  <si>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</si>
  <si>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</si>
  <si>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</si>
  <si>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</si>
  <si>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</si>
  <si>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</si>
  <si>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NUMERO DE                                       IDENTIFICACION                                           FISCAL                                                            O RFC</t>
  </si>
  <si>
    <t>TIPO DE OPERACION</t>
  </si>
  <si>
    <t>EN CASO DE QUE _x000D_
EN LA COLUMNA                                                                _x000D_"TIPO DE OPERACION",                                             _x000D_HAYAN SELECCIONADO ALGUNO                                     DE LOS  CONCEPTOS DE                                               "_x000D_OTROS INGRESOS" U _x000D_
"OTROS PAGOS", _x000D_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</si>
  <si>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</si>
  <si>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</si>
  <si>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</si>
  <si>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</si>
  <si>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</si>
  <si>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01160000000000</t>
  </si>
  <si>
    <t>01160001000000</t>
  </si>
  <si>
    <t>TOTAL DE INGRESOS ACUMULABLES</t>
  </si>
  <si>
    <t>DEDUCCIONES AUTORIZADAS</t>
  </si>
  <si>
    <t>01160002000000</t>
  </si>
  <si>
    <t>01160003000000</t>
  </si>
  <si>
    <t>TOTAL DE DEDUCCIONES AUTORIZADAS</t>
  </si>
  <si>
    <t>DATOS A                                    PROPORCIONAR</t>
  </si>
  <si>
    <t>01170000000000</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</si>
  <si>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</si>
  <si>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</si>
  <si>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</si>
  <si>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</si>
  <si>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</si>
  <si>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</si>
  <si>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</si>
  <si>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</si>
  <si>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</si>
  <si>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</si>
  <si>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</si>
  <si>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</si>
  <si>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</si>
  <si>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</si>
  <si>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</si>
  <si>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</si>
  <si>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</si>
  <si>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</si>
  <si>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</si>
  <si>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</si>
  <si>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</si>
  <si>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</si>
  <si>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</si>
  <si>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</si>
  <si>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</si>
  <si>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</si>
  <si>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</si>
  <si>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</si>
  <si>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</si>
  <si>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</si>
  <si>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</si>
  <si>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</si>
  <si>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</si>
  <si>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</si>
  <si>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</si>
  <si>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</si>
  <si>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</si>
  <si>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</si>
  <si>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</si>
  <si>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</si>
  <si>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</si>
  <si>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</si>
  <si>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</si>
  <si>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</si>
  <si>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</si>
  <si>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</si>
  <si>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</si>
  <si>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</si>
  <si>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</si>
  <si>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</si>
  <si>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</si>
  <si>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</si>
  <si>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</si>
  <si>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</si>
  <si>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</si>
  <si>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</si>
  <si>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</si>
  <si>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</si>
  <si>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</si>
  <si>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</si>
  <si>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</si>
  <si>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</si>
  <si>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</si>
  <si>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</si>
  <si>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</si>
  <si>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</si>
  <si>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</si>
  <si>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</si>
  <si>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</si>
  <si>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</si>
  <si>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</si>
  <si>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</si>
  <si>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</si>
  <si>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</si>
  <si>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</si>
  <si>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</si>
  <si>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</si>
  <si>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</si>
  <si>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</si>
  <si>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</si>
  <si>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</si>
  <si>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</si>
  <si>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</si>
  <si>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</si>
  <si>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</si>
  <si>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</si>
  <si>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01170048000000</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</si>
  <si>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</si>
  <si>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</si>
  <si>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</si>
  <si>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</si>
  <si>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EN CASO DE DISCREPANCIA, ESPECIFIQUE:</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</si>
  <si>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</si>
  <si>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</si>
  <si>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</si>
  <si>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</si>
  <si>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</si>
  <si>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</si>
  <si>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</si>
  <si>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</si>
  <si>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</si>
  <si>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</si>
  <si>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</si>
  <si>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</si>
  <si>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</si>
  <si>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</si>
  <si>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</si>
  <si>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</si>
  <si>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</si>
  <si>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</si>
  <si>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</si>
  <si>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</si>
  <si>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 xml:space="preserve">INTERESES CON PARTES RELACIONADAS CONSIDERADOS COMO DIVIDENDOS </t>
  </si>
  <si>
    <t>01170062000000</t>
  </si>
  <si>
    <t>EL CONTRIBUYENTE CONSIDERO INTERESES DEVENGADOS COMO DIVIDENDOS DE ACUERDO CON LO PREVISTO POR EL ARTICULO 11 DE LA LISR</t>
  </si>
  <si>
    <t>01170063000000</t>
  </si>
  <si>
    <t>MONTO DE LOS INTERESES CONSIDERADOS COMO DIVIDENDOS</t>
  </si>
  <si>
    <t>COSTO DE VENTAS CON PARTES RELACIONADAS:</t>
  </si>
  <si>
    <t>01170064000000</t>
  </si>
  <si>
    <t>ANALIZO EL COSTO DE VENTAS CORRESPONDIENTE A ENAJENACIONES A PARTES RELACIONADAS DE ACUERDO CON LO PREVISTO POR LAS FRACCIONES I, II Y III DEL ARTICULO 180 DE LA LISR (ARTICULO 42, SEGUNDO PARRAFO L.I.S.R.)</t>
  </si>
  <si>
    <t>01170065000000</t>
  </si>
  <si>
    <t>ARTICULO 180 FRACCION I DE LA LISR</t>
  </si>
  <si>
    <t>01170066000000</t>
  </si>
  <si>
    <t>ARTICULO 180 FRACCION II DE LA LISR</t>
  </si>
  <si>
    <t>01170067000000</t>
  </si>
  <si>
    <t>ARTICULO 180 FRACCION III DE LA LISR</t>
  </si>
  <si>
    <t>01170068000000</t>
  </si>
  <si>
    <t>GASTOS DEDUCIBLES Y NO DEDUCIBLES</t>
  </si>
  <si>
    <t>01170069000000</t>
  </si>
  <si>
    <t>DEDUJO GASTOS CON PARTES RELACIONADAS DE LOS REFERIDOS EN EL SEGUNDO PARRAFO DE LA FRACCION XXIX DEL ARTICULO 28 DE LA LISR</t>
  </si>
  <si>
    <t>01170070000000</t>
  </si>
  <si>
    <t>INDIQUE EL MONTO DE LA DEDUCCION REALIZADA</t>
  </si>
  <si>
    <t>01170071000000</t>
  </si>
  <si>
    <t>CONSIDERO COMO NO DEDUCIBLES GASTOS CON PARTES RELACIONADAS DE LOS REFERIDOS EN EL PRIMER PARRAFO DE LA FRACCION XXIX DEL ARTICULO 28 DE LA LISR</t>
  </si>
  <si>
    <t>01170072000000</t>
  </si>
  <si>
    <t>INDIQUE EL MONTO DEL GASTO CONSIDERADO COMO NO DEDUCIBLE</t>
  </si>
  <si>
    <t>01170073000000</t>
  </si>
  <si>
    <t>DEDUJO GASTOS CON PARTES RELACIONADAS DE LOS REFERIDOS EN LA FRACCION XXXI DEL ARTICULO 28 DE LA LISR</t>
  </si>
  <si>
    <t>01170074000000</t>
  </si>
  <si>
    <t>01170075000000</t>
  </si>
  <si>
    <t>CONSIDERO COMO NO DEDUCIBLES GASTOS CON PARTES RELACIONADAS DE LOS REFERIDOS EN LA FRACCION XXXI DEL ARTICULO 28 DE LA LISR</t>
  </si>
  <si>
    <t>01170076000000</t>
  </si>
  <si>
    <t>GASTOS A PRORRATA</t>
  </si>
  <si>
    <t>01170077000000</t>
  </si>
  <si>
    <t>DEDUJO GASTOS CON PARTES RELACIONADAS EFECTUADOS EN EL EXTRANJERO A PRORRATA</t>
  </si>
  <si>
    <t>01170078000000</t>
  </si>
  <si>
    <t>01170079000000</t>
  </si>
  <si>
    <t>PERDIDAS POR ENAJENACION DE ACCIONES</t>
  </si>
  <si>
    <t>01170080000000</t>
  </si>
  <si>
    <t>OBTUVO PERDIDA FISCAL AL REALIZAR UNA OPERACION DE ENAJENACION DE ACCIONES CON Y ENTRE PARTES RELACIONADAS</t>
  </si>
  <si>
    <t>01170081000000</t>
  </si>
  <si>
    <t>INDIQUE EL VALOR DEL PRECIO DE ENAJENACION DEL PAQUETE ACCIONARIO ENAJENADO</t>
  </si>
  <si>
    <t>01170082000000</t>
  </si>
  <si>
    <t>INDIQUE EL COSTO COMPROBADO DE ADQUISICION DEL PAQUETE ACCIONARIO ENAJENADO</t>
  </si>
  <si>
    <t>01170083000000</t>
  </si>
  <si>
    <t>OPERACIONES FINANCIERAS DERIVADAS CON PARTES RELACIONADAS</t>
  </si>
  <si>
    <t>01170084000000</t>
  </si>
  <si>
    <t>ACUMULO INGRESOS PROVENIENTES DE OPERACIONES FINANCIERAS DERIVADAS</t>
  </si>
  <si>
    <t>01170085000000</t>
  </si>
  <si>
    <t>INDIQUE EL MONTO DE LA ACUMULACION CORRESPONDIENTE</t>
  </si>
  <si>
    <t>01170086000000</t>
  </si>
  <si>
    <t>EFECTUO DEDUCCIONES RELACIONADAS CON OPERACIONES FINANCIERAS DERIVADAS</t>
  </si>
  <si>
    <t>01170087000000</t>
  </si>
  <si>
    <t>INDIQUE EL MONTO DE LA DEDUCCION CORRESPONDIENTE</t>
  </si>
  <si>
    <t>01170088000000</t>
  </si>
  <si>
    <t>OBTUVO PERDIDAS EN OPERACIONES FINANCIERAS DERIVADAS CON PARTES RELACIONADAS EN LOS TERMINOS DEL ARTICULO 28 FRACCION XIX DE LA LISR.</t>
  </si>
  <si>
    <t>01170089000000</t>
  </si>
  <si>
    <t>01170090000000</t>
  </si>
  <si>
    <t>REALIZO PAGOS DE CANTIDADES INICIALES POR EL DERECHO A ADQUIRIR O VENDER, BIENES, DIVISAS, ACCIONES U OTROS TITULOS VALOR QUE NO COTIZARON EN MERCADOS RECONOCIDOS CONFORME A LO REFERIDO EN EL ARTICULO 28 FRACCION XXIV DE LA LISR</t>
  </si>
  <si>
    <t>01170091000000</t>
  </si>
  <si>
    <t>CAPITALIZACION INSUFICIENTE:</t>
  </si>
  <si>
    <t>01170092000000</t>
  </si>
  <si>
    <t>DETERMINO INTERESES NO DEDUCIBLES DE ACUERDO A LO PREVISTO POR EL ARTICULO 28 FRACCION XXVII DE LA LISR</t>
  </si>
  <si>
    <t>01170093000000</t>
  </si>
  <si>
    <t>SALDO PROMEDIO ANUAL DE TODAS LAS DEUDAS DEL CONTRIBUYENTE QUE DEVENGARON INTERESES A CARGO, DETERMINADAS EN LOS TERMINOS DEL ARTICULO 28 FRACCION XXVII DE LA LISR</t>
  </si>
  <si>
    <t>01170094000000</t>
  </si>
  <si>
    <t>CAPITAL CONTABLE AL INICIO DEL EJERCICIO DETERMINADO EN LOS TERMINOS DEL ARTICULO 28 FRACCION XXVII DE LA LISR</t>
  </si>
  <si>
    <t>01170095000000</t>
  </si>
  <si>
    <t>CAPITAL CONTABLE AL FINAL DEL EJERCICIO DETERMINADO EN LOS TERMINOS DEL ARTICULO 28 FRACCION XXVII DE LA LISR</t>
  </si>
  <si>
    <t>01170096000000</t>
  </si>
  <si>
    <t>CAPITAL CONTABLE PROMEDIO</t>
  </si>
  <si>
    <t>01170097000000</t>
  </si>
  <si>
    <t>CAPITAL CONTABLE PROMEDIO POR TRES</t>
  </si>
  <si>
    <t>01170098000000</t>
  </si>
  <si>
    <t>SALDO PROMEDIO ANUAL DE DEUDAS DEL CONTRIBUYENTE CONTRAIDAS CON PARTES RELACIONADAS RESIDENTES EN EL EXTRANJERO, DETERMINADAS EN LOS TERMINOS DEL ARTICULO 28 FRACCION XXVII DE LA LISR</t>
  </si>
  <si>
    <t>01170099000000</t>
  </si>
  <si>
    <t>INTERESES NO DEDUCIBLES DETERMINADOS EN LOS TERMINOS DEL ARTICULO 28 FRACCION XXVII DE LA LISR</t>
  </si>
  <si>
    <t>01170100000000</t>
  </si>
  <si>
    <t>OPTO POR CONSIDERAR COMO CAPITAL CONTABLE DEL EJERCICIO LOS SALDOS INICIALES Y FINALES DEL EJERCICIO DE SUS CUENTAS DE CAPITAL DE APORTACION, UTILIDAD FISCAL NETA Y UTILIDAD FISCAL NETA REINVERTIDA</t>
  </si>
  <si>
    <t xml:space="preserve">AJUSTES CORRESPONDIENTES </t>
  </si>
  <si>
    <t>01170101000000</t>
  </si>
  <si>
    <t>01170102000000</t>
  </si>
  <si>
    <t>EN CASO AFIRMATIVO, INDIQUE EL MONTO DE LOS MISMOS</t>
  </si>
  <si>
    <t>01170103000000</t>
  </si>
  <si>
    <t>EL EJERCICIO FISCAL AJUSTADO (1)</t>
  </si>
  <si>
    <t>01170104000000</t>
  </si>
  <si>
    <t>EL EJERCICIO FISCAL AJUSTADO (2)</t>
  </si>
  <si>
    <t>01170105000000</t>
  </si>
  <si>
    <t>EL EJERCICIO FISCAL AJUSTADO (3)</t>
  </si>
  <si>
    <t>01170106000000</t>
  </si>
  <si>
    <t>01170107000000</t>
  </si>
  <si>
    <t>01170108000000</t>
  </si>
  <si>
    <t>01170109000000</t>
  </si>
  <si>
    <t>01170110000000</t>
  </si>
  <si>
    <t>01170111000000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</si>
  <si>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</si>
  <si>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01170112000000</t>
  </si>
  <si>
    <t>01170113000000</t>
  </si>
  <si>
    <t>01170114000000</t>
  </si>
  <si>
    <t>01170115000000</t>
  </si>
  <si>
    <t>01170116000000</t>
  </si>
  <si>
    <t>ESTA OBLIGADO A PRESENTAR LA DECLARACION INFORMATIVA PREVISTA EN LA FRACCION I (MAESTRA DE PARTES RELACIONADAS)</t>
  </si>
  <si>
    <t>01170117000000</t>
  </si>
  <si>
    <t>ESTA OBLIGADO A PRESENTAR LA DECLARACION INFORMATIVA PREVISTA EN LA FRACCION II (LOCAL DE PARTES RELACIONADAS)</t>
  </si>
  <si>
    <t>01170118000000</t>
  </si>
  <si>
    <t>ESTA OBLIGADO A PRESENTAR LA DECLARACION INFORMATIVA PREVISTA EN LA FRACCION III (PAIS POR PAIS)</t>
  </si>
  <si>
    <t>EN CASO AFIRMATIVO EN ESTE ULTIMO CASO ESPECIFIQUE EL SUPUESTO DE OBLIGACION:</t>
  </si>
  <si>
    <t>01170119000000</t>
  </si>
  <si>
    <t>POR SER PERSONA MORAL CONTROLADORA MULTINACIONAL (FRACCION III, INCISO A)</t>
  </si>
  <si>
    <t>01170120000000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</si>
  <si>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</si>
  <si>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</si>
  <si>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01170121000000</t>
  </si>
  <si>
    <t>OBLIGACION DE PRESENTAR LA DECLARACION MAESTRA</t>
  </si>
  <si>
    <t>01170122000000</t>
  </si>
  <si>
    <t>OBLIGACION DE PRESENTAR LA DECLARACION PAIS POR PAIS</t>
  </si>
  <si>
    <t>01170123000000</t>
  </si>
  <si>
    <t>EN CASO AFIRMATIVO A LA RESPUESTA ANTERIOR, DEBERA PRESENTAR LA SIGUIENTE INFORMACION:</t>
  </si>
  <si>
    <t>01170124000000</t>
  </si>
  <si>
    <t xml:space="preserve">MENOS CONCEPTOS NO OPERATIVOS: </t>
  </si>
  <si>
    <t>01170125000000</t>
  </si>
  <si>
    <t>GANANCIA EN VENTA DE ACTIVOS FIJOS</t>
  </si>
  <si>
    <t>01170126000000</t>
  </si>
  <si>
    <t>RECUPERACION DE CUENTAS</t>
  </si>
  <si>
    <t>01170127000000</t>
  </si>
  <si>
    <t>DIVIDENDOS</t>
  </si>
  <si>
    <t>01170128000000</t>
  </si>
  <si>
    <t>01170129000000</t>
  </si>
  <si>
    <t>01170130000000</t>
  </si>
  <si>
    <t>01170131000000</t>
  </si>
  <si>
    <t>01170132000000</t>
  </si>
  <si>
    <t>SUMA</t>
  </si>
  <si>
    <t>IGUAL:</t>
  </si>
  <si>
    <t>01170133000000</t>
  </si>
  <si>
    <t>TOTAL DE VENTAS O INGRESOS NETOS PROPIOS OPERATIVOS</t>
  </si>
  <si>
    <t>01170134000000</t>
  </si>
  <si>
    <t>01170135000000</t>
  </si>
  <si>
    <t>01170136000000</t>
  </si>
  <si>
    <t>OTROS GASTOS NO OPERATIVOS</t>
  </si>
  <si>
    <t>01170137000000</t>
  </si>
  <si>
    <t>GASTOS DE OPERACION SIN OTROS GASTOS NO OPERATIVOS</t>
  </si>
  <si>
    <t>01170138000000</t>
  </si>
  <si>
    <t>01170139000000</t>
  </si>
  <si>
    <t>REALIZO OPERACIONES DE MAQUILA CON UNA PARTE RELACIONADA RESIDENTE EN EL EXTRANJERO</t>
  </si>
  <si>
    <t xml:space="preserve">EN CASO AFIRMATIVO A LA RESPUESTA ANTERIOR, DEBERA PRESENTAR LA SIGUIENTE INFORMACION: </t>
  </si>
  <si>
    <t>01170140000000</t>
  </si>
  <si>
    <t>INDIQUE SI CELEBRO OPERACIONES DE MAQUILA CONFORME A LO ESTABLECIDO EN EL ARTICULO 181 DE LA LISR CON UNA PARTE RELACIONADA RESIDENTE EN EL EXTRANJERO</t>
  </si>
  <si>
    <t>01170141000000</t>
  </si>
  <si>
    <t>INDIQUE SI SE TRATA DE UNA EMPRESA BAJO EL PROGRAMA DE ALBERGUE</t>
  </si>
  <si>
    <t>01170142000000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</si>
  <si>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</si>
  <si>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</si>
  <si>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01170143000000</t>
  </si>
  <si>
    <t>PRIMERO (SAFE HARBOUR)</t>
  </si>
  <si>
    <t>01170144000000</t>
  </si>
  <si>
    <t>ANTEPENULTIMO ACUERDO ANTICIPADO DE PRECIOS (APA)</t>
  </si>
  <si>
    <t>01170145000000</t>
  </si>
  <si>
    <t>NO OPTO POR LO DISPUESTO EN EL ARTICULO 182 DE LA LISR</t>
  </si>
  <si>
    <t>01170146000000</t>
  </si>
  <si>
    <t>SI NO OPTO POR LO DISPUESTO EN EL ARTICULO 182 DE LA LISR, INDIQUE EL NOMBRE DEL RESIDENTE EN EL EXTRANJERO QUE SE CONSIDERA QUE TIENE UN ESTABLECIMIENTO PERMANENTE.</t>
  </si>
  <si>
    <t>01170147000000</t>
  </si>
  <si>
    <t>INDIQUE EL NÚMERO DE IDENTIFICACION FISCAL DEL RESIDENTE EN EL EXTRANJERO QUE SE CONSIDERA QUE TIENE UN ESTABLECIMIENTO PERMANENTE.</t>
  </si>
  <si>
    <t>01170148000000</t>
  </si>
  <si>
    <t>01170149000000</t>
  </si>
  <si>
    <t>INGRESOS ATRIBUIBLES AL ESTABLECIMIENTO PERMANENTE EN EL PAIS EN LOS TERMINOS DEL ARTICULO 2 DE LA LISR</t>
  </si>
  <si>
    <t>01170150000000</t>
  </si>
  <si>
    <t>01170151000000</t>
  </si>
  <si>
    <t>01170152000000</t>
  </si>
  <si>
    <t>MONTO DE LA DEDUCCION ADICIONAL</t>
  </si>
  <si>
    <t>01170153000000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</si>
  <si>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</si>
  <si>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</si>
  <si>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</si>
  <si>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01170154000000</t>
  </si>
  <si>
    <t>MONTO ACUMULADO DE INTERESES DEVENGADOS A FAVOR (ARTICULO 18 FRACCION IX DE LA LEY DEL ISR)</t>
  </si>
  <si>
    <t>01170155000000</t>
  </si>
  <si>
    <t>01170156000000</t>
  </si>
  <si>
    <t>MONTO ACUMULADO DE AJUSTE ANUAL POR INFLACION (ARTICULO 18 FRACCION X DE LA LEY DEL ISR)</t>
  </si>
  <si>
    <t>01170157000000</t>
  </si>
  <si>
    <t>01170158000000</t>
  </si>
  <si>
    <t>01170159000000</t>
  </si>
  <si>
    <t>DATOS A PROPORCIONAR</t>
  </si>
  <si>
    <t>01180000000000</t>
  </si>
  <si>
    <t>PTU GENERADA DURANTE EL EJERCICIO</t>
  </si>
  <si>
    <t>01180001000000</t>
  </si>
  <si>
    <t>PTU NO COBRADA EN EL EJERCICIO ANTERIOR</t>
  </si>
  <si>
    <t>01180002000000</t>
  </si>
  <si>
    <t>01180003000000</t>
  </si>
  <si>
    <t>RENTA GRAVABLE BASE PARA P.T.U.</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</si>
  <si>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</si>
  <si>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</si>
  <si>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</si>
  <si>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</si>
  <si>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</si>
  <si>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</si>
  <si>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</si>
  <si>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</si>
  <si>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</si>
  <si>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</si>
  <si>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</si>
  <si>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</si>
  <si>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</si>
  <si>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</si>
  <si>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</si>
  <si>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</si>
  <si>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</si>
  <si>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</si>
  <si>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</si>
  <si>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</si>
  <si>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</si>
  <si>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</si>
  <si>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</si>
  <si>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</si>
  <si>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</si>
  <si>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01180017000000</t>
  </si>
  <si>
    <t>SALDO INCIAL CUFIN ACTUALIZADO</t>
  </si>
  <si>
    <t>01180018000000</t>
  </si>
  <si>
    <t>RESULTADO FISCAL DEL EJERCICIO</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</si>
  <si>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</si>
  <si>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</si>
  <si>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</si>
  <si>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</si>
  <si>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</si>
  <si>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</si>
  <si>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</si>
  <si>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</si>
  <si>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</si>
  <si>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</si>
  <si>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</si>
  <si>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</si>
  <si>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</si>
  <si>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</si>
  <si>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</si>
  <si>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01180027000000</t>
  </si>
  <si>
    <t>OTROS CONCEPTOS ESPECIFICAR:</t>
  </si>
  <si>
    <t>01180028000000</t>
  </si>
  <si>
    <t>01180029000000</t>
  </si>
  <si>
    <t>01180030000000</t>
  </si>
  <si>
    <t>01180031000000</t>
  </si>
  <si>
    <t>01180032000000</t>
  </si>
  <si>
    <t>01180033000000</t>
  </si>
  <si>
    <t>01180034000000</t>
  </si>
  <si>
    <t>01180035000000</t>
  </si>
  <si>
    <t>01180036000000</t>
  </si>
  <si>
    <t>01180037000000</t>
  </si>
  <si>
    <t>01180038000000</t>
  </si>
  <si>
    <t>01180039000000</t>
  </si>
  <si>
    <t>01180040000000</t>
  </si>
  <si>
    <t>01180041000000</t>
  </si>
  <si>
    <t>01180042000000</t>
  </si>
  <si>
    <t>01180043000000</t>
  </si>
  <si>
    <t>SALDO DE CUFIN TOTAL AL CIERRE DEL EJERCICIO ACTUALIZADO DE LOS EJERCICIOS DE 2001 A 2013</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</si>
  <si>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</si>
  <si>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</si>
  <si>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</si>
  <si>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</si>
  <si>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</si>
  <si>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</si>
  <si>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</si>
  <si>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</si>
  <si>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</si>
  <si>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</si>
  <si>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</si>
  <si>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</si>
  <si>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</si>
  <si>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</si>
  <si>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</si>
  <si>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</si>
  <si>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</si>
  <si>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</si>
  <si>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</si>
  <si>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</si>
  <si>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</si>
  <si>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</si>
  <si>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</si>
  <si>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</si>
  <si>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</si>
  <si>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</si>
  <si>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</si>
  <si>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</si>
  <si>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</si>
  <si>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</si>
  <si>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</si>
  <si>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</si>
  <si>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</si>
  <si>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</si>
  <si>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</si>
  <si>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</si>
  <si>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</si>
  <si>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</si>
  <si>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</si>
  <si>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</si>
  <si>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</si>
  <si>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01180070000000</t>
  </si>
  <si>
    <t>IVA ACREDITADO POR LA IMPORTACION DE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</si>
  <si>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</si>
  <si>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</si>
  <si>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</si>
  <si>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</si>
  <si>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</si>
  <si>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</si>
  <si>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</si>
  <si>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</si>
  <si>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</si>
  <si>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</si>
  <si>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</si>
  <si>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</si>
  <si>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</si>
  <si>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</si>
  <si>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</si>
  <si>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</si>
  <si>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</si>
  <si>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</si>
  <si>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</si>
  <si>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</si>
  <si>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</si>
  <si>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</si>
  <si>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</si>
  <si>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01180081000000</t>
  </si>
  <si>
    <t>IMPUESTO AL ACTIVO POR EL QUE SE SOLICITO DEVOLUCION</t>
  </si>
  <si>
    <t>01180082000000</t>
  </si>
  <si>
    <t>IMPUESTO AL ACTIVO COMPENSADO CONTRA ISR PROPIO</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</si>
  <si>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</si>
  <si>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</si>
  <si>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</si>
  <si>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</si>
  <si>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01190000000000</t>
  </si>
  <si>
    <t>ISR DIFERIDO A CARGO TOTAL AL 31 DE DICIEMBRE DE 2013</t>
  </si>
  <si>
    <t>01190001000000</t>
  </si>
  <si>
    <t>PRIMER PAGO DEL ISR DIFERIDO</t>
  </si>
  <si>
    <t>01190002000000</t>
  </si>
  <si>
    <t>NUMERO DE EJERCICIOS EN QUE SE EFECTUARON LOS PAGOS DEL ISR DIFERIDO</t>
  </si>
  <si>
    <t>01190003000000</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</si>
  <si>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</si>
  <si>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</si>
  <si>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</si>
  <si>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</si>
  <si>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</si>
  <si>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</si>
  <si>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</si>
  <si>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</si>
  <si>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</si>
  <si>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</si>
  <si>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</si>
  <si>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</si>
  <si>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</si>
  <si>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</si>
  <si>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</si>
  <si>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</si>
  <si>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</si>
  <si>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</si>
  <si>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01190014000000</t>
  </si>
  <si>
    <t>IMPUESTO AL ACTIVO A CARGO TOTAL</t>
  </si>
  <si>
    <t>01190015000000</t>
  </si>
  <si>
    <t>PRIMER PAGO DEL IMPUESTO AL ACTIVO DIFERIDO</t>
  </si>
  <si>
    <t>01190016000000</t>
  </si>
  <si>
    <t>NUMERO DE EJERCICIOS EN QUE SE EFECTUARON LOS PAGOS DEL IA DIFERIDO</t>
  </si>
  <si>
    <t>01190017000000</t>
  </si>
  <si>
    <t>01190018000000</t>
  </si>
  <si>
    <t>SEGUNDO PAGO DEL IMPUESTO AL ACTIVO DIFERIDO</t>
  </si>
  <si>
    <t>01190019000000</t>
  </si>
  <si>
    <t>01190020000000</t>
  </si>
  <si>
    <t>SEGUNDO PAGO DEL IMPUESTO AL ACTIVO ACTUALIZADO</t>
  </si>
  <si>
    <t>01190021000000</t>
  </si>
  <si>
    <t>TERCER PAGO DEL IMPUESTO AL ACTIVO DIFERIDO</t>
  </si>
  <si>
    <t xml:space="preserve">POR: </t>
  </si>
  <si>
    <t>01190022000000</t>
  </si>
  <si>
    <t>01190023000000</t>
  </si>
  <si>
    <t>TERCER PAGO DEL IMPUESTO AL ACTIVO DIFERIDO ACTUALIZADO</t>
  </si>
  <si>
    <t>01190024000000</t>
  </si>
  <si>
    <t>CUARTO PAGO DEL IMPUESTO AL ACTIVO DIFERIDO</t>
  </si>
  <si>
    <t>01190025000000</t>
  </si>
  <si>
    <t>01190026000000</t>
  </si>
  <si>
    <t>CUARTO PAGO DEL IMPUESTO AL ACTIVO DIFERIDO ACTUALIZADO</t>
  </si>
  <si>
    <t>01190027000000</t>
  </si>
  <si>
    <t>DENOMINACION O RAZON SOCIAL</t>
  </si>
  <si>
    <t>01190028000000</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</si>
  <si>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</si>
  <si>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</si>
  <si>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</si>
  <si>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</si>
  <si>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</si>
  <si>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</si>
  <si>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</si>
  <si>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</si>
  <si>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</si>
  <si>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</si>
  <si>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</si>
  <si>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</si>
  <si>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</si>
  <si>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</si>
  <si>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</si>
  <si>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</si>
  <si>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</si>
  <si>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</si>
  <si>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</si>
  <si>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(OTROS)</t>
  </si>
  <si>
    <t>01200007000000</t>
  </si>
  <si>
    <t>01200008000000</t>
  </si>
  <si>
    <t>DADOS, TROQUELES, MOLDES, MATRICES Y HERRAMENTAL</t>
  </si>
  <si>
    <t>01200009000000</t>
  </si>
  <si>
    <t>COMUNICACIONES TELEFONICAS</t>
  </si>
  <si>
    <t>01200010000000</t>
  </si>
  <si>
    <t>COMUNICACIONES SATELITALES</t>
  </si>
  <si>
    <t>01200011000000</t>
  </si>
  <si>
    <t>ADAPTACION A INSTALACIONES PARA PERSONAS CON CAPACIDADES DIFERENTES</t>
  </si>
  <si>
    <t>01200012000000</t>
  </si>
  <si>
    <t>MAQUINARIA Y EQUIPO PARA LA GENERACION DE ENERGIA PROVENIENTE DE FUENTES RENOVABLES O DE SISTEMAS DE COGENERACION DE ELECTRICIDAD EFICIENTE</t>
  </si>
  <si>
    <t>01200013000000</t>
  </si>
  <si>
    <t>MAQUINARIA Y EQUIPO</t>
  </si>
  <si>
    <t>01200014000000</t>
  </si>
  <si>
    <t>OLEODUCTOS, GASODUCTOS, TERMINALES, Y TANQUES DE ALMACENAMIENTO DE HIDROCARBUROS</t>
  </si>
  <si>
    <t>01200015000000</t>
  </si>
  <si>
    <t>01200016000000</t>
  </si>
  <si>
    <t>SUMA ACTIVO FIJO</t>
  </si>
  <si>
    <t>GASTOS Y CARGOS DIFERIDOS</t>
  </si>
  <si>
    <t>01200017000000</t>
  </si>
  <si>
    <t>PATENTES</t>
  </si>
  <si>
    <t>01200018000000</t>
  </si>
  <si>
    <t>MARCAS REGISTRADAS</t>
  </si>
  <si>
    <t>01200019000000</t>
  </si>
  <si>
    <t>01200020000000</t>
  </si>
  <si>
    <t>GASTOS DE INSTALACION</t>
  </si>
  <si>
    <t>01200021000000</t>
  </si>
  <si>
    <t>GASTOS DE ORGANIZACIÓN</t>
  </si>
  <si>
    <t>01200022000000</t>
  </si>
  <si>
    <t>CONCESIONES</t>
  </si>
  <si>
    <t>01200023000000</t>
  </si>
  <si>
    <t>OTROS GASTOS Y CARGOS DIFERIDOS</t>
  </si>
  <si>
    <t>01200024000000</t>
  </si>
  <si>
    <t>SUMA GASTOS Y CARGOS DIFERIDOS</t>
  </si>
  <si>
    <t>EROGACIONES EN PERIODOS PREOPERATIVOS</t>
  </si>
  <si>
    <t>01200025000000</t>
  </si>
  <si>
    <t>01200026000000</t>
  </si>
  <si>
    <t>SUMA EROGACIONES PREOPERATIVAS</t>
  </si>
  <si>
    <t>01200027000000</t>
  </si>
  <si>
    <t>TOTAL DE INVERSIONES</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</si>
  <si>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</si>
  <si>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</si>
  <si>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</si>
  <si>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</si>
  <si>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</si>
  <si>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</si>
  <si>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</si>
  <si>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</si>
  <si>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</si>
  <si>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01210000000000</t>
  </si>
  <si>
    <t>01210001000000</t>
  </si>
  <si>
    <t>CUENTAS POR PAGAR</t>
  </si>
  <si>
    <t>01210002000000</t>
  </si>
  <si>
    <t>01210003000000</t>
  </si>
  <si>
    <t>TOTAL DE CUENTAS POR PAGAR</t>
  </si>
  <si>
    <t>NUMERO DE 
IDENTIFICACION 
FISCAL</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</si>
  <si>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</si>
  <si>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</si>
  <si>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</si>
  <si>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</si>
  <si>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</si>
  <si>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</si>
  <si>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</si>
  <si>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</si>
  <si>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</si>
  <si>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</si>
  <si>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</si>
  <si>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</si>
  <si>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</si>
  <si>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</si>
  <si>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</si>
  <si>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</si>
  <si>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</si>
  <si>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</si>
  <si>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</si>
  <si>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01220000000000</t>
  </si>
  <si>
    <t>01220001000000</t>
  </si>
  <si>
    <t>TOTAL DE PARTES RELACIONADAS</t>
  </si>
  <si>
    <t>PARTES NO RELACIONADAS</t>
  </si>
  <si>
    <t>01220002000000</t>
  </si>
  <si>
    <t>01220003000000</t>
  </si>
  <si>
    <t>TOTAL DE PARTES NO RELACIONADAS</t>
  </si>
  <si>
    <t>2014</t>
  </si>
  <si>
    <t>2013</t>
  </si>
  <si>
    <t>2012</t>
  </si>
  <si>
    <t>2011</t>
  </si>
  <si>
    <t>2010</t>
  </si>
  <si>
    <t>2009</t>
  </si>
  <si>
    <t>2008</t>
  </si>
  <si>
    <t>2007</t>
  </si>
  <si>
    <t>01230000000000</t>
  </si>
  <si>
    <t>MONTO ORIGINAL DE LA PERDIDA FISCAL</t>
  </si>
  <si>
    <t>01230001000000</t>
  </si>
  <si>
    <t>INPC DEL ULTIMO MES DEL EJERCICIO EN QUE SE GENERO LA PERDIDA FISCAL</t>
  </si>
  <si>
    <t>01230002000000</t>
  </si>
  <si>
    <t>INPC DEL PRIMER MES DE LA SEGUNDA MITAD DEL EJERCICIO EN QUE SE GENERO LA PERDIDA FISCAL</t>
  </si>
  <si>
    <t>01230003000000</t>
  </si>
  <si>
    <t>01230004000000</t>
  </si>
  <si>
    <t>01230005000000</t>
  </si>
  <si>
    <t>INPC DEL ULTIMO MES DE LA PRIMERA MITAD DEL EJERCICIO EN QUE SE APLICA O ACTUALIZA LA PERDIDA FISCAL</t>
  </si>
  <si>
    <t>01230006000000</t>
  </si>
  <si>
    <t>INPC DEL MES EN QUE SE ACTUALIZO POR ULTIMA VEZ LA PERDIDA FISCAL</t>
  </si>
  <si>
    <t>01230007000000</t>
  </si>
  <si>
    <t>FACTOR DE ACTUALIZACION DEL PERIODO</t>
  </si>
  <si>
    <t>01230008000000</t>
  </si>
  <si>
    <t>PERDIDA FISCAL ACTUALIZADA EN EL EJERCICIO EN QUE SE APLICA O ACTUALIZA</t>
  </si>
  <si>
    <t>01230009000000</t>
  </si>
  <si>
    <t>01230010000000</t>
  </si>
  <si>
    <t>MONTO DE LA PERDIDA FISCAL PENDIENTE DE APLICAR</t>
  </si>
  <si>
    <t>COMENTARIOS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</si>
  <si>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</si>
  <si>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</si>
  <si>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</si>
  <si>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</si>
  <si>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</si>
  <si>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</si>
  <si>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</si>
  <si>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</si>
  <si>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</si>
  <si>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</si>
  <si>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</si>
  <si>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</si>
  <si>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</si>
  <si>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</si>
  <si>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</si>
  <si>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</si>
  <si>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</si>
  <si>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</si>
  <si>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</si>
  <si>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</si>
  <si>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</si>
  <si>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</si>
  <si>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</si>
  <si>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</si>
  <si>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</si>
  <si>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</si>
  <si>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</si>
  <si>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</si>
  <si>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</si>
  <si>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</si>
  <si>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</si>
  <si>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</si>
  <si>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</si>
  <si>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</si>
  <si>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</si>
  <si>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</si>
  <si>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</si>
  <si>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</si>
  <si>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</si>
  <si>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</si>
  <si>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</si>
  <si>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</si>
  <si>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</si>
  <si>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</si>
  <si>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</si>
  <si>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</si>
  <si>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</si>
  <si>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</si>
  <si>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</si>
  <si>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</si>
  <si>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</si>
  <si>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</si>
  <si>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</si>
  <si>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</si>
  <si>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</si>
  <si>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</si>
  <si>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</si>
  <si>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</si>
  <si>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</si>
  <si>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</si>
  <si>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</si>
  <si>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</si>
  <si>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</si>
  <si>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</si>
  <si>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</si>
  <si>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</si>
  <si>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</si>
  <si>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</si>
  <si>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</si>
  <si>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</si>
  <si>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01240032000000</t>
  </si>
  <si>
    <t>EN CASO AFIRMATIVO EL CONTRIBUYENTE PRESENTO DECLARACIONES COMPLEMENTARIAS CON MOTIVO DE ESTA REVISION.</t>
  </si>
  <si>
    <t>SE VERIFICARON LOS SIGUIENTES REQUISITOS DE ACREDITAMIENTO DEL IMPUESTO AL VALOR AGREGADO</t>
  </si>
  <si>
    <t>01240033000000</t>
  </si>
  <si>
    <t>01240034000000</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</si>
  <si>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</si>
  <si>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</si>
  <si>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</si>
  <si>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</si>
  <si>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</si>
  <si>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01250003000000</t>
  </si>
  <si>
    <t>EN ADICION, DE HABER CONTESTADO DE FORMA AFIRMATIVA EL INDICE 01250002000000, SEÑALO ALGUNA SALVEDAD EN SU DICTAMEN</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</si>
  <si>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</si>
  <si>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</si>
  <si>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</si>
  <si>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</si>
  <si>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</si>
  <si>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</si>
  <si>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</si>
  <si>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</si>
  <si>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</si>
  <si>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</si>
  <si>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</si>
  <si>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</si>
  <si>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</si>
  <si>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</si>
  <si>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</si>
  <si>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</si>
  <si>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</si>
  <si>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</si>
  <si>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</si>
  <si>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</si>
  <si>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</si>
  <si>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</si>
  <si>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</si>
  <si>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</si>
  <si>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</si>
  <si>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</si>
  <si>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</si>
  <si>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</si>
  <si>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</si>
  <si>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</si>
  <si>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</si>
  <si>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</si>
  <si>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</si>
  <si>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</si>
  <si>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</si>
  <si>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</si>
  <si>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</si>
  <si>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01250024000000</t>
  </si>
  <si>
    <t>01250025000000</t>
  </si>
  <si>
    <t>DECLARACION INFORMATIVA DE OPERACIONES CON PARTES RELACIONADAS RESIDENTES EN EL EXTRANJERO (ARTICULO 76 FRACCION X DE LA LISR)</t>
  </si>
  <si>
    <t>01250026000000</t>
  </si>
  <si>
    <t>01250027000000</t>
  </si>
  <si>
    <t>VERIFICO SI LAS CIFRAS REPORTADAS EN ESA DECLARACION COINCIDEN CON LAS MANIFESTADAS EN LA DOCUMENTACION A QUE SE REFIERE EL ARTICULO 76 FRACCION IX DE LA LISR (ESTUDIO DE PRECIOS DE TRANSFERENCIA)</t>
  </si>
  <si>
    <t>01250028000000</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</si>
  <si>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</si>
  <si>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</si>
  <si>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</si>
  <si>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</si>
  <si>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</si>
  <si>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</si>
  <si>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</si>
  <si>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</si>
  <si>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</si>
  <si>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CUMPLIMIENTO DE LA OBLIGACION RESPECTO DE LAS OPERACIONES CON PARTES RELACIONADAS (ARTICULO 76 FRACCION XII DE LA LISR)</t>
  </si>
  <si>
    <t>01250033000000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</si>
  <si>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</si>
  <si>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01250034000000</t>
  </si>
  <si>
    <t>EN CASO NEGATIVO, CONSIDERO EL CONTRIBUYENTE COMO DEDUCIBLES LAS TRANSACCIONES CON PARTES RELACIONADAS QUE LE REPRESENTARON UN COSTO O GASTO</t>
  </si>
  <si>
    <t>01250035000000</t>
  </si>
  <si>
    <t>EN CASO DE UNA CONCLUSION NEGATIVA EN LA EVIDENCIA DOCUMENTAL, INDIQUE SI REVELO ALGUNA SALVEDAD EN EL INFORME SOBRE LA REVISION DE LA SITUACION FISCAL DEL CONTRIBUYENTE</t>
  </si>
  <si>
    <t>01250036000000</t>
  </si>
  <si>
    <t>01250037000000</t>
  </si>
  <si>
    <t>01250038000000</t>
  </si>
  <si>
    <t>INTERESES CONSIDERADOS COMO DIVIDENDOS (ARTICULO 11 DE LA LISR)</t>
  </si>
  <si>
    <t>01250039000000</t>
  </si>
  <si>
    <t>METODOLOGIA DE PRECIOS DE TRANSFERENCIA (ARTICULO 180 DE LA LISR) POR TRANSACCION CON PARTES RELACIONADAS</t>
  </si>
  <si>
    <t>01250040000000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</si>
  <si>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</si>
  <si>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01250041000000</t>
  </si>
  <si>
    <t>01250042000000</t>
  </si>
  <si>
    <t>EN CASO AFIRMATIVO REVELO ALGUNA SALVEDAD EN EL INFORME SOBRE LA REVISION DE LA SITUACION FISCAL DEL CONTRIBUYENTE, O BIEN, EN SU DICTAMEN</t>
  </si>
  <si>
    <t>01250043000000</t>
  </si>
  <si>
    <t>01250044000000</t>
  </si>
  <si>
    <t>VERIFICO QUE EL CONTRIBUYENTE CONTARA CON UN PROGRAMA VIGENTE, AUTORIZADO POR LA SECRETARIA DE ECONOMIA, PARA REALIZAR OPERACIONES DE MANUFACTURA, EN CUALQUIERA DE SUS MODALIDADES</t>
  </si>
  <si>
    <t>01250045000000</t>
  </si>
  <si>
    <t>VERIFICO QUE LA EMPRESA ACTUARA BAJO EL PROGRAMA DE ALBERGUE</t>
  </si>
  <si>
    <t>VERIFICO POR LAS OPERACIONES DE MAQUILA LA CORRECTA APLICACION DE LO DISPUESTO POR EL ARTICULO 182 APLICADO POR EL CONTRIBUYENTE, ES DECIR, CON LOS PARRAFOS:</t>
  </si>
  <si>
    <t>01250046000000</t>
  </si>
  <si>
    <t>PRIMERO, FRACCION I</t>
  </si>
  <si>
    <t>01250047000000</t>
  </si>
  <si>
    <t>PRIMERO, FRACCION II</t>
  </si>
  <si>
    <t>01250048000000</t>
  </si>
  <si>
    <t>SEGUNDO (PRESENTACION OPORTUNA DE LA DECLARACION INFORMATIVA DE OPERACIONES DE MAQUILA)</t>
  </si>
  <si>
    <t>01250049000000</t>
  </si>
  <si>
    <t>01250050000000</t>
  </si>
  <si>
    <t>01250051000000</t>
  </si>
  <si>
    <t>01250052000000</t>
  </si>
  <si>
    <t>VERIFICO LA APLICACION POR PARTE DEL CONTRIBUYENTE DE LO DISPUESTO POR EL ARTICULO PRIMERO DEL DECRETO PUBLICADO EN EL D.O.F. EL 26 DE DICIEMBRE DE 2013</t>
  </si>
  <si>
    <t>01250053000000</t>
  </si>
  <si>
    <t>VERIFICO QUE LAS OPERACIONES CON PARTES RELACIONADAS QUE NO TENGAN RELACION CON MAQUILA, HAYAN CUMPLIDO CON LO DISPUESTO POR LAS DISPOSICIONES FISCALES EN MATERIA DE PRECIOS DE TRANSFERENCIA</t>
  </si>
  <si>
    <t>01250054000000</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</si>
  <si>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</si>
  <si>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</si>
  <si>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</si>
  <si>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</si>
  <si>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</si>
  <si>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</si>
  <si>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</si>
  <si>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</si>
  <si>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</si>
  <si>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</si>
  <si>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</si>
  <si>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</si>
  <si>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</si>
  <si>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</si>
  <si>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</si>
  <si>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</si>
  <si>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</si>
  <si>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</si>
  <si>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</si>
  <si>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</si>
  <si>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</si>
  <si>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</si>
  <si>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</si>
  <si>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</si>
  <si>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</si>
  <si>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</si>
  <si>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</si>
  <si>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</si>
  <si>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</si>
  <si>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</si>
  <si>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</si>
  <si>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</si>
  <si>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</si>
  <si>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0310 - REFINACIÓN DE PETRÓLEO</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</si>
  <si>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</si>
  <si>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</si>
  <si>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</si>
  <si>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</si>
  <si>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</si>
  <si>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</si>
  <si>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</si>
  <si>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</si>
  <si>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</si>
  <si>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</si>
  <si>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</si>
  <si>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</si>
  <si>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</si>
  <si>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</si>
  <si>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</si>
  <si>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</si>
  <si>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</si>
  <si>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</si>
  <si>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</si>
  <si>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</si>
  <si>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</si>
  <si>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</si>
  <si>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</si>
  <si>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</si>
  <si>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</si>
  <si>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</si>
  <si>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</si>
  <si>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</si>
  <si>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</si>
  <si>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</si>
  <si>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</si>
  <si>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</si>
  <si>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</si>
  <si>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</si>
  <si>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</si>
  <si>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</si>
  <si>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</si>
  <si>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</si>
  <si>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</si>
  <si>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</si>
  <si>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</si>
  <si>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</si>
  <si>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</si>
  <si>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</si>
  <si>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</si>
  <si>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</si>
  <si>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</si>
  <si>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</si>
  <si>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</si>
  <si>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</si>
  <si>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</si>
  <si>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</si>
  <si>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1113 - ASOCIACIONES; ORGANIZACIONES Y CÁMARAS DE PRODUCTORES; COMERCIANTES Y PRESTADORES DE SERVICIOS</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</si>
  <si>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</si>
  <si>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</si>
  <si>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</si>
  <si>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</si>
  <si>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</si>
  <si>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</si>
  <si>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</si>
  <si>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</si>
  <si>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</si>
  <si>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</si>
  <si>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</si>
  <si>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</si>
  <si>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</si>
  <si>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</si>
  <si>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</si>
  <si>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</si>
  <si>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</si>
  <si>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</si>
  <si>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</si>
  <si>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</si>
  <si>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</si>
  <si>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</si>
  <si>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</si>
  <si>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</si>
  <si>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</si>
  <si>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</si>
  <si>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</si>
  <si>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</si>
  <si>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</si>
  <si>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</si>
  <si>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</si>
  <si>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</si>
  <si>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</si>
  <si>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</si>
  <si>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</si>
  <si>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</si>
  <si>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</si>
  <si>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</si>
  <si>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</si>
  <si>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</si>
  <si>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</si>
  <si>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</si>
  <si>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</si>
  <si>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</si>
  <si>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</si>
  <si>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</si>
  <si>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</si>
  <si>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</si>
  <si>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</si>
  <si>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</si>
  <si>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</si>
  <si>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</si>
  <si>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</si>
  <si>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</si>
  <si>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</si>
  <si>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</si>
  <si>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</si>
  <si>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</si>
  <si>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</si>
  <si>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</si>
  <si>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</si>
  <si>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</si>
  <si>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</si>
  <si>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</si>
  <si>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</si>
  <si>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</si>
  <si>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</si>
  <si>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</si>
  <si>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</si>
  <si>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</si>
  <si>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</si>
  <si>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</si>
  <si>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</si>
  <si>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</si>
  <si>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</si>
  <si>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</si>
  <si>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</si>
  <si>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</si>
  <si>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</si>
  <si>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</si>
  <si>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</si>
  <si>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</si>
  <si>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</si>
  <si>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</si>
  <si>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</si>
  <si>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</si>
  <si>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</si>
  <si>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</si>
  <si>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</si>
  <si>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</si>
  <si>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</si>
  <si>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</si>
  <si>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</si>
  <si>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</si>
  <si>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</si>
  <si>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</si>
  <si>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</si>
  <si>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</si>
  <si>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</si>
  <si>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</si>
  <si>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</si>
  <si>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1114 - ASOCIACIONES Y ORGANIZACIONES LABORALES Y SINDICALES</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</si>
  <si>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</si>
  <si>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</si>
  <si>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</si>
  <si>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</si>
  <si>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</si>
  <si>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</si>
  <si>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</si>
  <si>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</si>
  <si>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</si>
  <si>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</si>
  <si>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</si>
  <si>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</si>
  <si>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</si>
  <si>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</si>
  <si>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</si>
  <si>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</si>
  <si>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</si>
  <si>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</si>
  <si>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</si>
  <si>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</si>
  <si>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</si>
  <si>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</si>
  <si>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</si>
  <si>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</si>
  <si>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</si>
  <si>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</si>
  <si>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</si>
  <si>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</si>
  <si>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</si>
  <si>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</si>
  <si>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</si>
  <si>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</si>
  <si>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</si>
  <si>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</si>
  <si>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</si>
  <si>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</si>
  <si>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</si>
  <si>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</si>
  <si>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</si>
  <si>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</si>
  <si>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</si>
  <si>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</si>
  <si>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</si>
  <si>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</si>
  <si>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</si>
  <si>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</si>
  <si>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0312 - FABRICACIÓN DE PRODUCTOS DE ASFALTO</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</si>
  <si>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</si>
  <si>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</si>
  <si>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</si>
  <si>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</si>
  <si>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</si>
  <si>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</si>
  <si>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</si>
  <si>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</si>
  <si>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</si>
  <si>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</si>
  <si>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</si>
  <si>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</si>
  <si>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</si>
  <si>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</si>
  <si>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</si>
  <si>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</si>
  <si>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</si>
  <si>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</si>
  <si>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</si>
  <si>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</si>
  <si>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</si>
  <si>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</si>
  <si>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</si>
  <si>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</si>
  <si>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</si>
  <si>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</si>
  <si>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</si>
  <si>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</si>
  <si>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</si>
  <si>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</si>
  <si>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</si>
  <si>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</si>
  <si>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</si>
  <si>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</si>
  <si>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</si>
  <si>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</si>
  <si>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</si>
  <si>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</si>
  <si>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</si>
  <si>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</si>
  <si>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</si>
  <si>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</si>
  <si>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</si>
  <si>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</si>
  <si>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</si>
  <si>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</si>
  <si>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</si>
  <si>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</si>
  <si>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</si>
  <si>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</si>
  <si>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</si>
  <si>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</si>
  <si>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1115 - ASOCIACIONES Y ORGANIZACIONES DE PROFESIONISTAS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</si>
  <si>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</si>
  <si>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</si>
  <si>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</si>
  <si>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</si>
  <si>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</si>
  <si>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</si>
  <si>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</si>
  <si>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</si>
  <si>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</si>
  <si>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</si>
  <si>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</si>
  <si>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</si>
  <si>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</si>
  <si>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</si>
  <si>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</si>
  <si>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</si>
  <si>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</si>
  <si>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</si>
  <si>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</si>
  <si>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</si>
  <si>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</si>
  <si>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</si>
  <si>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</si>
  <si>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</si>
  <si>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</si>
  <si>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</si>
  <si>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</si>
  <si>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</si>
  <si>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</si>
  <si>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</si>
  <si>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</si>
  <si>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</si>
  <si>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</si>
  <si>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</si>
  <si>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</si>
  <si>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</si>
  <si>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</si>
  <si>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</si>
  <si>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</si>
  <si>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</si>
  <si>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</si>
  <si>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0313 - FABRICACIÓN DE ACEITES Y GRASAS LUBRICANTES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</si>
  <si>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</si>
  <si>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</si>
  <si>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</si>
  <si>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</si>
  <si>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</si>
  <si>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</si>
  <si>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</si>
  <si>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</si>
  <si>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</si>
  <si>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</si>
  <si>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</si>
  <si>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</si>
  <si>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</si>
  <si>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</si>
  <si>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</si>
  <si>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</si>
  <si>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</si>
  <si>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</si>
  <si>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</si>
  <si>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</si>
  <si>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</si>
  <si>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</si>
  <si>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</si>
  <si>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</si>
  <si>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</si>
  <si>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</si>
  <si>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</si>
  <si>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</si>
  <si>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</si>
  <si>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</si>
  <si>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</si>
  <si>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</si>
  <si>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</si>
  <si>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</si>
  <si>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</si>
  <si>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</si>
  <si>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</si>
  <si>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</si>
  <si>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</si>
  <si>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</si>
  <si>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</si>
  <si>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</si>
  <si>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</si>
  <si>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</si>
  <si>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</si>
  <si>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</si>
  <si>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</si>
  <si>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</si>
  <si>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</si>
  <si>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</si>
  <si>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</si>
  <si>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</si>
  <si>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1116 - FEDERACIONES Y OTRAS ASOCIACIONES REGULATORIAS DE ACTIVIDADES RECREATIVAS</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</si>
  <si>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</si>
  <si>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</si>
  <si>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</si>
  <si>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</si>
  <si>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</si>
  <si>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</si>
  <si>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</si>
  <si>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</si>
  <si>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</si>
  <si>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</si>
  <si>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</si>
  <si>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</si>
  <si>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</si>
  <si>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</si>
  <si>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</si>
  <si>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</si>
  <si>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</si>
  <si>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</si>
  <si>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</si>
  <si>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</si>
  <si>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</si>
  <si>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</si>
  <si>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</si>
  <si>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</si>
  <si>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</si>
  <si>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</si>
  <si>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</si>
  <si>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</si>
  <si>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</si>
  <si>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</si>
  <si>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</si>
  <si>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</si>
  <si>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</si>
  <si>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</si>
  <si>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</si>
  <si>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</si>
  <si>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</si>
  <si>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</si>
  <si>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</si>
  <si>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0314 - FABRICACIÓN DE COQUE Y OTROS PRODUCTOS DERIVADOS DEL PETRÓLEO Y DEL CARBÓN</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</si>
  <si>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</si>
  <si>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</si>
  <si>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</si>
  <si>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</si>
  <si>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</si>
  <si>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</si>
  <si>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</si>
  <si>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</si>
  <si>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</si>
  <si>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</si>
  <si>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</si>
  <si>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</si>
  <si>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</si>
  <si>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</si>
  <si>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</si>
  <si>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</si>
  <si>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</si>
  <si>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</si>
  <si>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</si>
  <si>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</si>
  <si>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</si>
  <si>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</si>
  <si>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</si>
  <si>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</si>
  <si>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</si>
  <si>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</si>
  <si>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</si>
  <si>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</si>
  <si>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</si>
  <si>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</si>
  <si>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</si>
  <si>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</si>
  <si>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</si>
  <si>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</si>
  <si>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</si>
  <si>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</si>
  <si>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</si>
  <si>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</si>
  <si>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</si>
  <si>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</si>
  <si>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</si>
  <si>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</si>
  <si>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</si>
  <si>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</si>
  <si>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</si>
  <si>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</si>
  <si>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</si>
  <si>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</si>
  <si>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</si>
  <si>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</si>
  <si>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1117 - ASOCIACIONES Y ORGANIZACIONES RELIGIOSAS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</si>
  <si>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</si>
  <si>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</si>
  <si>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</si>
  <si>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</si>
  <si>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</si>
  <si>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</si>
  <si>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</si>
  <si>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</si>
  <si>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</si>
  <si>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</si>
  <si>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</si>
  <si>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</si>
  <si>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TIPO_OPINION{1,ELEMENTS(DATAINCOLUMN$@$,CATALOGCOLUMN14,1,1,@s@,2,@s@,3,@s@,4,@s@,5,@s@,6,@s@,7,@h@)}</t>
  </si>
  <si>
    <t>DAN_40{1,ELEMENTS(3,40,M,,,,)}</t>
  </si>
  <si>
    <t>06 - COLIMA</t>
  </si>
  <si>
    <t>4 - FIDEICOMISO</t>
  </si>
  <si>
    <t>6 - TIPO DE OPINION: ABSTENCION DE OPINION</t>
  </si>
  <si>
    <t>COSTEO DIRECTO [COSTOS HISTORICOS]</t>
  </si>
  <si>
    <t>10 - IEPSR - IEPS RETENIDO</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</si>
  <si>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</si>
  <si>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</si>
  <si>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</si>
  <si>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</si>
  <si>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</si>
  <si>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</si>
  <si>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</si>
  <si>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</si>
  <si>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</si>
  <si>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</si>
  <si>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</si>
  <si>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</si>
  <si>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</si>
  <si>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</si>
  <si>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</si>
  <si>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</si>
  <si>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</si>
  <si>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</si>
  <si>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</si>
  <si>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0315 - FABRICACIÓN DE PRODUCTOS PETROQUÍMICOS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</si>
  <si>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</si>
  <si>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</si>
  <si>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</si>
  <si>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</si>
  <si>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</si>
  <si>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</si>
  <si>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</si>
  <si>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</si>
  <si>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</si>
  <si>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</si>
  <si>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</si>
  <si>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</si>
  <si>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</si>
  <si>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</si>
  <si>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</si>
  <si>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</si>
  <si>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</si>
  <si>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</si>
  <si>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</si>
  <si>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</si>
  <si>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</si>
  <si>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</si>
  <si>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</si>
  <si>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</si>
  <si>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</si>
  <si>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</si>
  <si>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</si>
  <si>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</si>
  <si>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</si>
  <si>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</si>
  <si>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</si>
  <si>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</si>
  <si>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</si>
  <si>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</si>
  <si>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</si>
  <si>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</si>
  <si>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</si>
  <si>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</si>
  <si>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</si>
  <si>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</si>
  <si>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</si>
  <si>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</si>
  <si>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</si>
  <si>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</si>
  <si>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</si>
  <si>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</si>
  <si>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</si>
  <si>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</si>
  <si>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1118 - ASOCIACIONES Y ORGANIZACIONES POLÍTICAS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</si>
  <si>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</si>
  <si>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</si>
  <si>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</si>
  <si>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</si>
  <si>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</si>
  <si>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</si>
  <si>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</si>
  <si>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</si>
  <si>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</si>
  <si>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COSTO_DE_VENTAS{0,ELEMENTS(DATAINCOLUMN$@$,CATALOGCOLUMN16,0,3,@s@,4,@s@,5,@s@,6,@s@,7,@s@,1,@h@,2,@h@)}</t>
  </si>
  <si>
    <t>DAN_100{1,ELEMENTS(3,100,M,,,,)}</t>
  </si>
  <si>
    <t>07 - CHIAPAS</t>
  </si>
  <si>
    <t>7 - TIPO DE OPINION: ESPECIAL</t>
  </si>
  <si>
    <t>COSTEO DIRECTO [COSTOS PREDETERMINADOS]</t>
  </si>
  <si>
    <t>03 - IETU - IETU A CARGO</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</si>
  <si>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</si>
  <si>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</si>
  <si>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</si>
  <si>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</si>
  <si>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</si>
  <si>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</si>
  <si>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</si>
  <si>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</si>
  <si>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</si>
  <si>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</si>
  <si>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</si>
  <si>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</si>
  <si>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</si>
  <si>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</si>
  <si>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</si>
  <si>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</si>
  <si>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</si>
  <si>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</si>
  <si>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0316 - FABRICACIÓN DE GASES INDUSTRIALES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</si>
  <si>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</si>
  <si>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</si>
  <si>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</si>
  <si>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</si>
  <si>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</si>
  <si>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</si>
  <si>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</si>
  <si>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</si>
  <si>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</si>
  <si>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</si>
  <si>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</si>
  <si>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</si>
  <si>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</si>
  <si>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</si>
  <si>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</si>
  <si>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</si>
  <si>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</si>
  <si>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</si>
  <si>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</si>
  <si>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</si>
  <si>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</si>
  <si>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</si>
  <si>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</si>
  <si>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</si>
  <si>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</si>
  <si>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</si>
  <si>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</si>
  <si>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</si>
  <si>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</si>
  <si>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</si>
  <si>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</si>
  <si>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</si>
  <si>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</si>
  <si>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</si>
  <si>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</si>
  <si>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</si>
  <si>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</si>
  <si>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</si>
  <si>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</si>
  <si>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</si>
  <si>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</si>
  <si>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</si>
  <si>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</si>
  <si>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</si>
  <si>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</si>
  <si>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</si>
  <si>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1119 - ASOCIACIONES Y ORGANIZACIONES CIVILES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</si>
  <si>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</si>
  <si>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</si>
  <si>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</si>
  <si>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</si>
  <si>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</si>
  <si>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</si>
  <si>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</si>
  <si>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</si>
  <si>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IMPUESTOS{0,ELEMENTS(DATAINCOLUMN$@$,CATALOGCOLUMN38,1,13,@s@,06,@s@,04,@s@,05,@s@,09,@s@,10,@s@,03,@s@,12,@s@,11,@s@,01,@s@,02,@s@,07,@s@,08,@s@,14,@s@)}</t>
  </si>
  <si>
    <t>DAN_80{1,ELEMENTS(3,80,M,,,,)}</t>
  </si>
  <si>
    <t>08 - CHIHUAHUA</t>
  </si>
  <si>
    <t>8 - TIPO DE OPINION: ESPECIAL</t>
  </si>
  <si>
    <t>12 - IMPL - IMPUESTOS LOCALES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</si>
  <si>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</si>
  <si>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</si>
  <si>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</si>
  <si>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</si>
  <si>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</si>
  <si>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</si>
  <si>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</si>
  <si>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</si>
  <si>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</si>
  <si>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</si>
  <si>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</si>
  <si>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</si>
  <si>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</si>
  <si>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</si>
  <si>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</si>
  <si>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</si>
  <si>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</si>
  <si>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</si>
  <si>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0317 - FABRICACIÓN DE PIGMENTOS Y COLORANTES SINTÉTICOS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</si>
  <si>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</si>
  <si>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</si>
  <si>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</si>
  <si>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</si>
  <si>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</si>
  <si>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</si>
  <si>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</si>
  <si>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</si>
  <si>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</si>
  <si>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</si>
  <si>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</si>
  <si>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</si>
  <si>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</si>
  <si>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</si>
  <si>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</si>
  <si>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</si>
  <si>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</si>
  <si>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</si>
  <si>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</si>
  <si>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</si>
  <si>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</si>
  <si>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</si>
  <si>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</si>
  <si>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</si>
  <si>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</si>
  <si>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</si>
  <si>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</si>
  <si>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</si>
  <si>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</si>
  <si>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</si>
  <si>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</si>
  <si>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</si>
  <si>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</si>
  <si>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</si>
  <si>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</si>
  <si>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</si>
  <si>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</si>
  <si>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</si>
  <si>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</si>
  <si>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</si>
  <si>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</si>
  <si>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</si>
  <si>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</si>
  <si>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</si>
  <si>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2285 - ASOCIACIONES Y ORGANIZACIONES CIVILES DE CONDÓMINOS.</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</si>
  <si>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</si>
  <si>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</si>
  <si>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</si>
  <si>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</si>
  <si>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</si>
  <si>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</si>
  <si>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</si>
  <si>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TIPO_DE_RESOLUCION{0,ELEMENTS(DATAINCOLUMN$@$,CATALOGCOLUMN39,0,1,@s@,2,@s@)}</t>
  </si>
  <si>
    <t>DAN_15{1,ELEMENTS(3,15,M,,,,)}</t>
  </si>
  <si>
    <t>09 - CIUDAD DE MEXICO</t>
  </si>
  <si>
    <t>11 - ISAN - ISAN</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</si>
  <si>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</si>
  <si>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</si>
  <si>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</si>
  <si>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</si>
  <si>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</si>
  <si>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</si>
  <si>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</si>
  <si>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</si>
  <si>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</si>
  <si>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</si>
  <si>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</si>
  <si>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</si>
  <si>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</si>
  <si>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</si>
  <si>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</si>
  <si>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</si>
  <si>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0318 - FABRICACIÓN DE OTROS PRODUCTOS QUÍMICOS BÁSICOS INORGÁNICOS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</si>
  <si>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</si>
  <si>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</si>
  <si>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</si>
  <si>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</si>
  <si>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</si>
  <si>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</si>
  <si>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</si>
  <si>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</si>
  <si>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</si>
  <si>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</si>
  <si>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</si>
  <si>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</si>
  <si>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</si>
  <si>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</si>
  <si>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</si>
  <si>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</si>
  <si>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</si>
  <si>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</si>
  <si>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</si>
  <si>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</si>
  <si>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</si>
  <si>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</si>
  <si>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</si>
  <si>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</si>
  <si>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</si>
  <si>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</si>
  <si>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</si>
  <si>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</si>
  <si>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</si>
  <si>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</si>
  <si>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</si>
  <si>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</si>
  <si>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</si>
  <si>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</si>
  <si>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</si>
  <si>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</si>
  <si>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</si>
  <si>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</si>
  <si>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</si>
  <si>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</si>
  <si>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</si>
  <si>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</si>
  <si>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2287 - ASOCIACIONES DE PADRES DE FAMILIA.</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</si>
  <si>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</si>
  <si>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</si>
  <si>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</si>
  <si>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</si>
  <si>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</si>
  <si>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</si>
  <si>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</si>
  <si>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TIPO_OPERACIONES_FINANCIERAS{0,ELEMENTS(DATAINCOLUMN$@$,CATALOGCOLUMN40,0,1,@s@,2,@s@)}</t>
  </si>
  <si>
    <t>DAN_10{1,ELEMENTS(3,10,M,,,,)}</t>
  </si>
  <si>
    <t>10 - DURANGO</t>
  </si>
  <si>
    <t>01 - ISR - ISR A CARGO</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</si>
  <si>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</si>
  <si>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</si>
  <si>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</si>
  <si>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</si>
  <si>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</si>
  <si>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</si>
  <si>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</si>
  <si>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</si>
  <si>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</si>
  <si>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</si>
  <si>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</si>
  <si>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</si>
  <si>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</si>
  <si>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</si>
  <si>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</si>
  <si>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</si>
  <si>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0319 - FABRICACIÓN DE OTROS PRODUCTOS QUÍMICOS BÁSICOS ORGÁNICOS</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</si>
  <si>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</si>
  <si>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</si>
  <si>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</si>
  <si>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</si>
  <si>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</si>
  <si>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</si>
  <si>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</si>
  <si>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</si>
  <si>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</si>
  <si>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</si>
  <si>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</si>
  <si>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</si>
  <si>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</si>
  <si>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</si>
  <si>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</si>
  <si>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</si>
  <si>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</si>
  <si>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</si>
  <si>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</si>
  <si>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</si>
  <si>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</si>
  <si>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</si>
  <si>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</si>
  <si>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</si>
  <si>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</si>
  <si>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</si>
  <si>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</si>
  <si>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</si>
  <si>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</si>
  <si>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</si>
  <si>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</si>
  <si>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</si>
  <si>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</si>
  <si>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</si>
  <si>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</si>
  <si>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</si>
  <si>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</si>
  <si>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</si>
  <si>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</si>
  <si>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</si>
  <si>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2288 - SOCIEDADES DE GESTIÓN COLECTIVA CONSTITUIDAS DE ACUERDO CON LA LEY FEDERAL DEL DERECHO DE AUTOR</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</si>
  <si>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</si>
  <si>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</si>
  <si>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</si>
  <si>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</si>
  <si>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</si>
  <si>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</si>
  <si>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</si>
  <si>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</si>
  <si>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</si>
  <si>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</si>
  <si>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</si>
  <si>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</si>
  <si>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</si>
  <si>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</si>
  <si>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</si>
  <si>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</si>
  <si>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</si>
  <si>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</si>
  <si>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</si>
  <si>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</si>
  <si>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</si>
  <si>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</si>
  <si>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</si>
  <si>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</si>
  <si>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</si>
  <si>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</si>
  <si>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</si>
  <si>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0320 - FABRICACIÓN DE RESINAS SINTÉTICAS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</si>
  <si>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</si>
  <si>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</si>
  <si>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</si>
  <si>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</si>
  <si>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</si>
  <si>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</si>
  <si>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</si>
  <si>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</si>
  <si>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</si>
  <si>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</si>
  <si>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</si>
  <si>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</si>
  <si>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</si>
  <si>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</si>
  <si>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</si>
  <si>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</si>
  <si>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</si>
  <si>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</si>
  <si>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</si>
  <si>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</si>
  <si>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</si>
  <si>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</si>
  <si>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</si>
  <si>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</si>
  <si>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</si>
  <si>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</si>
  <si>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</si>
  <si>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</si>
  <si>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</si>
  <si>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</si>
  <si>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</si>
  <si>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</si>
  <si>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</si>
  <si>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</si>
  <si>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</si>
  <si>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</si>
  <si>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</si>
  <si>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</si>
  <si>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</si>
  <si>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</si>
  <si>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2289 - SOCIEDADES COOPERATIVAS DE CONSUMO</t>
  </si>
  <si>
    <t>11 - GUERRERO</t>
  </si>
  <si>
    <t>78 - CHIAPAS “2” / TAPACHULA</t>
  </si>
  <si>
    <t>11 - ASISTENCIA TECNICA</t>
  </si>
  <si>
    <t>11 - GASTOS A PRORRATA</t>
  </si>
  <si>
    <t>11 - K. REFACCIONARIO</t>
  </si>
  <si>
    <t>METODO-PRECIOS{0,ELEMENTS(DATAINCOLUMN$@$,CATALOGCOLUMN42,0,3,@s@,6,@s@,1,@s@,2,@s@,4,@s@,5,@s@)}</t>
  </si>
  <si>
    <t>DAN_20{1,ELEMENTS(3,20,M,,,,)}</t>
  </si>
  <si>
    <t>12 - GUERRERO</t>
  </si>
  <si>
    <t>07 - IVA - IVA A CARGO</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</si>
  <si>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</si>
  <si>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</si>
  <si>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</si>
  <si>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</si>
  <si>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</si>
  <si>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</si>
  <si>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</si>
  <si>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</si>
  <si>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</si>
  <si>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</si>
  <si>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</si>
  <si>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</si>
  <si>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</si>
  <si>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</si>
  <si>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</si>
  <si>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</si>
  <si>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0322 - FABRICACIÓN DE FIBRAS QUÍMICAS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</si>
  <si>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</si>
  <si>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</si>
  <si>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</si>
  <si>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</si>
  <si>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</si>
  <si>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</si>
  <si>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</si>
  <si>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</si>
  <si>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</si>
  <si>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</si>
  <si>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</si>
  <si>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</si>
  <si>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</si>
  <si>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</si>
  <si>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</si>
  <si>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</si>
  <si>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</si>
  <si>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</si>
  <si>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</si>
  <si>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</si>
  <si>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</si>
  <si>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</si>
  <si>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</si>
  <si>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</si>
  <si>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</si>
  <si>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</si>
  <si>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</si>
  <si>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</si>
  <si>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</si>
  <si>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</si>
  <si>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</si>
  <si>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</si>
  <si>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</si>
  <si>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</si>
  <si>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</si>
  <si>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</si>
  <si>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</si>
  <si>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</si>
  <si>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</si>
  <si>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2290 - ORANISMOS QUE AGRUPAN A SOCIEDADES COOPERATIVAS YA SEA DE PRODUCTORES O DE CONSUMIDORES</t>
  </si>
  <si>
    <t>12 - HIDALGO</t>
  </si>
  <si>
    <t>54 - CHIHUAHUA “1” / CHIHUAHUA</t>
  </si>
  <si>
    <t>12 - PUBLICIDAD</t>
  </si>
  <si>
    <t>12 - GARANTIAS</t>
  </si>
  <si>
    <t>12 - L. REVOLVENTE</t>
  </si>
  <si>
    <t>OPERACIONES-INGRESO{0,ELEMENTS(DATAINCOLUMN$@$,CATALOGCOLUMN43,0,1,@s@,2,@s@,3,@s@,4,@s@,5,@s@,6,@s@,7,@s@,8,@s@,9,@s@,10,@s@,11,@s@,12,@s@,13,@s@,14,@s@,15,@s@,16,@s@,17,@s@,18,@s@,19,@s@,20,@s@,21,@s@,22,@s@,23,@s@,24,@s@,25,@s@,26,@s@,27,@s@,28,@s@,29,@s@,30,@s@,31,@s@,32,@s@,33,@s@,34,@s@)}</t>
  </si>
  <si>
    <t>DAN_19{1,ELEMENTS(3,19,M,,,,)}</t>
  </si>
  <si>
    <t>13 - HIDALGO</t>
  </si>
  <si>
    <t>08 - IVAR - IVA RETENIDO</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</si>
  <si>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</si>
  <si>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</si>
  <si>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</si>
  <si>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</si>
  <si>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</si>
  <si>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</si>
  <si>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</si>
  <si>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</si>
  <si>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</si>
  <si>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</si>
  <si>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</si>
  <si>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</si>
  <si>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</si>
  <si>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</si>
  <si>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</si>
  <si>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0323 - FABRICACIÓN DE FERTILIZANTES DESTINADOS PARA SER UTILIZADOS EN LA AGRICULTURA O GANADERÍA</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</si>
  <si>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</si>
  <si>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</si>
  <si>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</si>
  <si>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</si>
  <si>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</si>
  <si>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</si>
  <si>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</si>
  <si>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</si>
  <si>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</si>
  <si>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</si>
  <si>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</si>
  <si>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</si>
  <si>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</si>
  <si>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</si>
  <si>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</si>
  <si>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</si>
  <si>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</si>
  <si>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</si>
  <si>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</si>
  <si>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</si>
  <si>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</si>
  <si>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</si>
  <si>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</si>
  <si>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</si>
  <si>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</si>
  <si>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</si>
  <si>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</si>
  <si>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</si>
  <si>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</si>
  <si>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</si>
  <si>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</si>
  <si>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</si>
  <si>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</si>
  <si>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</si>
  <si>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</si>
  <si>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2291 - ASOCIACIONES Y ORGANIZACIONES PATRONALES</t>
  </si>
  <si>
    <t>13 - JALISCO</t>
  </si>
  <si>
    <t>53 - CHIHUAHUA “2” / CIUDAD JUAREZ</t>
  </si>
  <si>
    <t>13 - MAQUILA</t>
  </si>
  <si>
    <t>13 - HONORARIOS</t>
  </si>
  <si>
    <t>13 - M. SINDICADO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</si>
  <si>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</si>
  <si>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</si>
  <si>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</si>
  <si>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</si>
  <si>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</si>
  <si>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</si>
  <si>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</si>
  <si>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</si>
  <si>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</si>
  <si>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</si>
  <si>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</si>
  <si>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</si>
  <si>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</si>
  <si>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</si>
  <si>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</si>
  <si>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</si>
  <si>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</si>
  <si>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0324 - FABRICACIÓN DE FERTILIZANTES DOMÉSTICOS O INDUSTRIALES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</si>
  <si>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</si>
  <si>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</si>
  <si>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</si>
  <si>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</si>
  <si>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</si>
  <si>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</si>
  <si>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</si>
  <si>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</si>
  <si>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</si>
  <si>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</si>
  <si>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</si>
  <si>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</si>
  <si>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</si>
  <si>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</si>
  <si>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</si>
  <si>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</si>
  <si>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</si>
  <si>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</si>
  <si>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</si>
  <si>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</si>
  <si>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</si>
  <si>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</si>
  <si>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</si>
  <si>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</si>
  <si>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</si>
  <si>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</si>
  <si>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</si>
  <si>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</si>
  <si>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</si>
  <si>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</si>
  <si>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</si>
  <si>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</si>
  <si>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2337 - APORTACIÓN DE SERVICIOS PARA LA ATENCIÓN A GRUPOS SOCIALES CON DISCAPACIDAD.</t>
  </si>
  <si>
    <t>14 - MEXICO</t>
  </si>
  <si>
    <t>52 - COAHUILA DE ZARAGOZA “1” / SALTILLO</t>
  </si>
  <si>
    <t>14 - VENTA DE CARTERA</t>
  </si>
  <si>
    <t>14 - PUBLICIDAD</t>
  </si>
  <si>
    <t>14 - N. OTRO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</si>
  <si>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</si>
  <si>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</si>
  <si>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</si>
  <si>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</si>
  <si>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</si>
  <si>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</si>
  <si>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</si>
  <si>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</si>
  <si>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</si>
  <si>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</si>
  <si>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</si>
  <si>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</si>
  <si>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</si>
  <si>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</si>
  <si>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</si>
  <si>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</si>
  <si>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0325 - FABRICACIÓN DE PESTICIDAS Y AGROQUÍMICOS; EXCEPTO PLAGUICIDAS</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</si>
  <si>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</si>
  <si>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</si>
  <si>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</si>
  <si>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</si>
  <si>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</si>
  <si>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</si>
  <si>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</si>
  <si>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</si>
  <si>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</si>
  <si>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</si>
  <si>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</si>
  <si>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</si>
  <si>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</si>
  <si>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</si>
  <si>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</si>
  <si>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</si>
  <si>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</si>
  <si>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</si>
  <si>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</si>
  <si>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</si>
  <si>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</si>
  <si>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</si>
  <si>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</si>
  <si>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</si>
  <si>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</si>
  <si>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</si>
  <si>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</si>
  <si>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</si>
  <si>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</si>
  <si>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2338 - FOMENTO DE ACCIONES PARA MEJORAR LA ECONOMÍA POPULAR.</t>
  </si>
  <si>
    <t>15 - MICHOACAN</t>
  </si>
  <si>
    <t>51 - COAHUILA DE ZARAGOZA “2” / TORREON</t>
  </si>
  <si>
    <t>15 - REEMBOLSOS</t>
  </si>
  <si>
    <t>15 - MAQUILA</t>
  </si>
  <si>
    <t>ACTIVOS_INTANGIBLES{0,ELEMENTS(DATAINCOLUMN$@$,CATALOGCOLUMN46,0,1,@s@,2,@s@,3,@s@,4,@s@,5,@s@,6,@s@,7,@s@,8,@s@,9,@s@,10,@s@,11,@s@,12,@s@,13,@s@,14,@s@,15,@s@,16,@s@,17,@s@,18,@s@,19,@s@,20,@s@,21,@s@,22,@s@,23,@s@,24,@s@,25,@s@,26,@s@,27,@s@,28,@s@,29,@s@,30,@s@,31,@s@,32,@s@,33,@s@,34,@s@,35,@s@,36,@s@,37,@s@,38,@s@)}</t>
  </si>
  <si>
    <t>IDE1_IPN{0,ELEMENTS(2,18,M,12,2,1,1)}</t>
  </si>
  <si>
    <t>16 - MICHOACAN</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</si>
  <si>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</si>
  <si>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</si>
  <si>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</si>
  <si>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</si>
  <si>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</si>
  <si>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</si>
  <si>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</si>
  <si>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</si>
  <si>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</si>
  <si>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</si>
  <si>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</si>
  <si>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</si>
  <si>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</si>
  <si>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0326 - FABRICACIÓN DE PESTICIDAS; EXCEPTO FERTILIZANTES Y PLAGUICIDAS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</si>
  <si>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</si>
  <si>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</si>
  <si>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</si>
  <si>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</si>
  <si>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</si>
  <si>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</si>
  <si>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</si>
  <si>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</si>
  <si>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</si>
  <si>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</si>
  <si>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</si>
  <si>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</si>
  <si>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</si>
  <si>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</si>
  <si>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</si>
  <si>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</si>
  <si>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</si>
  <si>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</si>
  <si>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</si>
  <si>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</si>
  <si>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</si>
  <si>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</si>
  <si>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</si>
  <si>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</si>
  <si>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</si>
  <si>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</si>
  <si>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2339 - PROMOCIÓN DE LA PARTICIPACIÓN ORGANIZADA DE LA POBLACIÓN; EN BENEFICIO DE LA COMUNIDAD.</t>
  </si>
  <si>
    <t>16 - MORELOS</t>
  </si>
  <si>
    <t>57 - COAHUILA DE ZARAGOZA “3” / PIEDRAS NEGRAS</t>
  </si>
  <si>
    <t>16 - DIVIDENDOS</t>
  </si>
  <si>
    <t>16 - SERVICIOS</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</si>
  <si>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</si>
  <si>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</si>
  <si>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</si>
  <si>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</si>
  <si>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</si>
  <si>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</si>
  <si>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</si>
  <si>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</si>
  <si>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</si>
  <si>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</si>
  <si>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</si>
  <si>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</si>
  <si>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</si>
  <si>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</si>
  <si>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</si>
  <si>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0329 - FABRICACIÓN DE PINTURAS Y RECUBRIMIENTOS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</si>
  <si>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</si>
  <si>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</si>
  <si>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</si>
  <si>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</si>
  <si>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</si>
  <si>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</si>
  <si>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</si>
  <si>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</si>
  <si>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</si>
  <si>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</si>
  <si>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</si>
  <si>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</si>
  <si>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</si>
  <si>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</si>
  <si>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</si>
  <si>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</si>
  <si>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</si>
  <si>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</si>
  <si>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</si>
  <si>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</si>
  <si>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</si>
  <si>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</si>
  <si>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</si>
  <si>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2350 - PROMOCIÓN DE LA EQUIDAD DE GÉNERO.</t>
  </si>
  <si>
    <t>17 - NAYARIT</t>
  </si>
  <si>
    <t>62 - COLIMA “1” / COLIMA</t>
  </si>
  <si>
    <t>17 - COMISIONES</t>
  </si>
  <si>
    <t>AGRICULTURA{0,ELEMENTS(DATAINCOLUMN$@$,CATALOGCOLUMN55,1,01,,02,,03,,04,,05,,06,,07,,08,,09,,10,@s@,11,@s@,12,@s@,13,@s@,14,@s@,15,@s@,16,@s@,17,@s@,18,@s@,19,@s@,20,@s@,21,@s@,22,@s@,23,@s@,24,@s@,25,@s@,26,@s@,27,@s@,28,@s@,29,@s@,30,@s@,31,@s@,32,@s@,33,@s@,34,@s@,35,@s@,36,@s@,37,@s@,38,@s@,39,@s@,40,@s@,41,@s@,42,@s@,43,@s@,44,@s@,45,@s@,46,@s@,47,@s@,48,@s@,49,@s@,50,@s@)}</t>
  </si>
  <si>
    <t>CN_20{0,ELEMENTS(2,20,M,20,0,0,0)}</t>
  </si>
  <si>
    <t>18 - NAYARIT</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</si>
  <si>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</si>
  <si>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</si>
  <si>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</si>
  <si>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</si>
  <si>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</si>
  <si>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</si>
  <si>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</si>
  <si>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</si>
  <si>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</si>
  <si>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</si>
  <si>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</si>
  <si>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</si>
  <si>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0336 - FABRICACIÓN DE PELÍCULAS; PLACAS; PRODUCTOS QUÍMICOS PARA FOTOGRAFÍA; TELAS Y PAPEL FOTOSENSIBLE PARA FOTOGRAFÍA; CINEMATOGRAFÍA; ARTES GRÁFICAS Y RAYOS X</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</si>
  <si>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</si>
  <si>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</si>
  <si>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</si>
  <si>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</si>
  <si>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</si>
  <si>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</si>
  <si>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</si>
  <si>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</si>
  <si>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</si>
  <si>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</si>
  <si>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</si>
  <si>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</si>
  <si>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</si>
  <si>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</si>
  <si>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</si>
  <si>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</si>
  <si>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</si>
  <si>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</si>
  <si>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</si>
  <si>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</si>
  <si>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</si>
  <si>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</si>
  <si>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2351 - ASOCIACIONES Y ORGANIZACIONES ENFOCADAS A PROMOVER LA PARTICIPACIÓN CIUDADANA EN ASUNTOS DE INTERÉS PÚBLICO.</t>
  </si>
  <si>
    <t>18 - NUEVO LEON</t>
  </si>
  <si>
    <t>11 - DISTRITO FEDERAL “1” / NORTE DEL DF</t>
  </si>
  <si>
    <t>18 - OPERACIONES FINANCIERAS DERIVADAS</t>
  </si>
  <si>
    <t>18 - INTERESES A CARGO</t>
  </si>
  <si>
    <t>GANADERIA{0,ELEMENTS(DATAINCOLUMN$@$,CATALOGCOLUMN56,1,51,@s@,52,@s@,53,@s@,54,@s@,55,@s@,56,@s@,57,@s@,58,@s@,59,@s@,60,@s@,61,@s@,62,@s@,63,@s@,64,@s@,65,@s@,67,@s@,68,@s@,69,@s@,70,@s@)}</t>
  </si>
  <si>
    <t>DAN_200{0,ELEMENTS(3,200,M,,,,)}</t>
  </si>
  <si>
    <t>19 - NUEVO LEON</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</si>
  <si>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</si>
  <si>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</si>
  <si>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</si>
  <si>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</si>
  <si>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</si>
  <si>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</si>
  <si>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</si>
  <si>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</si>
  <si>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</si>
  <si>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</si>
  <si>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</si>
  <si>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0338 - FABRICACIÓN DE OTROS PRODUCTOS QUÍMICOS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</si>
  <si>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</si>
  <si>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</si>
  <si>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</si>
  <si>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</si>
  <si>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</si>
  <si>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</si>
  <si>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</si>
  <si>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</si>
  <si>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</si>
  <si>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</si>
  <si>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</si>
  <si>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</si>
  <si>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</si>
  <si>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</si>
  <si>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</si>
  <si>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</si>
  <si>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</si>
  <si>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</si>
  <si>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</si>
  <si>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</si>
  <si>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2352 - PARTICIPACIÓN EN ACCIONES DE PROTECCIÓN CIVIL.</t>
  </si>
  <si>
    <t>19 - OAXACA</t>
  </si>
  <si>
    <t>12 - DISTRITO FEDERAL “2” / CENTRO DEL DF</t>
  </si>
  <si>
    <t>19 - ARRENDAMIENTO</t>
  </si>
  <si>
    <t>19 - OTROS ACREEDOR</t>
  </si>
  <si>
    <t>SILVICULTURA{0,ELEMENTS(DATAINCOLUMN$@$,CATALOGCOLUMN57,1,71,@s@,72,@s@,73,@s@,74,@s@)}</t>
  </si>
  <si>
    <t>Porcentaje{0,ELEMENTS(9,6,M,3,2,,)}</t>
  </si>
  <si>
    <t>20 - OAXACA</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</si>
  <si>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</si>
  <si>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</si>
  <si>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</si>
  <si>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</si>
  <si>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</si>
  <si>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</si>
  <si>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</si>
  <si>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</si>
  <si>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</si>
  <si>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</si>
  <si>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</si>
  <si>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</si>
  <si>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</si>
  <si>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</si>
  <si>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</si>
  <si>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</si>
  <si>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</si>
  <si>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</si>
  <si>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</si>
  <si>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</si>
  <si>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</si>
  <si>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</si>
  <si>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</si>
  <si>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</si>
  <si>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</si>
  <si>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</si>
  <si>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</si>
  <si>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</si>
  <si>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2353 - CREACIÓN Y FORTALECIMIENTO DE ORGANIZACIONES QUE REALICEN ACTIVIDADES DE FOMENTO.</t>
  </si>
  <si>
    <t>20 - PUEBLA</t>
  </si>
  <si>
    <t>14 - DISTRITO FEDERAL “3” / ORIENTE DEL DF</t>
  </si>
  <si>
    <t>20 - PRESTACION DE SERVICIOS</t>
  </si>
  <si>
    <t>PESCA{0,ELEMENTS(DATAINCOLUMN$@$,CATALOGCOLUMN58,1,66,@s@,75,@s@,76,@s@,77,@s@,78,@s@)}</t>
  </si>
  <si>
    <t>CN_5{0,ELEMENTS(2,5,M,5,0,0,0)}</t>
  </si>
  <si>
    <t>21 - PUEBLA</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</si>
  <si>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</si>
  <si>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</si>
  <si>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</si>
  <si>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</si>
  <si>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</si>
  <si>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</si>
  <si>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</si>
  <si>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</si>
  <si>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</si>
  <si>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2345 - FABRICACIÓN O PRODUCCIÓN DE COMBUSTIBLES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</si>
  <si>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</si>
  <si>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</si>
  <si>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</si>
  <si>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</si>
  <si>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</si>
  <si>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</si>
  <si>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</si>
  <si>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</si>
  <si>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</si>
  <si>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</si>
  <si>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</si>
  <si>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</si>
  <si>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</si>
  <si>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</si>
  <si>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</si>
  <si>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</si>
  <si>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</si>
  <si>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</si>
  <si>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</si>
  <si>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MINERIA_EXTRAC_PETROLEO_GAS{0,ELEMENTS(DATAINCOLUMN$@$,CATALOGCOLUMN59,1,089,,090,,091,,092,,093,,094,,095,,096,,097,,098,,099,,100,@s@,101,@s@,102,@s@,103,@s@,104,@s@,105,@s@,106,@s@,107,@s@,108,@s@,109,@s@,110,@s@,111,@s@,112,@s@,113,@s@,114,@s@,115,@s@,116,@s@,117,@s@,118,@s@,119,@s@)}</t>
  </si>
  <si>
    <t>EJERCICIO_4{0,ELEMENTS(2,4,E,4,0,0,0)}</t>
  </si>
  <si>
    <t>22 - QUERETARO</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</si>
  <si>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</si>
  <si>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</si>
  <si>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</si>
  <si>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</si>
  <si>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</si>
  <si>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</si>
  <si>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</si>
  <si>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</si>
  <si>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</si>
  <si>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2347 - FABRICACIÓN O PRODUCCIÓN DE PLAGUICIDAS.</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</si>
  <si>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</si>
  <si>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</si>
  <si>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</si>
  <si>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</si>
  <si>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</si>
  <si>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</si>
  <si>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</si>
  <si>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</si>
  <si>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</si>
  <si>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</si>
  <si>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</si>
  <si>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</si>
  <si>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</si>
  <si>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</si>
  <si>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2356 - APORTACIÓN DE SERVICIOS PARA LA ATENCIÓN A GRUPOS SOCIALES CON DISCAPACIDAD.</t>
  </si>
  <si>
    <t>22 - QUINTANA ROO</t>
  </si>
  <si>
    <t>55 - DURANGO “1” / DURANGO</t>
  </si>
  <si>
    <t>22 - INTERESES DEVENGADOS</t>
  </si>
  <si>
    <t>OBRAS_INGENIERIA_CIVIL{0,ELEMENTS(DATAINCOLUMN$@$,CATALOGCOLUMN60,1,134,@s@,135,@s@,136,@s@,139,@s@,140,@s@,143,@s@,144,@s@,148,@s@,151,@s@,153,@s@,154,@s@,155,@s@,157,@s@)}</t>
  </si>
  <si>
    <t>DAN_250{0,ELEMENTS(3,250,M,,,,)}</t>
  </si>
  <si>
    <t>23 - QUINTANA ROO</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</si>
  <si>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</si>
  <si>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</si>
  <si>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</si>
  <si>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</si>
  <si>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</si>
  <si>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</si>
  <si>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</si>
  <si>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</si>
  <si>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</si>
  <si>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</si>
  <si>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</si>
  <si>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</si>
  <si>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</si>
  <si>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</si>
  <si>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</si>
  <si>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</si>
  <si>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</si>
  <si>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</si>
  <si>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</si>
  <si>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</si>
  <si>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</si>
  <si>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</si>
  <si>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23 - SAN LUIS POTOSI</t>
  </si>
  <si>
    <t>7 - GUANAJUATO “1” / IRAPUATO</t>
  </si>
  <si>
    <t>23 - GASTOS POR CUENTA DE PARTES RELACIONADAS</t>
  </si>
  <si>
    <t>ALIMENTOS_EMBUT_AGUA_HIELO{0,ELEMENTS(DATAINCOLUMN$@$,CATALOGCOLUMN61,1,0183,,0190,,0202,,0203,,0204,,0209,,0210,,0225,,0228,,0229,,0232,,0233,,2257,@s@)}</t>
  </si>
  <si>
    <t>ID2_IPN_20{0,ELEMENTS(2,20,M,12,4,1,1)}</t>
  </si>
  <si>
    <t>24 - SAN LUIS POTOSI</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</si>
  <si>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</si>
  <si>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</si>
  <si>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</si>
  <si>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</si>
  <si>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</si>
  <si>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</si>
  <si>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</si>
  <si>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</si>
  <si>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</si>
  <si>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</si>
  <si>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</si>
  <si>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</si>
  <si>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</si>
  <si>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</si>
  <si>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</si>
  <si>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</si>
  <si>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</si>
  <si>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</si>
  <si>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</si>
  <si>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</si>
  <si>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</si>
  <si>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</si>
  <si>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</si>
  <si>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</si>
  <si>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DULCES_CHOC_BOTANAS_SIMIL{0,ELEMENTS(DATAINCOLUMN$@$,CATALOGCOLUMN62,1,192,@s@,193,@s@,194,@s@,195,@s@,196,@s@,205,@s@,217,@s@,2349,@s@)}</t>
  </si>
  <si>
    <t>RFC_FISICA{0,ELEMENTS(11,,,,,,)}</t>
  </si>
  <si>
    <t>25 - SINALOA</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</si>
  <si>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</si>
  <si>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</si>
  <si>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</si>
  <si>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</si>
  <si>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</si>
  <si>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</si>
  <si>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</si>
  <si>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</si>
  <si>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</si>
  <si>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</si>
  <si>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</si>
  <si>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</si>
  <si>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</si>
  <si>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</si>
  <si>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</si>
  <si>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</si>
  <si>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</si>
  <si>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</si>
  <si>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</si>
  <si>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</si>
  <si>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</si>
  <si>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CONSERVAS_CORTE_EMPACADO{0,ELEMENTS(DATAINCOLUMN$@$,CATALOGCOLUMN63,1,197,@s@,198,@s@,199,@s@,200,@s@,201,@s@,207,@s@,211,@s@,2256,@s@)}</t>
  </si>
  <si>
    <t>26 - SONORA</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</si>
  <si>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</si>
  <si>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</si>
  <si>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</si>
  <si>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</si>
  <si>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</si>
  <si>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</si>
  <si>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</si>
  <si>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</si>
  <si>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</si>
  <si>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</si>
  <si>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</si>
  <si>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</si>
  <si>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</si>
  <si>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</si>
  <si>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</si>
  <si>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</si>
  <si>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</si>
  <si>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</si>
  <si>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</si>
  <si>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</si>
  <si>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</si>
  <si>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PAN_TORT_HARINAS_CEREALES{0,ELEMENTS(DATAINCOLUMN$@$,CATALOGCOLUMN64,1,185,@s@,186,@s@,187,@s@,188,@s@,189,@s@,191,@s@,213,@s@,214,@s@,215,@s@,216,@s@,226,@s@,227,@s@)}</t>
  </si>
  <si>
    <t>27 - TABASCO</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</si>
  <si>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</si>
  <si>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</si>
  <si>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</si>
  <si>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</si>
  <si>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</si>
  <si>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</si>
  <si>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</si>
  <si>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</si>
  <si>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</si>
  <si>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</si>
  <si>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</si>
  <si>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</si>
  <si>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</si>
  <si>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</si>
  <si>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</si>
  <si>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</si>
  <si>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</si>
  <si>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</si>
  <si>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</si>
  <si>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BEBIDAS_NO_ALCOH_CONC_PREP{0,ELEMENTS(DATAINCOLUMN$@$,CATALOGCOLUMN65,1,0220,,0221,,0222,,0223,,0224,,0230,,0231,,2258,@s@,2259,@s@,2260,@s@,2261,@s@,2263,@s@,2310,@s@,2311,@s@,2342,@s@,2343,@s@)}</t>
  </si>
  <si>
    <t>28 - TAMAULIPAS</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</si>
  <si>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</si>
  <si>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</si>
  <si>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</si>
  <si>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</si>
  <si>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</si>
  <si>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</si>
  <si>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</si>
  <si>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</si>
  <si>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</si>
  <si>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</si>
  <si>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</si>
  <si>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</si>
  <si>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</si>
  <si>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</si>
  <si>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</si>
  <si>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</si>
  <si>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</si>
  <si>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</si>
  <si>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</si>
  <si>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BEBIDAS_CON_ALCOH_TABACOS{0,ELEMENTS(DATAINCOLUMN$@$,CATALOGCOLUMN66,1,0234,@s@,0235,@s@,0236,@s@,0237,@s@,0238,@s@,0239,@s@,0240,@s@,0241,@s@,0242,@s@,0243,@s@,0244,@s@,0245,@s@,0246,@s@,0247,@s@,0573,@s@,0574,@s@,0575,@s@,0576,@s@,0578,@s@,0579,@s@,0580,@s@,2236,@s@,2262,@s@)}</t>
  </si>
  <si>
    <t>29 - TLAXCALA</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</si>
  <si>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</si>
  <si>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</si>
  <si>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</si>
  <si>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</si>
  <si>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</si>
  <si>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</si>
  <si>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</si>
  <si>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</si>
  <si>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</si>
  <si>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</si>
  <si>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</si>
  <si>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</si>
  <si>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</si>
  <si>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</si>
  <si>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</si>
  <si>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</si>
  <si>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</si>
  <si>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TEXTILES_INSUMOSTEX{0,ELEMENTS(DATAINCOLUMN$@$,CATALOGCOLUMN67,1,0248,,0249,,0250,,0251,,0252,,0253,,0254,,0255,,0256,,0257,,0258,,0259,,0260,,0261,,0262,,0263,,0264,,2284,@s@)}</t>
  </si>
  <si>
    <t>30 - VERACRUZ</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</si>
  <si>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</si>
  <si>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</si>
  <si>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</si>
  <si>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</si>
  <si>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</si>
  <si>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</si>
  <si>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</si>
  <si>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</si>
  <si>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</si>
  <si>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</si>
  <si>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</si>
  <si>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</si>
  <si>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</si>
  <si>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</si>
  <si>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PRENDAS_ACCES_VESTIR_CALZADO{0,ELEMENTS(DATAINCOLUMN$@$,CATALOGCOLUMN68,1,265,@s@,266,@s@,267,@s@,268,@s@,269,@s@,270,@s@,271,@s@,272,@s@,273,@s@,274,@s@,275,@s@,276,@s@,277,@s@,278,@s@,279,@s@,280,@s@,281,@s@,282,@s@,283,@s@,284,@s@)}</t>
  </si>
  <si>
    <t>31 - YUCATAN</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</si>
  <si>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</si>
  <si>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</si>
  <si>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</si>
  <si>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</si>
  <si>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</si>
  <si>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</si>
  <si>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</si>
  <si>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</si>
  <si>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</si>
  <si>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</si>
  <si>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</si>
  <si>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</si>
  <si>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</si>
  <si>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</si>
  <si>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QUIMICA_PETROLEO{0,ELEMENTS(DATAINCOLUMN$@$,CATALOGCOLUMN70,1,0310,,0311,,0312,,0313,,0314,,0315,,0316,,0317,,0318,,0319,,0320,,0322,,0323,,0324,,0325,,0326,,0329,,0336,,0338,,2269,@s@,2345,@s@,2347,@s@)}</t>
  </si>
  <si>
    <t>32 - ZACATECAS</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</si>
  <si>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</si>
  <si>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</si>
  <si>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</si>
  <si>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</si>
  <si>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</si>
  <si>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</si>
  <si>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</si>
  <si>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</si>
  <si>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</si>
  <si>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</si>
  <si>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</si>
  <si>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</si>
  <si>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</si>
  <si>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PLASTICO_HULE_PEG_PINT_LLANTAS{0,ELEMENTS(DATAINCOLUMN$@$,CATALOGCOLUMN71,1,321,,330,@s@,337,@s@,339,@s@,340,@s@,341,@s@,342,@s@,343,@s@,344,@s@,345,@s@,346,@s@,347,@s@,348,@s@,349,@s@,350,@s@,351,@s@,352,@s@,353,@s@,354,@s@,480,@s@)}</t>
  </si>
  <si>
    <t>82 - NO APLICA</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</si>
  <si>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</si>
  <si>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</si>
  <si>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</si>
  <si>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</si>
  <si>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</si>
  <si>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</si>
  <si>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</si>
  <si>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</si>
  <si>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</si>
  <si>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</si>
  <si>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</si>
  <si>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82 -  NO APLICA</t>
  </si>
  <si>
    <t>68 - JALISCO “5” / PUERTO VALLARTA</t>
  </si>
  <si>
    <t>INDUS_METAL_PRODUC_METALICOS{0,ELEMENTS(DATAINCOLUMN$@$,CATALOGCOLUMN72,1,379,@s@,380,@s@,381,@s@,382,@s@,383,@s@,384,@s@,385,@s@,386,@s@,387,@s@,388,@s@,389,@s@,390,@s@,391,@s@,392,@s@,393,@s@,394,@s@,395,@s@,396,@s@,397,@s@,398,@s@,399,@s@,400,@s@,401,@s@,402,@s@,403,@s@,404,@s@,405,@s@,478,@s@,479,@s@)}</t>
  </si>
  <si>
    <t>83 - NO APLICA</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</si>
  <si>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</si>
  <si>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</si>
  <si>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</si>
  <si>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</si>
  <si>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</si>
  <si>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</si>
  <si>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</si>
  <si>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</si>
  <si>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</si>
  <si>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</si>
  <si>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</si>
  <si>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83 -  NO APLICA</t>
  </si>
  <si>
    <t>16 - MEXICO “1” / TOLUCA</t>
  </si>
  <si>
    <t>MAQ_EQUI_INDUS_COMER_DOMES{0,ELEMENTS(DATAINCOLUMN$@$,CATALOGCOLUMN73,1,0406,,0407,,0408,,0409,,0410,,0411,,0412,,0413,,0414,,0415,,0416,,0417,,0418,,0419,,0420,,0421,,0422,,0423,,0424,,0425,,0426,,0427,,0428,,0429,,0430,,0469,,0470,,2264,@s@)}</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</si>
  <si>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</si>
  <si>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</si>
  <si>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</si>
  <si>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</si>
  <si>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</si>
  <si>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</si>
  <si>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</si>
  <si>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</si>
  <si>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</si>
  <si>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</si>
  <si>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EQUI_OFI_COM_ELEC_PROD_REL{0,ELEMENTS(DATAINCOLUMN$@$,CATALOGCOLUMN74,1,431,@s@,432,@s@,433,@s@,434,@s@,435,@s@,436,@s@,437,@s@,438,@s@,439,@s@,440,@s@,441,@s@,442,@s@,443,@s@,444,@s@,445,@s@,446,@s@,447,@s@,448,@s@,449,@s@,450,@s@,471,@s@,484,@s@)}</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</si>
  <si>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</si>
  <si>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</si>
  <si>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</si>
  <si>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</si>
  <si>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</si>
  <si>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</si>
  <si>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</si>
  <si>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</si>
  <si>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</si>
  <si>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</si>
  <si>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EQUI_TRANS_PROD_REL{0,ELEMENTS(DATAINCOLUMN$@$,CATALOGCOLUMN75,1,451,@s@,452,@s@,453,@s@,454,@s@,455,@s@,456,@s@,457,@s@,458,@s@,459,@s@,460,@s@,461,@s@,462,@s@,463,@s@,464,@s@,465,@s@,466,@s@,467,@s@,468,@s@)}</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</si>
  <si>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</si>
  <si>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</si>
  <si>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</si>
  <si>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</si>
  <si>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</si>
  <si>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</si>
  <si>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</si>
  <si>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</si>
  <si>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</si>
  <si>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</si>
  <si>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EQUI_MED_DEP_JUG_FAR_PERF_OTROS_PROD{0,ELEMENTS(DATAINCOLUMN$@$,CATALOGCOLUMN76,1,328,@s@,331,@s@,332,@s@,334,@s@,335,@s@,472,@s@,473,@s@,474,@s@,475,@s@,476,@s@,481,@s@,482,@s@,483,@s@,485,@s@,486,@s@,487,@s@,488,@s@,489,@s@,490,@s@,491,@s@)}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</si>
  <si>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</si>
  <si>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</si>
  <si>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</si>
  <si>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</si>
  <si>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</si>
  <si>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</si>
  <si>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</si>
  <si>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</si>
  <si>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</si>
  <si>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</si>
  <si>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VIDRIO_ARC_LOZA_CEME_MINE_NO_METL{0,ELEMENTS(DATAINCOLUMN$@$,CATALOGCOLUMN77,1,355,@s@,356,@s@,357,@s@,358,@s@,359,@s@,360,@s@,361,@s@,362,@s@,363,@s@,364,@s@,365,@s@,366,@s@,367,@s@,368,@s@,369,@s@,370,@s@,371,@s@,372,@s@,373,@s@,374,@s@,375,@s@,376,@s@,377,@s@,378,@s@)}</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</si>
  <si>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</si>
  <si>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</si>
  <si>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</si>
  <si>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</si>
  <si>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</si>
  <si>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</si>
  <si>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</si>
  <si>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</si>
  <si>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</si>
  <si>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ABARROTES_CARNES_PESCADOS_LECHE{0,ELEMENTS(DATAINCOLUMN$@$,CATALOGCOLUMN78,1,492,@s@,493,@s@,494,@s@,495,@s@,496,@s@,497,@s@,498,@s@,499,@s@,500,@s@,501,@s@,503,@s@)}</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</si>
  <si>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</si>
  <si>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</si>
  <si>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</si>
  <si>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</si>
  <si>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</si>
  <si>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</si>
  <si>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</si>
  <si>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</si>
  <si>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</si>
  <si>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DULCES_BOTANA_HELADOS_HIELO{0,ELEMENTS(DATAINCOLUMN$@$,CATALOGCOLUMN79,1,0502,,0504,,0505,,0506,,0507,,0508,,0509,,0510,,0583,,2265,@s@,2266,@s@,2267,@s@,2312,@s@,2313,@s@,2340,@s@,2341,@s@)}</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</si>
  <si>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</si>
  <si>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</si>
  <si>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</si>
  <si>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</si>
  <si>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</si>
  <si>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</si>
  <si>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</si>
  <si>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BEBIDAS_CONT_ALCOHOL_TABACO{0,ELEMENTS(DATAINCOLUMN$@$,CATALOGCOLUMN80,1,0511,,0512,,0513,,0514,,0515,,0516,,0517,,0518,,0519,,0581,,0584,,0585,,2225,@s@)}</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</si>
  <si>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</si>
  <si>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</si>
  <si>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</si>
  <si>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</si>
  <si>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</si>
  <si>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</si>
  <si>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</si>
  <si>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TEXTILES_PRENDAS_VESTIR_JOYAS_CALZADO{0,ELEMENTS(DATAINCOLUMN$@$,CATALOGCOLUMN81,1,520,@s@,521,@s@,522,@s@,523,@s@,524,@s@,527,@s@,528,@s@)}</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</si>
  <si>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</si>
  <si>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</si>
  <si>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</si>
  <si>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</si>
  <si>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</si>
  <si>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</si>
  <si>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</si>
  <si>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PERFUMERIA_FARMACIA_JUGUE_ART_DEPO{0,ELEMENTS(DATAINCOLUMN$@$,CATALOGCOLUMN82,1,525,@s@,526,@s@,530,@s@,531,@s@)}</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</si>
  <si>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</si>
  <si>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</si>
  <si>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</si>
  <si>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</si>
  <si>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</si>
  <si>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</si>
  <si>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MAQ_EQUI_INDUS_ELEC_COMER_DOMES_TRANS{0,ELEMENTS(DATAINCOLUMN$@$,CATALOGCOLUMN83,1,537,@s@,542,@s@,546,@s@,548,@s@,550,@s@,556,@s@,557,@s@,558,@s@,559,@s@,561,@s@,562,@s@,563,@s@,564,@s@,565,@s@,566,@s@,567,@s@)}</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</si>
  <si>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</si>
  <si>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</si>
  <si>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</si>
  <si>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</si>
  <si>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</si>
  <si>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</si>
  <si>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PAPELERIA_PAPEL_MADERA_CONSTRU_DES{0,ELEMENTS(DATAINCOLUMN$@$,CATALOGCOLUMN84,1,172,@s@,173,@s@,532,@s@,533,@s@,534,@s@,540,@s@,541,@s@,543,@s@,544,@s@,545,@s@,547,@s@,551,@s@,552,@s@,553,@s@,554,@s@,555,@s@)}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</si>
  <si>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</si>
  <si>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</si>
  <si>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</si>
  <si>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</si>
  <si>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</si>
  <si>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</si>
  <si>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OTROS_PRODUC_SERV_MAYOR{0,ELEMENTS(DATAINCOLUMN$@$,CATALOGCOLUMN85,1,529,@s@,538,@s@,539,@s@,549,@s@,560,@s@,568,@s@,569,@s@,570,@s@)}</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</si>
  <si>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</si>
  <si>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</si>
  <si>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</si>
  <si>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</si>
  <si>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</si>
  <si>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</si>
  <si>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ABARROTES_CARNES_PESCADO_LECHE_FRUT_VER{0,ELEMENTS(DATAINCOLUMN$@$,CATALOGCOLUMN86,1,0571,,0587,,0588,,0589,,0590,,0591,,0592,,0593,,0594,,0595,,0599,,2230,@s@,2232,@s@,2234,@s@,2247,@s@,2248,@s@,2274,@s@,2275,@s@,2276,@s@,2295,@s@,2315,@s@,2316,@s@,2317,@s@,2348,@s@)}</t>
  </si>
  <si>
    <t>GUYANA - DOLAR</t>
  </si>
  <si>
    <t>5.7 - COMERCIO AL POR MAYOR: LENTES; LIBROS; PAPELERÍA; SÚPER Y MINISÚPER AL POR MENOR</t>
  </si>
  <si>
    <t>48 - SIEMBRA; CULTIVO Y COSECHA DE CACAHUATE</t>
  </si>
  <si>
    <t>2282 - SOCIEDADES FINANCIERAS POPULARES</t>
  </si>
  <si>
    <t>73 - QUINTANA ROO “2” / CANCUN</t>
  </si>
  <si>
    <t>BEB_ALCOHOL_TABACO_MENOR{0,ELEMENTS(DATAINCOLUMN$@$,CATALOGCOLUMN87,1,0582,,0596,,0597,,0598,,0600,,2227,@s@,2228,@s@,2229,@s@,2231,@s@,2233,@s@,2270,@s@,2271,@s@,2272,@s@,2273,@s@,2314,@s@)}</t>
  </si>
  <si>
    <t>HAITI - GOURDE</t>
  </si>
  <si>
    <t>5.8 - COMERCIO AL POR MAYOR: OTROS PRODUCTOS AL POR MENOR</t>
  </si>
  <si>
    <t>49 - SIEMBRA; CULTIVO Y COSECHA DE AGAVE O MAGUEY TEQUILERO</t>
  </si>
  <si>
    <t>2283 - ADMINISTRADORAS DE FONDOS PARA EL RETIRO</t>
  </si>
  <si>
    <t>6 - SAN LUIS POTOSI “1” / SAN LUIS POTOSI</t>
  </si>
  <si>
    <t>TEX_PRED_JOYAS_CALZADO_MENOR{0,ELEMENTS(DATAINCOLUMN$@$,CATALOGCOLUMN88,1,604,@s@,605,@s@,606,@s@,607,@s@,608,@s@,609,@s@,610,@s@,611,@s@,612,@s@,619,@s@,623,@s@,641,@s@)}</t>
  </si>
  <si>
    <t>HOLANDA - EURO</t>
  </si>
  <si>
    <t>6.1 - TRANSPORTE: AÉREO; MARÍTIMO Y FERROCARRIL</t>
  </si>
  <si>
    <t>50 - SIEMBRA; CULTIVO Y COSECHA DE OTROS CULTIVOS</t>
  </si>
  <si>
    <t>2286 - SOCIEDADES FINANCIERAS DE OBJETO MÚLTIPLE</t>
  </si>
  <si>
    <t>44 - SINALOA “1” / CULIACAN</t>
  </si>
  <si>
    <t>PERF_FAR_JUG_REG_ART_MENOR{0,ELEMENTS(DATAINCOLUMN$@$,CATALOGCOLUMN89,1,613,@s@,614,@s@,615,@s@,618,@s@,630,@s@)}</t>
  </si>
  <si>
    <t>HONDURAS - LEMPIRA</t>
  </si>
  <si>
    <t>6.2 - TRANSPORTE: TERRESTRE DE CARGA</t>
  </si>
  <si>
    <t>2294 - CASAS DE PRÉSTAMO Y EMPEÑO</t>
  </si>
  <si>
    <t>49 - SINALOA “2” / MAZATLAN</t>
  </si>
  <si>
    <t>MAQ_EQUI_IND_ELEC_COM_DOM_MENOR{0,ELEMENTS(DATAINCOLUMN$@$,CATALOGCOLUMN90,1,621,@s@,622,@s@,624,@s@,637,@s@,638,@s@,644,@s@,645,@s@,646,@s@,647,@s@,648,@s@,649,@s@,650,@s@)}</t>
  </si>
  <si>
    <t>HONG KONG - DOLAR</t>
  </si>
  <si>
    <t>6.3 - TRANSPORTE: TERRESTRE DE PASAJE Y TURISMO</t>
  </si>
  <si>
    <t>2301 - SOCIEDADES MUTUALISTAS</t>
  </si>
  <si>
    <t>48 - SINALOA “3” / LOS MOCHIS</t>
  </si>
  <si>
    <t>AUTOTRANS_REFAC_GAS_DISEL_MENOR{0,ELEMENTS(DATAINCOLUMN$@$,CATALOGCOLUMN91,1,0652,,0653,,0654,,0655,,0656,,0657,,0658,,0659,,0660,,0661,,0662,,1145,@s@,1146,@s@,2305,@s@)}</t>
  </si>
  <si>
    <t>HUNGRIA - FORIN</t>
  </si>
  <si>
    <t>6.4 - TRANSPORTE: POR DUCTOS</t>
  </si>
  <si>
    <t>2307 - SOCIEDADES COOPERATIVAS DE AHORRO Y PRÉSTAMO</t>
  </si>
  <si>
    <t>46 - SONORA “1” / HERMOSILLO</t>
  </si>
  <si>
    <t>LENTES_LIB_PAPE_MINISUPER_MENOR{0,ELEMENTS(DATAINCOLUMN$@$,CATALOGCOLUMN92,1,601,@s@,602,@s@,603,@s@,616,@s@,625,@s@,626,@s@,627,@s@,633,@s@,651,@s@)}</t>
  </si>
  <si>
    <t>INDIA - RUPIA</t>
  </si>
  <si>
    <t>6.5 - TRANSPORTE: SERVICIOS RELACIONADOS CON EL AUTOTRANSPORTE</t>
  </si>
  <si>
    <t>2308 - SOCIEDADES FINANCIERAS COMUNITARIAS</t>
  </si>
  <si>
    <t>45 - SONORA “2” / CIUDAD OBREGON</t>
  </si>
  <si>
    <t>OTROS_PRODUC_MENOR{0,ELEMENTS(DATAINCOLUMN$@$,CATALOGCOLUMN93,1,0617,,0620,,0629,,0631,,0632,,0634,,0635,,0636,,0639,,0640,,0642,,0643,,0663,,0664,,0665,,2246,@s@,2344,@s@,2346,@s@,2401,@s@)}</t>
  </si>
  <si>
    <t>INDONESIA - RUPIA</t>
  </si>
  <si>
    <t>6.6 - TRANSPORTE: MENSAJERÍA Y ALMACENAMIENTO</t>
  </si>
  <si>
    <t>2309 - ORGANISMOS DE INTEGRACIÓN FINANCIERA RURAL</t>
  </si>
  <si>
    <t>50 - SONORA “3” / NOGALES</t>
  </si>
  <si>
    <t>AEREO_MARITIMO_FERROCARRIL{0,ELEMENTS(DATAINCOLUMN$@$,CATALOGCOLUMN94,1,666,@s@,667,@s@,668,@s@,669,@s@,670,@s@,671,@s@,672,@s@,673,@s@,706,@s@)}</t>
  </si>
  <si>
    <t>IRAK - DINAR</t>
  </si>
  <si>
    <t>7.1 - COMUNICACIÓN: MEDIOS IMPRESOS; BIBLIOTECAS Y DE INFORMACIÓN</t>
  </si>
  <si>
    <t>74 - TABASCO “1” / VILLAHERMOSA</t>
  </si>
  <si>
    <t>TERRESTRE_CARGA{0,ELEMENTS(DATAINCOLUMN$@$,CATALOGCOLUMN95,1,674,@s@,675,@s@,676,@s@,677,@s@,678,@s@,679,@s@,680,@s@,681,@s@,682,@s@,683,@s@,684,@s@,685,@s@,686,@s@,687,@s@,688,@s@)}</t>
  </si>
  <si>
    <t>IRAN - RIYAL</t>
  </si>
  <si>
    <t>7.2 - COMUNICACIÓN: RADIO; TELEVISIÓN; CINE Y MÚSICA</t>
  </si>
  <si>
    <t>39 - TAMAULIPAS “1” / CIUDAD VICTORIA</t>
  </si>
  <si>
    <t>TERRESTRE_PASAJE_TURISMO{0,ELEMENTS(DATAINCOLUMN$@$,CATALOGCOLUMN96,1,0689,,0690,,0691,,0692,,0693,,0694,,0695,,0696,,0697,,0700,,0705,,0707,,2362,@s@)}</t>
  </si>
  <si>
    <t>IRLANDA - EURO</t>
  </si>
  <si>
    <t>7.3 - COMUNICACIÓN: TELECOMUNICACIONES</t>
  </si>
  <si>
    <t>38 - TAMAULIPAS “2” / MATAMOROS</t>
  </si>
  <si>
    <t>POR_DUCTOS{0,ELEMENTS(DATAINCOLUMN$@$,CATALOGCOLUMN97,1,701,@s@,702,@s@,703,@s@,704,@s@)}</t>
  </si>
  <si>
    <t>ISLANDIA - CORONA</t>
  </si>
  <si>
    <t>7.4 - COMUNICACIÓN: OTROS SERVICIOS RELACIONADOS CON LA COMUNICACIÓN</t>
  </si>
  <si>
    <t>37 - TAMAULIPAS “3” / NUEVO LAREDO</t>
  </si>
  <si>
    <t>SERVICIOS_RELAC_AUTOTRANSP{0,ELEMENTS(DATAINCOLUMN$@$,CATALOGCOLUMN98,1,0698,,0699,,0708,,0709,,0710,,0711,,0712,,0713,,0714,,0715,,0716,,0717,,0718,,0719,,0721,,0722,,2298,@s@)}</t>
  </si>
  <si>
    <t>ISRAEL - SHEKEL</t>
  </si>
  <si>
    <t>8.1 - SERVICIOS: APOYO A ACTIVIDADES AGROPECUARIAS Y FORESTALES</t>
  </si>
  <si>
    <t>32 - TAMAULIPAS “4” / REYNOSA</t>
  </si>
  <si>
    <t>MENSAJERIA_ALMACENAMIENTO{0,ELEMENTS(DATAINCOLUMN$@$,CATALOGCOLUMN99,1,723,@s@,724,@s@,725,@s@,727,@s@,728,@s@,729,@s@,730,@s@)}</t>
  </si>
  <si>
    <t>ITALIA - EURO</t>
  </si>
  <si>
    <t>8.2 - SERVICIOS: APOYO A LA CONSTRUCCIÓN</t>
  </si>
  <si>
    <t>33 - TAMAULIPAS “5” / TAMPICO</t>
  </si>
  <si>
    <t>MEDIOS_IMPR_BIBLIO_INFORMACION{0,ELEMENTS(DATAINCOLUMN$@$,CATALOGCOLUMN100,1,731,@s@,732,@s@,733,@s@,734,@s@,735,@s@,736,@s@,737,@s@,738,@s@,739,@s@,740,@s@,768,@s@,769,@s@,770,@s@)}</t>
  </si>
  <si>
    <t>JAMAICA - DOLAR</t>
  </si>
  <si>
    <t>8.3 - SERVICIOS: FINANCIEROS</t>
  </si>
  <si>
    <t>22 - TLAXCALA “1” / TLAXCALA</t>
  </si>
  <si>
    <t>RADIO_TV_CINE_MUSICA{0,ELEMENTS(DATAINCOLUMN$@$,CATALOGCOLUMN101,1,742,@s@,743,@s@,744,@s@,745,@s@,746,@s@,747,@s@,748,@s@,749,@s@,750,@s@,751,@s@,752,@s@,753,@s@,754,@s@,755,@s@,763,@s@)}</t>
  </si>
  <si>
    <t>JAPON - YEN</t>
  </si>
  <si>
    <t>8.4 - SERVICIOS: ALQUILER</t>
  </si>
  <si>
    <t>24 - VERACRUZ “1” / XALAPA</t>
  </si>
  <si>
    <t>TELECOMUNICACIONES{0,ELEMENTS(DATAINCOLUMN$@$,CATALOGCOLUMN102,1,0757,,0758,,0759,,0760,,0761,,0762,,0764,,2277,@s@)}</t>
  </si>
  <si>
    <t>JORDANIA - DINAR</t>
  </si>
  <si>
    <t>8.5 - SERVICIOS: PROFESIONALES</t>
  </si>
  <si>
    <t>25 - VERACRUZ “2” / VERACRUZ</t>
  </si>
  <si>
    <t>OTROS_SERVICIOS_RELAC_COMUNICACION{0,ELEMENTS(DATAINCOLUMN$@$,CATALOGCOLUMN103,1,741,@s@,756,@s@,765,@s@,766,@s@,767,@s@)}</t>
  </si>
  <si>
    <t>KENYA - CHELIN</t>
  </si>
  <si>
    <t>8.6 - SERVICIOS: TÉCNICOS</t>
  </si>
  <si>
    <t>29 - VERACRUZ “3” / CORDOBA</t>
  </si>
  <si>
    <t>OTROS_INGRESOS{0,ELEMENTS(DATAINCOLUMN$@$,CATALOGCOLUMN104,1,0167,,0168,,0169,,0170,,0171,,0800,,0830,,0875,,0876,,0877,,0878,,0879,,0880,,0881,,0882,,0883,,1141,@s@,1142,@s@,1144,@s@,2326,@s@,2327,@s@)}</t>
  </si>
  <si>
    <t>KUWAIT - DINAR</t>
  </si>
  <si>
    <t>8.7 - SERVICIOS: EDUCATIVOS</t>
  </si>
  <si>
    <t>26 - VERACRUZ “4” / COATZACOALCOS</t>
  </si>
  <si>
    <t>EXCLUSIVAS_SECTOR_GOBIERNO{0,ELEMENTS(DATAINCOLUMN$@$,CATALOGCOLUMN105,1,1121,@s@,1122,@s@,1123,@s@,1124,@s@,1125,@s@,1126,@s@,1127,@s@,1128,@s@,1129,@s@,1130,@s@,1131,@s@,1132,@s@,1133,@s@,1134,@s@,1135,@s@,1136,@s@,1137,@s@,1138,@s@,1139,@s@,1140,@s@)}</t>
  </si>
  <si>
    <t>LETONIA - EURO</t>
  </si>
  <si>
    <t>8.8 - SERVICIOS: SALUD</t>
  </si>
  <si>
    <t>34 - VERACRUZ “5” / TUXPAN</t>
  </si>
  <si>
    <t>APOYO_ACT_AGROP_FORESTALES{0,ELEMENTS(DATAINCOLUMN$@$,CATALOGCOLUMN106,1,080,,081,,082,,083,,084,,085,,086,,087,,088,,184,@s@,206,@s@,218,@s@,219,@s@,2300,@s@)}</t>
  </si>
  <si>
    <t>LIBANO - LIBRA</t>
  </si>
  <si>
    <t>8.9 - SERVICIOS: ASISTENCIA O REHABILITACIÓN; CULTURALES Y ECOLÓGICAS</t>
  </si>
  <si>
    <t>75 - YUCATAN “1” / MERIDA</t>
  </si>
  <si>
    <t>APOYO_CONTRUCCION{0,ELEMENTS(DATAINCOLUMN$@$,CATALOGCOLUMN107,1,126,@s@,130,@s@,133,@s@,137,@s@,142,@s@,146,@s@,147,@s@,149,@s@,150,@s@,152,@s@,156,@s@,158,@s@,159,@s@,160,@s@,161,@s@,162,@s@,163,@s@,164,@s@,165,@s@,166,@s@,174,@s@,175,@s@,176,@s@,177,@s@,178,@s@,179,@s@,180,@s@,181,@s@,182,@s@)}</t>
  </si>
  <si>
    <t>LIBIA - DINAR</t>
  </si>
  <si>
    <t>8.10 - SERVICIOS: ORIENTACIÓN; CAPACITACIÓN Y GUARDERÍAS</t>
  </si>
  <si>
    <t>56 - ZACATECAS “1” / ZACATECAS</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</si>
  <si>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</si>
  <si>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LITUANIA - LITAS</t>
  </si>
  <si>
    <t>8.11 - SERVICIOS: AGENCIAS; INVESTIGACIÓN DE MERCADO; PUBLICIDAD Y TURISMO</t>
  </si>
  <si>
    <t>ALQUILER{0,ELEMENTS(DATAINCOLUMN$@$,CATALOGCOLUMN110,1,0802,,0803,,0804,,0805,,0806,,0807,,0808,,0809,,0813,,0814,,0815,,0816,,0817,,0818,,0819,,0820,,0821,,0822,,0823,,0824,,0825,,0826,,0827,,0828,,0829,,2224,@s@)}</t>
  </si>
  <si>
    <t>LOS DEMAS PAISES - OTRAS MONEDAS</t>
  </si>
  <si>
    <t>8.12 - SERVICIOS: APOYO A LOS NEGOCIOS Y MANEJO DE DESECHOS</t>
  </si>
  <si>
    <t>PROFESIONALES{0,ELEMENTS(DATAINCOLUMN$@$,CATALOGCOLUMN111,1,0720,,0831,,0832,,0833,,0834,,0835,,0836,,0837,,0838,,0839,,0840,,0841,,0842,,0844,,0845,,0846,,0847,,0848,,0849,,0850,,0851,,0852,,0853,,0854,,0855,,0871,,2292,@s@,2293,@s@)}</t>
  </si>
  <si>
    <t>LUXEMBURGO - EURO</t>
  </si>
  <si>
    <t>8.13 - SERVICIOS: RECREATIVOS</t>
  </si>
  <si>
    <t>TECNICOS{0,ELEMENTS(DATAINCOLUMN$@$,CATALOGCOLUMN112,1,1078,@s@,1079,@s@,1080,@s@,1081,@s@,1082,@s@,1083,@s@,1084,@s@,1085,@s@,1086,@s@,1087,@s@,1088,@s@,1089,@s@,1090,@s@,1091,@s@,1092,@s@,1093,@s@,1094,@s@,1095,@s@,1096,@s@,1097,@s@,1098,@s@,1099,@s@,1100,@s@,1101,@s@,1102,@s@,1103,@s@)}</t>
  </si>
  <si>
    <t>MALASIA - RINGGIT</t>
  </si>
  <si>
    <t>8.14 - SERVICIOS: JUEGOS Y APUESTAS</t>
  </si>
  <si>
    <t>EDUCATIVOS{0,ELEMENTS(DATAINCOLUMN$@$,CATALOGCOLUMN113,1,0910,,0911,,0912,,0913,,0914,,0915,,0916,,0917,,0918,,0919,,0920,,0921,,0922,,0923,,0924,,0925,,0926,,0927,,0928,,0929,,0930,,0931,,0932,,0933,,0934,,0935,,0936,,0937,,0938,,0939,,0940,,0941,,0942,,0943,,0944,,0945,,0946,,0947,,0948,,2361,@s@)}</t>
  </si>
  <si>
    <t>MALTA - EURO</t>
  </si>
  <si>
    <t>8.15 - SERVICIOS: HOSPEDAJE</t>
  </si>
  <si>
    <t>SALUD{0,ELEMENTS(DATAINCOLUMN$@$,CATALOGCOLUMN114,1,0843,,0867,,0868,,0869,,0870,,0949,,0950,,0951,,0952,,0953,,0954,,0955,,0956,,0957,,0958,,0959,,0960,,0962,,0964,,0965,,0966,,0968,,0969,,0970,,0971,,0972,,0973,,0974,,0975,,0976,,0977,,0978,,0979,,0980,,0981,,0982,,0983,,0984,,0985,,0986,,2250,@s@,2278,@s@,2279,@s@)}</t>
  </si>
  <si>
    <t>MARRUECOS - DIRHAM</t>
  </si>
  <si>
    <t>8.16 - SERVICIOS: ALIMENTOS Y BEBIDAS</t>
  </si>
  <si>
    <t>ASIST_REHAB_CULTURAL_ECOLOG{0,ELEMENTS(DATAINCOLUMN$@$,CATALOGCOLUMN115,1,0987,,0988,,0989,,0990,,0991,,0992,,0993,,0994,,0995,,0996,,0997,,0998,,0999,,1000,@s@,1001,@s@,1003,@s@,1004,@s@,1005,@s@,1006,@s@,1007,@s@,1008,@s@,1009,@s@,2302,@s@,2303,@s@,2304,@s@,2333,@s@,2334,@s@,2335,@s@,2336,@s@,2355,@s@,2357,@s@,2358,@s@,2359,@s@,2360,@s@)}</t>
  </si>
  <si>
    <t>MEXICO - PESO</t>
  </si>
  <si>
    <t>8.17 - SERVICIOS: OTROS SERVICIOS</t>
  </si>
  <si>
    <t>ORIENTACION_CAPACIT_GUARDERIAS{0,ELEMENTS(DATAINCOLUMN$@$,CATALOGCOLUMN116,1,1002,@s@,1010,@s@,1011,@s@,1012,@s@,1013,@s@,2245,@s@)}</t>
  </si>
  <si>
    <t>MONTENEGRO - EURO</t>
  </si>
  <si>
    <t>8.18 - SERVICIOS: CÁMARAS; GREMIOS Y AGRUPACIONES</t>
  </si>
  <si>
    <t>AGEN_INVEST_MERC_PUBL_TURISMO{0,ELEMENTS(DATAINCOLUMN$@$,CATALOGCOLUMN117,1,856,@s@,857,@s@,858,@s@,859,@s@,860,@s@,861,@s@,862,@s@,863,@s@,864,@s@,884,@s@,885,@s@,886,@s@,887,@s@,892,@s@,895,@s@,896,@s@,897,@s@,906,@s@)}</t>
  </si>
  <si>
    <t>NICARAGUA - CORDOBA</t>
  </si>
  <si>
    <t>8.19 - SERVICIOS: SERVICIOS INMOBILIARIOS Y DE ADMINISTRACIÓN DE INMUEBLES</t>
  </si>
  <si>
    <t>APOYO_NEG_MANEJO_DESECHOS{0,ELEMENTS(DATAINCOLUMN$@$,CATALOGCOLUMN118,1,0890,,0891,,0898,,0899,,0900,,0901,,0902,,0903,,0904,,0905,,0907,,0908,,0909,,1161,@s@)}</t>
  </si>
  <si>
    <t>NIGERIA [FED] - NAIRA</t>
  </si>
  <si>
    <t>8.20 - SERVICIOS: GUÍA DE TURISMO</t>
  </si>
  <si>
    <t>RECREATIVOS{0,ELEMENTS(DATAINCOLUMN$@$,CATALOGCOLUMN119,1,079,,1014,@s@,1015,@s@,1016,@s@,1017,@s@,1018,@s@,1019,@s@,1020,@s@,1021,@s@,1022,@s@,1023,@s@,1024,@s@,1025,@s@,1026,@s@,1027,@s@,1028,@s@,1031,@s@,1032,@s@,1033,@s@,1034,@s@,1035,@s@,1036,@s@,1037,@s@,1038,@s@,1043,@s@,1044,@s@,1045,@s@,1046,@s@,1047,@s@,1048,@s@,1049,@s@,1050,@s@,1051,@s@,1052,@s@,1053,@s@,1054,@s@,1055,@s@,2268,@s@,2280,@s@,2281,@s@)}</t>
  </si>
  <si>
    <t>NORUEGA - CORONA</t>
  </si>
  <si>
    <t>8.21 - SERVICIOS: OTROS SERVICIOS DE APOYO</t>
  </si>
  <si>
    <t>JUEGOS_APUESTAS{0,ELEMENTS(DATAINCOLUMN$@$,CATALOGCOLUMN120,1,1039,@s@,1040,@s@,1041,@s@,1042,@s@,2299,@s@,2306,@s@)}</t>
  </si>
  <si>
    <t>NUEVA ZELANDA - DOLAR</t>
  </si>
  <si>
    <t>9.1 - OTROS INGRESOS: OTROS INGRESOS</t>
  </si>
  <si>
    <t>HOSPEDAJE{0,ELEMENTS(DATAINCOLUMN$@$,CATALOGCOLUMN121,1,1056,@s@,1057,@s@,1058,@s@,1059,@s@,1060,@s@,1061,@s@,1062,@s@,1063,@s@,1064,@s@,1065,@s@,1066,@s@,2325,@s@)}</t>
  </si>
  <si>
    <t>PAKISTAN - RUPIA</t>
  </si>
  <si>
    <t>10.1 - GOBIERNO: EXCLUSIVAS SECTOR GOBIERNO</t>
  </si>
  <si>
    <t>ALIMENTOS_BEBIDAS{0,ELEMENTS(DATAINCOLUMN$@$,CATALOGCOLUMN122,1,1067,@s@,1068,@s@,1069,@s@,1070,@s@,1071,@s@,1072,@s@,1073,@s@,1074,@s@,1075,@s@,1076,@s@,1077,@s@,2297,@s@)}</t>
  </si>
  <si>
    <t>PALESTINA - SHEKEL</t>
  </si>
  <si>
    <t>OTROS_SERVICIOS14{0,ELEMENTS(DATAINCOLUMN$@$,CATALOGCOLUMN123,1,0865,,0889,,1029,@s@,1030,@s@,1104,@s@,1105,@s@,1106,@s@,1107,@s@,1108,@s@,1109,@s@,1110,@s@,1111,@s@,1112,@s@,2319,@s@,2320,@s@,2321,@s@,2322,@s@,2323,@s@,2324,@s@)}</t>
  </si>
  <si>
    <t>PANAMA - BALBOA</t>
  </si>
  <si>
    <t>CAMARAS_GREMIOS_AGRUPACIONES{0,ELEMENTS(DATAINCOLUMN$@$,CATALOGCOLUMN124,1,1113,@s@,1114,@s@,1115,@s@,1116,@s@,1117,@s@,1118,@s@,1119,@s@,2285,@s@,2287,@s@,2288,@s@,2289,@s@,2290,@s@,2291,@s@,2337,@s@,2338,@s@,2339,@s@,2350,@s@,2351,@s@,2352,@s@,2353,@s@,2354,@s@,2356,@s@)}</t>
  </si>
  <si>
    <t>PARAGUAY - GUARANI</t>
  </si>
  <si>
    <t>SERV_INMOB_ADMON_INMUEBLES{0,ELEMENTS(DATAINCOLUMN$@$,CATALOGCOLUMN125,1,811,@s@,812,@s@)}</t>
  </si>
  <si>
    <t>PERU - N. SOL</t>
  </si>
  <si>
    <t>GUIA_TURISMO{0,ELEMENTS(DATAINCOLUMN$@$,CATALOGCOLUMN126,1,2296,@s@)}</t>
  </si>
  <si>
    <t>POLONIA - ZLOTY</t>
  </si>
  <si>
    <t>OTROS_SERVICIOS_APOYO{0,ELEMENTS(DATAINCOLUMN$@$,CATALOGCOLUMN127,1,0866,,0872,,0873,,0874,,0888,,0893,,0894,,2249,@s@)}</t>
  </si>
  <si>
    <t>PORTUGAL - EURO</t>
  </si>
  <si>
    <t>GEN_SUM_ENER_ELEC_AGUA_GAS{0,ELEMENTS(DATAINCOLUMN$@$,CATALOGCOLUMN128,1,0120,,0121,,0122,,0123,,0124,,0810,,2255,@s@)}</t>
  </si>
  <si>
    <t>PUERTO RICO - DOLAR</t>
  </si>
  <si>
    <t>VIVIENDA_COMERCIAL_INDUSTRIAL{0,ELEMENTS(DATAINCOLUMN$@$,CATALOGCOLUMN129,1,0125,,0128,,0131,,0572,,2239,@s@,2240,@s@,2241,@s@,2242,@s@,2243,@s@,2244,@s@)}</t>
  </si>
  <si>
    <t>REPUBLICA CHECA - CORONA</t>
  </si>
  <si>
    <t>REC_EXP_SUPERFICIAL{0,ELEMENTS(DATAINCOLUMN$@$,CATALOGCOLUMN133,1,2368,@s@)}</t>
  </si>
  <si>
    <t>REPUBLICA DE SERBIA - DINAR</t>
  </si>
  <si>
    <t>EXP_EXTR_HIDROCARBUROS{0,ELEMENTS(DATAINCOLUMN$@$,CATALOGCOLUMN134,1,2369,@s@,2370,@s@)}</t>
  </si>
  <si>
    <t>REPUBLICA DEMOCRATICA DEL CONGO - FRANCO</t>
  </si>
  <si>
    <t>TRAT_REF_ENA_TRANS_ALAMAC_PETR{0,ELEMENTS(DATAINCOLUMN$@$,CATALOGCOLUMN135,1,2371,@s@,2372,@s@,2373,@s@,2374,@s@,2399,@s@)}</t>
  </si>
  <si>
    <t>REPUBLICA DOMINICANA - PESO</t>
  </si>
  <si>
    <t>PROC_COMP_LIC_DESC_REG_{0,ELEMENTS(DATAINCOLUMN$@$,CATALOGCOLUMN136,1,2375,@s@,2376,@s@,2377,@s@,2378,@s@,2379,@s@,2380,@s@,2381,@s@,2382,@s@,2383,@s@,2400,@s@)}</t>
  </si>
  <si>
    <t>REPUBLICA ESLOVACA - EURO</t>
  </si>
  <si>
    <t>TRANS_ALMAC_DISTR_EXPED_PUB_PETROL{0,ELEMENTS(DATAINCOLUMN$@$,CATALOGCOLUMN137,1,2384,@s@,2385,@s@,2386,@s@,2387,@s@)}</t>
  </si>
  <si>
    <t>RUMANIA - LEU</t>
  </si>
  <si>
    <t>TRANS_DUC_ALMAC_VIN_DUC_PETROQ{0,ELEMENTS(DATAINCOLUMN$@$,CATALOGCOLUMN138,1,2388,@s@,2389,@s@)}</t>
  </si>
  <si>
    <t>SINGAPUR - DOLAR</t>
  </si>
  <si>
    <t>IMP_EXP_HIDROC_PETROLIF_PETROQ{0,ELEMENTS(DATAINCOLUMN$@$,CATALOGCOLUMN139,1,2390,@s@,2391,@s@,2392,@s@,2393,@s@,2394,@s@,2395,@s@)}</t>
  </si>
  <si>
    <t>SIRIA - LIBRA</t>
  </si>
  <si>
    <t>COMER_HIDROC_PETROLIF_PETROQ{0,ELEMENTS(DATAINCOLUMN$@$,CATALOGCOLUMN140,1,2396,@s@,2397,@s@,2398,@s@)}</t>
  </si>
  <si>
    <t>SRI-LANKA - RUPIA</t>
  </si>
  <si>
    <t>IMPRESION_MADERA_PAPEL_CARTON_PAÑALES{0,ELEMENTS(DATAINCOLUMN$@$,CATALOGCOLUMN69,1,285,@s@,286,@s@,288,@s@,289,@s@,290,@s@,291,@s@,292,@s@,293,@s@,294,@s@,295,@s@,296,@s@,297,@s@,298,@s@,299,@s@,300,@s@,301,@s@,302,@s@,303,@s@,304,@s@,305,@s@,306,@s@,308,@s@,309,@s@,333,@s@)}</t>
  </si>
  <si>
    <t>SUECIA - CORONA</t>
  </si>
  <si>
    <t>SEDES_ADAF{0,ELEMENTS(DATAINCOLUMN$@$,CATALOGCOLUMN141,1,01,@s@,02,@s@,03,@s@,04,@s@,05,@s@,06,@s@,07,@s@,08,@s@,09,@s@,10,@s@,11,@s@,12,@s@,13,@s@,14,@s@,15,@s@,16,@s@,17,@s@,18,@s@,19,@s@,20,@s@,21,@s@,22,@s@,23,@s@,24,@s@,25,@s@,26,@s@,27,@s@,28,@s@,29,@s@,30,@s@,31,@s@,32,@s@,82,@s@,83,@s@)}</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</si>
  <si>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</si>
  <si>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</si>
  <si>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SURINAM - DOLAR</t>
  </si>
  <si>
    <t>SALDO_DEUDOR{0,ELEMENTS(DATAINCOLUMN$@$,CATALOGCOLUMN143,1,01,@s@,02,@s@,03,@s@,04,@s@,05,@s@,06,@s@,07,@s@,08,@s@,09,@s@,10,@s@,11,@s@,12,@s@,13,@s@,14,@s@,15,@s@,16,@s@,17,@s@,18,@s@,19,@s@,20,@s@,21,@s@,22,@s@,23,@s@,24,@s@,25,@s@,26,@s@,27,@s@,28,@s@,29,@s@)}</t>
  </si>
  <si>
    <t>TAILANDIA - BAHT</t>
  </si>
  <si>
    <t>SALDO_ACREEDOR{0,ELEMENTS(DATAINCOLUMN$@$,CATALOGCOLUMN144,1,01,@s@,02,@s@,03,@s@,04,@s@,05,@s@,06,@s@,07,@s@,08,@s@,09,@s@,10,@s@,11,@s@,12,@s@,13,@s@,14,@s@,15,@s@,16,@s@,17,@s@,18,@s@,19,@s@)}</t>
  </si>
  <si>
    <t>TAIWAN - NUEVO DOLAR</t>
  </si>
  <si>
    <t>FRECUENCIA_PAGO{0,ELEMENTS(DATAINCOLUMN$@$,CATALOGCOLUMN145,1,01,@s@,02,@s@,03,@s@,04,@s@,05,@s@)}</t>
  </si>
  <si>
    <t>TANZANIA - CHELIN</t>
  </si>
  <si>
    <t>TIPO_FINANCIAMIENTO{0,ELEMENTS(DATAINCOLUMN$@$,CATALOGCOLUMN146,1,01,@s@,02,@s@,03,@s@,04,@s@,05,@s@,06,@s@,07,@s@,08,@s@,09,@s@,10,@s@,11,@s@,12,@s@,13,@s@,14,@s@)}</t>
  </si>
  <si>
    <t>TRINIDAD Y TOBAGO - DOLAR</t>
  </si>
  <si>
    <t>TURQUIA - LIRA</t>
  </si>
  <si>
    <t>U. MON. EUROPEA - EURO</t>
  </si>
  <si>
    <t>UCRANIA - HRYVNA</t>
  </si>
  <si>
    <t>UNION SUDAFRICANA - RAND</t>
  </si>
  <si>
    <t>URUGUAY - PESO</t>
  </si>
  <si>
    <t>VENEZUELA - BOLIVAR FUERTE</t>
  </si>
  <si>
    <t>VIETNAM - DONG</t>
  </si>
  <si>
    <t>YEMEN [DEM. POP.] - RIAL</t>
  </si>
  <si>
    <t>YUGOSLAVIA - DINAR</t>
  </si>
  <si>
    <t>Contribuyente/A|Contador/B|Representante/C|Generales/D|ANEXO 1/1|ANEXO 2/2|ANEXO 3/3|ANEXO 4/4|ANEXO 5/5|ANEXO 6/6|ANEXO 7/7|ANEXO 8/8|ANEXO 9/9|ANEXO 10/10|ANEXO 11/11|ANEXO 12/12|ANEXO 13/13|ANEXO 14/14|ANEXO 15/15|ANEXO 16/16|ANEXO 17/17|ANEXO 18/18|ANEXO 19/19|ANEXO 20/20|ANEXO 21/21|ANEXO 22/22|ANEXO 23/23|CDF/24|MPT/25</t>
  </si>
  <si>
    <t>Soporte</t>
  </si>
  <si>
    <t>Información y Ventas</t>
  </si>
  <si>
    <t>Consultas</t>
  </si>
  <si>
    <t>Teléfono</t>
  </si>
  <si>
    <t>Manual en línea</t>
  </si>
  <si>
    <t>01 (55) 5677 3812</t>
  </si>
  <si>
    <t>Síguenos</t>
  </si>
  <si>
    <t>Email</t>
  </si>
  <si>
    <t>ventas@dsoft.mx</t>
  </si>
  <si>
    <t>contacto@dsoft.mx</t>
  </si>
  <si>
    <t>CATALOGCOLUMN55</t>
  </si>
  <si>
    <t>CATALOGCOLUMN56</t>
  </si>
  <si>
    <t>CATALOGCOLUMN57</t>
  </si>
  <si>
    <t>CATALOGCOLUMN58</t>
  </si>
  <si>
    <t>CATALOGCOLUMN59</t>
  </si>
  <si>
    <t>CATALOGCOLUMN128</t>
  </si>
  <si>
    <t>CATALOGCOLUMN133</t>
  </si>
  <si>
    <t>CATALOGCOLUMN134</t>
  </si>
  <si>
    <t>CATALOGCOLUMN135</t>
  </si>
  <si>
    <t>CATALOGCOLUMN136</t>
  </si>
  <si>
    <t>CATALOGCOLUMN137</t>
  </si>
  <si>
    <t>CATALOGCOLUMN138</t>
  </si>
  <si>
    <t>CATALOGCOLUMN139</t>
  </si>
  <si>
    <t>CATALOGCOLUMN140</t>
  </si>
  <si>
    <t>CATALOGCOLUMN129</t>
  </si>
  <si>
    <t>CATALOGCOLUMN60</t>
  </si>
  <si>
    <t>CATALOGCOLUMN61</t>
  </si>
  <si>
    <t>CATALOGCOLUMN62</t>
  </si>
  <si>
    <t>CATALOGCOLUMN63</t>
  </si>
  <si>
    <t>CATALOGCOLUMN64</t>
  </si>
  <si>
    <t>CATALOGCOLUMN65</t>
  </si>
  <si>
    <t>CATALOGCOLUMN66</t>
  </si>
  <si>
    <t>CATALOGCOLUMN67</t>
  </si>
  <si>
    <t>CATALOGCOLUMN68</t>
  </si>
  <si>
    <t>CATALOGCOLUMN69</t>
  </si>
  <si>
    <t>CATALOGCOLUMN70</t>
  </si>
  <si>
    <t>CATALOGCOLUMN71</t>
  </si>
  <si>
    <t>CATALOGCOLUMN72</t>
  </si>
  <si>
    <t>CATALOGCOLUMN73</t>
  </si>
  <si>
    <t>CATALOGCOLUMN74</t>
  </si>
  <si>
    <t>CATALOGCOLUMN75</t>
  </si>
  <si>
    <t>CATALOGCOLUMN76</t>
  </si>
  <si>
    <t>CATALOGCOLUMN77</t>
  </si>
  <si>
    <t>CATALOGCOLUMN78</t>
  </si>
  <si>
    <t>CATALOGCOLUMN79</t>
  </si>
  <si>
    <t>CATALOGCOLUMN80</t>
  </si>
  <si>
    <t>CATALOGCOLUMN81</t>
  </si>
  <si>
    <t>CATALOGCOLUMN82</t>
  </si>
  <si>
    <t>CATALOGCOLUMN83</t>
  </si>
  <si>
    <t>CATALOGCOLUMN84</t>
  </si>
  <si>
    <t>CATALOGCOLUMN85</t>
  </si>
  <si>
    <t>CATALOGCOLUMN86</t>
  </si>
  <si>
    <t>CATALOGCOLUMN87</t>
  </si>
  <si>
    <t>CATALOGCOLUMN88</t>
  </si>
  <si>
    <t>CATALOGCOLUMN89</t>
  </si>
  <si>
    <t>CATALOGCOLUMN90</t>
  </si>
  <si>
    <t>CATALOGCOLUMN91</t>
  </si>
  <si>
    <t>CATALOGCOLUMN92</t>
  </si>
  <si>
    <t>CATALOGCOLUMN93</t>
  </si>
  <si>
    <t>CATALOGCOLUMN94</t>
  </si>
  <si>
    <t>CATALOGCOLUMN95</t>
  </si>
  <si>
    <t>CATALOGCOLUMN96</t>
  </si>
  <si>
    <t>CATALOGCOLUMN97</t>
  </si>
  <si>
    <t>CATALOGCOLUMN98</t>
  </si>
  <si>
    <t>CATALOGCOLUMN99</t>
  </si>
  <si>
    <t>CATALOGCOLUMN100</t>
  </si>
  <si>
    <t>CATALOGCOLUMN101</t>
  </si>
  <si>
    <t>CATALOGCOLUMN102</t>
  </si>
  <si>
    <t>CATALOGCOLUMN103</t>
  </si>
  <si>
    <t>CATALOGCOLUMN106</t>
  </si>
  <si>
    <t>CATALOGCOLUMN107</t>
  </si>
  <si>
    <t>CATALOGCOLUMN109</t>
  </si>
  <si>
    <t>CATALOGCOLUMN110</t>
  </si>
  <si>
    <t>CATALOGCOLUMN111</t>
  </si>
  <si>
    <t>CATALOGCOLUMN112</t>
  </si>
  <si>
    <t>CATALOGCOLUMN113</t>
  </si>
  <si>
    <t>CATALOGCOLUMN114</t>
  </si>
  <si>
    <t>CATALOGCOLUMN115</t>
  </si>
  <si>
    <t>CATALOGCOLUMN116</t>
  </si>
  <si>
    <t>CATALOGCOLUMN117</t>
  </si>
  <si>
    <t>CATALOGCOLUMN118</t>
  </si>
  <si>
    <t>CATALOGCOLUMN119</t>
  </si>
  <si>
    <t>CATALOGCOLUMN120</t>
  </si>
  <si>
    <t>CATALOGCOLUMN121</t>
  </si>
  <si>
    <t>CATALOGCOLUMN122</t>
  </si>
  <si>
    <t>CATALOGCOLUMN123</t>
  </si>
  <si>
    <t>CATALOGCOLUMN124</t>
  </si>
  <si>
    <t>CATALOGCOLUMN125</t>
  </si>
  <si>
    <t>CATALOGCOLUMN126</t>
  </si>
  <si>
    <t>CATALOGCOLUMN127</t>
  </si>
  <si>
    <t>CATALOGCOLUMN104</t>
  </si>
  <si>
    <t>CATALOGCOLUMN105</t>
  </si>
  <si>
    <t>ADMIN_GRANDES</t>
  </si>
  <si>
    <t>ADMIN_HIDROCARBUROS</t>
  </si>
  <si>
    <t>ADMIN_AGUASCA</t>
  </si>
  <si>
    <t>ADMIN_BAJACAL</t>
  </si>
  <si>
    <t>ADMIN_BAJACALSUR</t>
  </si>
  <si>
    <t>ADMIN_CAMPECHE</t>
  </si>
  <si>
    <t>ADMIN_COAHUILA</t>
  </si>
  <si>
    <t>ADMIN_COLIMA</t>
  </si>
  <si>
    <t>ADMIN_CHIAPAS</t>
  </si>
  <si>
    <t>ADMIN_CHIHUAHUA</t>
  </si>
  <si>
    <t>ADMIN_DURANGO</t>
  </si>
  <si>
    <t>ADMIN_GUANAJUATO</t>
  </si>
  <si>
    <t>ADMIN_GUERRERO</t>
  </si>
  <si>
    <t>ADMIN_HIDALGO</t>
  </si>
  <si>
    <t>ADMIN_JALISCO</t>
  </si>
  <si>
    <t>ADMIN_MEXICO</t>
  </si>
  <si>
    <t>ADMIN_MICHOACAN</t>
  </si>
  <si>
    <t>ADMIN_MORELOS</t>
  </si>
  <si>
    <t>ADMIN_NAYARIT</t>
  </si>
  <si>
    <t>ADMIN_NUEVOLEON</t>
  </si>
  <si>
    <t>ADMIN_OAXACA</t>
  </si>
  <si>
    <t>ADMIN_QUERETARO</t>
  </si>
  <si>
    <t>ADMIN_PUEBLA</t>
  </si>
  <si>
    <t>ADMIN_SANLUISPOTOSI</t>
  </si>
  <si>
    <t>ADMIN_SINALOA</t>
  </si>
  <si>
    <t>ADMIN_SONORA</t>
  </si>
  <si>
    <t>ADMIN_TABASCO</t>
  </si>
  <si>
    <t>ADMIN_TAMAULIPAS</t>
  </si>
  <si>
    <t>ADMIN_TLAXCALA</t>
  </si>
  <si>
    <t>ADMIN_VERACRUZ</t>
  </si>
  <si>
    <t>ADMIN_YUCATAN</t>
  </si>
  <si>
    <t>ADMIN_ZACATECAS</t>
  </si>
  <si>
    <t>ADMIN_DISTRITOFEDERAL</t>
  </si>
  <si>
    <t>ADMIN_QUINTANAROO</t>
  </si>
  <si>
    <t>OPTO POR DICTAMINAR SUS ESTADOS FINANCIEROS POR INGRESOS ACUMULABLES (ARTICULO 32-A CFF)</t>
  </si>
  <si>
    <t>OPTO POR DICTAMINAR SUS ESTADOS FINANCIEROS POR EL VALOR DE SU ACTIVO (ARTICULO 32-A CFF)</t>
  </si>
  <si>
    <t>OPTO POR DICTAMINAR SUS ESTADOS FINANCIEROS POR EL NUMERO DE TRABAJADORES (ARTICULO 32-A CFF)</t>
  </si>
  <si>
    <t>EN EL EJERCICIO DISMINUYO PERDIDAS FISCALES PENDIENTES DE APLICAR DE EJERCICIOS ANTERIORES A QUE SE REFIERE LA FRACCION II DEL ARTICULO 9 DE LA LISR (EN CASO AFIRMATIVO DEBE LLENAR EL ANEXO 23)</t>
  </si>
  <si>
    <t>APLICO LA OPCION A QUE SE REFIERE EL ARTICULO SEGUNDO, FRACCION VIII, DE LAS DISPOSICIONES TRANSITORIAS DE LA LISR, PUBLICADAS EL 18 DE NOVIEMBRE DE 2015, EN VIGOR A PARTIR DEL 1 DE ENERO DE 2016 (EN CASO AFIRMATIVO DEBE LLENAR EL ANEXO 23)</t>
  </si>
  <si>
    <t>NÚMERO DE OFICIO 3</t>
  </si>
  <si>
    <t>CELEBRO OPERACIONES FINANCIERAS DERIVADAS QUE TUVIERAN EFECTOS FISCALES DURANTE EL EJERCICIO EN EL IMPUESTO SOBRE LA RENTA (EN CASO AFIRMATIVO DEBE LLENAR EL  ANEXO 12)</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</si>
  <si>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</si>
  <si>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</si>
  <si>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MANTUVO SALDOS POR COBRAR Y POR PAGAR EN MONEDA EXTRANJERA DURANTE EL EJERCICIO  (EN CASO AFIRMATIVO DEBE LLENAR EL ANEXO 21)</t>
  </si>
  <si>
    <t>CELEBRO PRESTAMOS DEL EXTRANJERO DURANTE EL EJERCICIO (EN CASO AFIRMATIVO DEBE LLENAR EL ANEXO 22)</t>
  </si>
  <si>
    <t>(ESPECIFICAR NOMBRE ANTERIOR)</t>
  </si>
  <si>
    <t>HA TENIDO CAMBIOS DE DOMICILIO FISCAL DURANTE EL EJERCICIO FISCAL AUDITADO</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</si>
  <si>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</si>
  <si>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DURANTE EL EJERCICIO SE PRESENTARON AVISOS DE COMPENSACION DE SALDOS A FAVOR (ARTICULO 23 CFF)</t>
  </si>
  <si>
    <t>SE ENCUENTRA OBLIGADO A SOLICITAR LA INSCRIPCION EN EL RFC DE SUS SOCIOS O ACCIONISTAS RESIDENTES EN EL EXTRANJERO (ARTICULO 27 CFF)</t>
  </si>
  <si>
    <t>(ESPECIFICAR NOMBRE DE SOCIEDAD OUTSOURCING)</t>
  </si>
  <si>
    <t>(ESPECIFICAR)</t>
  </si>
  <si>
    <t>LLEVO CONTABILIDAD DE CONFORMIDAD CON EL ARTÍCULO 28 DEL CODIGO FISCAL DE LA FEDERACION, SU REGLAMENTO Y CON EL ARTICULO 32 FRACCION I DE LA LEY DEL IMPUESTO AL VALOR AGREGADO</t>
  </si>
  <si>
    <t>LA DOCUMENTACION COMPROBATORIA DE LOS REGISTROS O ASIENTOS ESTA DISPONIBLE EN SU DOMICILIO FISCAL (ARTICULO 28 FRACCION III DEL CFF)</t>
  </si>
  <si>
    <t>TRATANDOSE DE COMISIONISTAS, REALIZO LA SEPARACION EN SU CONTABILIDAD Y REGISTROS DE LAS OPERACIONES QUE LLEVEN A CABO POR CUENTA PROPIA DE LAS QUE EFECTUEN POR CUENTA DEL COMITENTE (ARTICULOS 32 FRACCION II DE LA LEY Y 35 DEL REGLAMENTO DE LA LEY)</t>
  </si>
  <si>
    <t>EXPIDIO Y ENTREGO COMPROBANTES FISCALES (ARTICULOS 32 FRACCION III DE LA LEY, 20 Y 74 DEL REGLAMENTO DE LA LEY)</t>
  </si>
  <si>
    <t>EXPIDIO COMPROBANTES FISCALES POR LAS RETENCIONES DEL IMPUESTO QUE SE EFECTUEN EN LOS CASOS PREVISTOS EN EL ARTICULO 1-A, (ARTICULO 32 FRACCION V DE LA LEY ASI COMO CON LAS REGLAS APLICABLES DE LA RESOLUCION MISCELANEA FISCAL PARA 2017)</t>
  </si>
  <si>
    <t>PROPORCIONO MENSUALMENTE Y EN TIEMPO A LAS AUTORIDADES FISCALES, LA INFORMACION SOBRE LAS PERSONAS A LAS QUE LES RETUVO IMPUESTOS (ARTICULO 32 FRACCION V DE LA LEY ASI COMO CON LAS REGLAS APLICABLES DE LA RESOLUCION MISCELANEA FISCAL PARA 2017)</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</si>
  <si>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</si>
  <si>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LEVANTAR INVENTARIO DE EXISTENCIAS A LA FECHA DE TERMINO DEL EJERCICIO (ARTICULOS 76 FRACCION IV Y 110 FRACCION V O EN FECHA DISTINTA DE ACUERDO CON LOS ARTICULOS 91 Y 166 DEL REGLAMENTO DE LA LEY)</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</si>
  <si>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</si>
  <si>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ENAJENACION DE BIENES (ARTICULOS 17 FRACCION I DE LA LEY Y 13 DEL REGLAMENTO DE LA LEY, ASI COMO CON LAS REGLAS APLICABLES DE LA RESOLUCION MISCELANEA FISCAL PARA 2017)</t>
  </si>
  <si>
    <t>PRESTACION DE SERVICIOS (ARTICULOS 17 FRACCION I DE LA LEY Y 13 DEL REGLAMENTO DE LA LEY, ASI COMO CON LAS REGLAS APLICABLES DE LA RESOLUCION MISCELANEA FISCAL PARA 2017)</t>
  </si>
  <si>
    <t>ESTAR AMPARADOS CON COMPROBANTES FISCALES (ARTICULOS 27 FRACCION III Y 105 ULTIMO PARRAFO DE LA LEY Y 35 DEL REGLAMENTO DE LA LEY, ASI COMO CON LAS REGLAS APLICABLES DE LA RESOLUCION MISCELANEA FISCAL PARA 2017)</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</si>
  <si>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</si>
  <si>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SER DEDUCIDAS UNA SOLA VEZ (ARTICULOS 27 FRACCION IV Y 105 FRACCION IV DE LA LEY)</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</si>
  <si>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</si>
  <si>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</si>
  <si>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</si>
  <si>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SE COMPROBO QUE EL COSTO DE ADQUISICION O LOS INTERESES QUE SE DERIVEN DE CREDITOS RECIBIDOS CORRESPONDAN A LOS DEL MERCADO Y CUANDO HAYAN EXCEDIDO SE CONSIDERO COMO NO DEDUCIBLE EL EXCEDENTE (ARTICULOS 27 FRACCION XIII Y 105 ULTIMO PARRAFO DE LA LEY)</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</si>
  <si>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</si>
  <si>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</si>
  <si>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</si>
  <si>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PARTICIPO EN ALGUNA FUSION EN EL EJERCICIO</t>
  </si>
  <si>
    <t>EN CASO DE SER FUSIONADA, DEBERA ANOTAR:</t>
  </si>
  <si>
    <t>FUSIONANTE: RFC</t>
  </si>
  <si>
    <t>FUSIONANTE: DENOMINACION O RAZON SOCIAL</t>
  </si>
  <si>
    <t>EN CASO DE SER FUSIONANTE, DEBERA ANOTAR:</t>
  </si>
  <si>
    <t>FUSIONADA 1: RFC</t>
  </si>
  <si>
    <t>FUSIONADA 1: DENOMINACION O RAZON SOCIAL</t>
  </si>
  <si>
    <t>FUSIONADA 2: RFC</t>
  </si>
  <si>
    <t>FUSIONADA 2: DENOMINACION O RAZON SOCIAL</t>
  </si>
  <si>
    <t>FUSIONADA 3: RFC</t>
  </si>
  <si>
    <t>FUSIONADA 3: DENOMINACION O RAZON SOCIAL</t>
  </si>
  <si>
    <t>FUSIONADA 4: RFC</t>
  </si>
  <si>
    <t>FUSIONADA 4: DENOMINACION O RAZON SOCIAL</t>
  </si>
  <si>
    <t>FUSIONADA 5: RFC</t>
  </si>
  <si>
    <t>FUSIONADA 5: DENOMINACION O RAZON SOCIAL</t>
  </si>
  <si>
    <t>FUSIONADA 6: RFC</t>
  </si>
  <si>
    <t>FUSIONADA 6: DENOMINACION O RAZON SOCIAL</t>
  </si>
  <si>
    <t>FUSIONADA 7: RFC</t>
  </si>
  <si>
    <t>FUSIONADA 7: DENOMINACION O RAZON SOCIAL</t>
  </si>
  <si>
    <t>FUSIONADA 8: RFC</t>
  </si>
  <si>
    <t>FUSIONADA 8: DENOMINACION O RAZON SOCIAL</t>
  </si>
  <si>
    <t>FUSIONADA 9: RFC</t>
  </si>
  <si>
    <t>FUSIONADA 9: DENOMINACION O RAZON SOCIAL</t>
  </si>
  <si>
    <t>FUSIONADA 10: RFC</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</si>
  <si>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</si>
  <si>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</si>
  <si>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(LIQUIDADOR 1 ESPECIFICAR NOMBRE DENOMINACION O RAZON SOCIAL)</t>
  </si>
  <si>
    <t>(LIQUIDADOR 2 ESPECIFICAR NOMBRE DENOMINACION O RAZON SOCIAL)</t>
  </si>
  <si>
    <t>(LIQUIDADOR 3 ESPECIFICAR NOMBRE DENOMINACION O RAZON SOCIA)</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</si>
  <si>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</si>
  <si>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</si>
  <si>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</si>
  <si>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</si>
  <si>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01D270000</t>
  </si>
  <si>
    <t>01D271000</t>
  </si>
  <si>
    <t>EL APROVECHAMIENTO EN TERRITORIO NACIONAL DE SERVICIOS INDEPENDIENTES, EXCEPTO POR LOS DERIVADOS DE TRANSPORTE INTERNACIONAL (ARTICULOS 24, FRACCION V DE LA LEY, 48 Y 49 DEL REGLAMENTO DE LA LEY)</t>
  </si>
  <si>
    <t>01D272000</t>
  </si>
  <si>
    <t>01D273000</t>
  </si>
  <si>
    <t>APLICO LA OPCION DEL ARTICULO 5-B DE LA LEY PARA EL PRORRATEO DEL IMPUESTO NO IDENTIFICADO CON ACTIVIDADES GRAVADAS, POR LAS QUE SE APLIQUE LA TASA 0% Y EXENTAS</t>
  </si>
  <si>
    <t>01D274000</t>
  </si>
  <si>
    <t>01D275000</t>
  </si>
  <si>
    <t>01D276000</t>
  </si>
  <si>
    <t>01D277000</t>
  </si>
  <si>
    <t>01D278000</t>
  </si>
  <si>
    <t>TRATANDOSE DEL IMPUESTO AL VALOR AGREGADO TRASLADADO QUE SE HUBIESE RETENIDO CONFORME AL ARTICULO 1-A DE ESTA LEY, DICHA RETENCION SE ENTERO EN LOS TERMINOS Y PLAZOS ESTABLECIDOS (ARTICULO 5 FRACCION IV DE LA LEY)</t>
  </si>
  <si>
    <t>01D279000</t>
  </si>
  <si>
    <t>01D280000</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</si>
  <si>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</si>
  <si>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</si>
  <si>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</si>
  <si>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</si>
  <si>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</si>
  <si>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</si>
  <si>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</si>
  <si>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</si>
  <si>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</si>
  <si>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01D286000</t>
  </si>
  <si>
    <t>01D287000</t>
  </si>
  <si>
    <t>APLICO LO PREVISTO EN EL ARTICULO 2.1. DEL DECRETO PUBLICADO EN EL DIARIO OFICIAL DE LA FEDERACION EL 26 DE DICIEMBRE DE 2013</t>
  </si>
  <si>
    <t>01D288000</t>
  </si>
  <si>
    <t>01D289000</t>
  </si>
  <si>
    <t>(DEPRECIACIONES)</t>
  </si>
  <si>
    <t>(AMORTIZACIONES)</t>
  </si>
  <si>
    <t>OTROS GASTOS</t>
  </si>
  <si>
    <t>USO O GOCE TEMPORAL DE AUTOMOVILES CON PROPULSION DE BATERIAS ELECTRICAS RECARGABLES Y AUTOMOVILES ELECTRICOS CON MOTOR DE COMBUSTION INTERNA O ACCIONADO POR HIDROGENO</t>
  </si>
  <si>
    <t>01070084000000</t>
  </si>
  <si>
    <t>RESULTADO POR CONVERSION DE OPERACIONES EXTRANJERAS FAVORABLES</t>
  </si>
  <si>
    <t>RESULTADO POR CONVERSION DE OPERACIONES EXTRANJERAS DESFAVORABLES</t>
  </si>
  <si>
    <t>PARTICIPACION DE LOS OTROS RESULTADOS INTEGRALES DE ASOCIADAS DESFAVORABLES</t>
  </si>
  <si>
    <t>DIFERENCIA DETERMINADA POR EL CONTRIBUYENTE (DEL EJERCICIO DICTAMINADO)</t>
  </si>
  <si>
    <t>PAGOS PROVISIONALES Y/O DEFINITIVOS DETERMINADOS POR EL CONTRIBUYENTE POR CONCEPTO DE:</t>
  </si>
  <si>
    <t>DIFERENCIA DETERMINADA POR DICTAMEN NO CONSIDERADA POR EL CONTRIBUYENTE (DEL EJERCICIO DICTAMINADO)</t>
  </si>
  <si>
    <t>(SALDOS AL 31 DE DICIEMBRE DE 2015)</t>
  </si>
  <si>
    <t>SALDOS AL 1º. DE ENERO DE 2016 AJUSTADOS</t>
  </si>
  <si>
    <t>(APLICACION DE LA UTILIDAD DEL EJERCICIO 2015)</t>
  </si>
  <si>
    <t>(UTILIDAD NETA DE 2016)</t>
  </si>
  <si>
    <t>(PERDIDA NETA DE 2016)</t>
  </si>
  <si>
    <t>PARTICIPACION DE LOS OTROS RESULTADOS INTEGRALES DE ASOCIADAS FAVORABLES</t>
  </si>
  <si>
    <t>(SALDOS AL 31 DE DICIEMBRE DE 2016)</t>
  </si>
  <si>
    <t>(APLICACION DE LA UTILIDAD DEL EJERCICIO 2016)</t>
  </si>
  <si>
    <t>(UTILIDAD NETA DE 2017)</t>
  </si>
  <si>
    <t>(PERDIDA NETA DE 2017)</t>
  </si>
  <si>
    <t>(SALDOS AL 31 DE DICIEMBRE DE 2017)</t>
  </si>
  <si>
    <t>(INVERSIONES PERMANENTES)</t>
  </si>
  <si>
    <t>PERDIDA POR DETERIORO ACUMULADO DE EDIFICIOS</t>
  </si>
  <si>
    <t>PERDIDA POR DETERIORO ACUMULADO DE MAQUINARIA</t>
  </si>
  <si>
    <t>PERDIDA POR DETERIORO ACUMULADO DE EQUIPO DE TRANSPORTE</t>
  </si>
  <si>
    <t>PERDIDA POR DETERIORO ACUMULADO DE MOBILIARIO Y EQUIPO</t>
  </si>
  <si>
    <t>PERDIDA POR DETERIORO ACUMULADO DE EQUIPO DE COMPUTO</t>
  </si>
  <si>
    <t>PERDIDA POR DETERIORO ACUMULADO DE OTROS ACTIVOS FIJOS</t>
  </si>
  <si>
    <t>TOTAL DE PERDIDA POR DETERIORO ACUMULADO</t>
  </si>
  <si>
    <t>EQUIPO DE TRANSPORTE: AUTOMOVILES CON PROPULSION DE BATERIAS ELECTRICAS RECARGABLES Y AUTOMOVILES ELECTRICOS CON MOTOR DE COMBUSTION INTERNA O ACCIONADO POR HIDROGENO</t>
  </si>
  <si>
    <t>EQUIPO DE TRANSPORTE: BICICLETAS CONVENCIONALES, BICICLETAS Y MOTOCICLETAS CON PROPULSION DE BATERIAS ELECTRICAS RECARGABLES</t>
  </si>
  <si>
    <t>EQUIPOS FIJOS DE ALIMENTACION PARA VEHICULOS ELECTRICOS</t>
  </si>
  <si>
    <t>01200028000000</t>
  </si>
  <si>
    <t>01200029000000</t>
  </si>
  <si>
    <t>01200030000000</t>
  </si>
  <si>
    <t>EFECTOS POR CAMBIOS EN EL VALOR DEL EFECTIVO POR INFLACIÓN ASOCIADO CON LOS SALDOS Y FLUJOS DE EFECTIVO DE ENTIDADES QUE CONFORMAN LA ENTIDAD ECONOMICA CONSOLIDADA</t>
  </si>
  <si>
    <t>EFECTOS POR CAMBIOS EN EL VALOR DEL EFECTIVO POR INFLACION ASOCIADO CON LOS SALDOS Y FLUJOS DE EFECTIVO DE ENTIDADES QUE CONFORMAN LA ENTIDAD ECONOMICA CONSOLIDADA</t>
  </si>
  <si>
    <t>UTILIDAD FISCAL EN ENAJENACION DE ACCIONES</t>
  </si>
  <si>
    <t>OPERACIONES CON PARTES RELACIONADAS NO DEDUCIBLES</t>
  </si>
  <si>
    <t>EMPLEO DE PERSONAS CON DISCAPACIDAD Y/O ADULTOS MAYORES</t>
  </si>
  <si>
    <t>01110103000000</t>
  </si>
  <si>
    <t>CAMBIOS EN EL VALOR RAZONABLE DE ACTIVOS Y PASIVOS FINANCIEROS A FAVOR</t>
  </si>
  <si>
    <t>VENTAS O INGRESOS DE EJERCICIOS ANTERIORES COBRADOS EN EL EJERCICIO</t>
  </si>
  <si>
    <t>MONTO PENDIENTE APLICADO EN EL EJERCICIO, DEL ESTIMULO FISCAL POR PROYECTOS EN INVESTIGACION Y DESARROLLO TECNOLOGICO AUTORIZADO EN EJERCICIOS ANTERIORES</t>
  </si>
  <si>
    <t>MONTO PENDIENTE APLICADO EN EL EJERCICIO, DEL ESTIMULO FISCAL POR PROYECTOS DE INVERSION EN LA PRODUCCION CINEMATOGRAFICA NACIONAL DE EJERCICIOS ANTERIORES.</t>
  </si>
  <si>
    <t>MONTO PENDIENTE APLICADO EN EL EJERCICIO, DEL ESTIMULO FISCAL A PROYECTOS DE INVERSION EN LAS ARTES DE EJERCICIOS ANTERIORES</t>
  </si>
  <si>
    <t>ESTIMULO A PROYECTOS DE INVERSION EN LAS ARTES</t>
  </si>
  <si>
    <t>GASTOS E INVERSIONES POR "PROYECTOS EN INVESTIGACION Y DESARROLLO TECNOLOGICO", APLICADO EN EL EJERCICIO 2017</t>
  </si>
  <si>
    <t>GASTOS E INVERSIONES POR "PROYECTOS EN INVESTIGACION Y DESARROLLO TECNOLOGICO", APLICADO EN EL EJERCICIO 2016</t>
  </si>
  <si>
    <t>GASTOS E INVERSIONES POR "PROYECTOS EN INVESTIGACION Y DESARROLLO TECNOLOGICO", APLICADO EN EL EJERCICIO 2015</t>
  </si>
  <si>
    <t>GASTOS E INVERSIONES POR "PROYECTOS EN INVESTIGACION Y DESARROLLO TECNOLOGICO", APLICADO EN EL EJERCICIO 2014</t>
  </si>
  <si>
    <t>MONTO PENDIENTE DE APLICAR POR "PROYECTOS EN INVESTIGACION Y DESARROLLO TECNOLOGICO"</t>
  </si>
  <si>
    <t>ESTIMULO POR LA INVERSION EN PROYECTOS Y PROGRAMAS PARA EL DEPORTE DE ALTO RENDIMIENTO</t>
  </si>
  <si>
    <t>MONTO PENDIENTE DE APLICAR POR LA INVERSION EN PROYECTOS Y PROGRAMAS PARA EL DEPORTE DE ALTO RENDIMIENTO</t>
  </si>
  <si>
    <t>INGRESOS OBTENIDOS POR APOYOS GUBERNAMENTALES</t>
  </si>
  <si>
    <t>MONTO PENDIENTE DE APLICAR DEL ESTIMULO POR LA INVERSION EN EQUIPOS FIJOS DE ALIMENTACION PARA VEHICULOS ELECTRICOS</t>
  </si>
  <si>
    <t>MONTO DEL ESTIMULO FISCAL POR BIODIESEL Y SUS MEZCLAS</t>
  </si>
  <si>
    <t>IMPUESTO SOBRE LA RENTA POR INGRESOS SUJETOS A REGIMENES FISCALES PREFERENTES</t>
  </si>
  <si>
    <t>ACREDITAMIENTO DEL IVA POR LAS INVERSIONES O GASTOS EN PERIODOS PREOPERATIVOS (ARTÍCULOS 5, FRACCIÓN VI Y 5-B, SEGUNDO PÁRRAFO DE LA LIVA)</t>
  </si>
  <si>
    <t>INCREMENTO DEL IVA POR LAS INVERSIONES O GASTOS EN PERIODOS PREOPERATIVOS (ARTÍCULOS 5, FRACCIÓN VI Y 5-B, SEGUNDO PÁRRAFO DE LA LIVA)</t>
  </si>
  <si>
    <t>REINTEGRO DEL IVA POR LAS INVERSIONES O GASTOS EN PERIODOS PREOPERATIVOS (ARTÍCULOS 5, FRACCIÓN VI Y 5-B, SEGUNDO PÁRRAFO DE LA LIVA)</t>
  </si>
  <si>
    <t>IVA CORRESPONDIENTE A LA SUBCONTRATACIÓN LABORAL (ARTÍCULO 5, FRACCIÓN II DE LA LIVA)</t>
  </si>
  <si>
    <t>MONTO DE LOS SERVICIOS DE TECNOLOGÍAS DE LA INFORMACIÓN PRESTADOS EN EL EXTRANJERO CONSIDERADOS COMO EXPORTADOS Y SUJETOS A LA TASA DEL 0% DEL IVA (ARTÍCULO 29, FRACCIÓN IV, INCISO I) DE LA LIVA)</t>
  </si>
  <si>
    <t>MONTO TOTAL DE ENAJENACIONES DE PLAGUICIDAS CATEGORIAS 1 Y 2 A LA TASA  DEL 9%</t>
  </si>
  <si>
    <t>MONTO TOTAL DE IMPORTACIONES DE PLAGUICIDAS CATEGORIAS 1 Y 2 A LA TASA  DEL 9%</t>
  </si>
  <si>
    <t>VALOR DEL PESO TOTAL EN GRAMOS DE PUROS Y OTROS TABACOS LABRADOS ENAJENADOS DISTINTOS A LOS CIGARROS ENTRE 0.75 (CUOTA $0.35)</t>
  </si>
  <si>
    <t>VALOR DEL PESO TOTAL EN GRAMOS DE PUROS Y OTROS TABACOS LABRADOS IMPORTADOS DISTINTOS A LOS CIGARROS ENTRE 0.75 (CUOTA $0.35)</t>
  </si>
  <si>
    <t>BIODIESEL Y SUS MEZCLAS A QUE SE REFIERE LA FRACCIÓN I DEL APARTADO A, DEL ARTÍCULO 16 DE LA LIF 2017</t>
  </si>
  <si>
    <t>BIODIESEL Y SUS MEZCLAS A QUE SE REFIERE LA FRACCIÓN IV DEL APARTADO A, DEL ARTÍCULO 16 DE LA LIF 2017</t>
  </si>
  <si>
    <t>01090226000000</t>
  </si>
  <si>
    <t>01090227000000</t>
  </si>
  <si>
    <t>01090228000000</t>
  </si>
  <si>
    <t>01090229000000</t>
  </si>
  <si>
    <t>01090230000000</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</si>
  <si>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</si>
  <si>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</si>
  <si>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</si>
  <si>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</si>
  <si>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</si>
  <si>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</si>
  <si>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</si>
  <si>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</si>
  <si>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</si>
  <si>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</si>
  <si>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</si>
  <si>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</si>
  <si>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CIFRAS AL CIERRE DEL EJERCICIO IMPUESTO  SOBRE LA RENTA</t>
  </si>
  <si>
    <t>INGRESOS ACUMULABLES POR LA GANANCIA REALIZADA QUE DERIVE DE REDUCCIONES DE CAPITAL DE SOCIEDADES RESIDENTES EN EL EXTRANJERO EN LAS QUE EL CONTRIBUYENTE ES SOCIO O ACCIONISTA</t>
  </si>
  <si>
    <t>CUENTA DE UTILIDAD FISCAL NETA EJERCICIOS DE 2014 A 2017</t>
  </si>
  <si>
    <t>SALDO DE CUFIN TOTAL AL CIERRE DEL EJERCICIO ACTUALIZADO DE LOS EJERCICIOS DE 2014 A 2017</t>
  </si>
  <si>
    <t>CUENTA DE UTILIDAD FISCAL NETA  EJERCICIOS DE 2001 A 2013</t>
  </si>
  <si>
    <t>CUENTA DE UTILIDAD FISCAL NETA  EJERCICIOS ANTERIORES A 2000</t>
  </si>
  <si>
    <t>SALDOS ACTUALIZADOS (IMPUESTO SOBRE LA RENTA) AL CIERRE DEL EJERCICIO DE:</t>
  </si>
  <si>
    <t>LAS CIFRAS REPORTADAS EN LA DECLARACION INFORMATIVA (FRACCION X DEL ARTICULO 76 DE LA LISR) SON COINCIDENTES CON LAS MANIFESTADAS EN EL ANEXO 16 DEL DICTAMEN, AMBAS REFERENTES A OPERACIONES CON PARTES RELACIONADAS RESIDENTES EN EL EXTRANJERO.</t>
  </si>
  <si>
    <t>MONTO DE AJUSTES DE PRECIOS DE TRANSFERENCIA QUE INCREMENTARON SUS DEDUCCIONES</t>
  </si>
  <si>
    <t>CUMPLIO CON LOS REQUISITOS ESTABLECIDOS EN LA REGLA 3.9.1.3. DE LA RMF PARA CONSIDERAR DEDUCIBLE UN AJUSTE DE PRECIOS DE TRANSFERENCIA QUE INCREMENTO SUS DEDUCCIONES</t>
  </si>
  <si>
    <t>EN CASO AFIRMATIVO INDIQUE EL COSTO DE VENTAS DETERMINADO CONFORME A LAS FRACCIONES I, II Y III DEL ARTICULO 180 DE LA LISR Y LA OPCION SELECCIONADA</t>
  </si>
  <si>
    <t>COSTO DE VENTAS CON PARTES RELACIONADAS DEDUCIDO SIN LA APLICACION DE LAS FRACCIONES I, II Y III DEL ARTICULO 180 DE LA LISR</t>
  </si>
  <si>
    <t>GASTOS POR REEMBOLSOS (AL COSTO)</t>
  </si>
  <si>
    <t>DEDUJO GASTOS CON PARTES RELACIONADAS POR REEMBOLSOS AL COSTO</t>
  </si>
  <si>
    <t xml:space="preserve">EN CASO AFIRMATIVO </t>
  </si>
  <si>
    <t>CUENTA CON TODA LA DOCUMENTACIÓN SOPORTE, POR UN LADO, DE SU PARTE RELACIONADA Y, POR OTRO LADO, CON LA DOCUMENTACIÓN EMITIDA POR TERCEROS INDEPENDIENTES A LA PARTE RELACIONADA CON LA QUE SE PUEDA DEMOSTRAR QUE SE TRATA DE UN REEMBOLSO AL COSTO</t>
  </si>
  <si>
    <t>INDIQUE EL MONTO DE LA DEDUCCION DE GASTOS EFECTUADOS EN EL EXTRANJERO A PRORRATA</t>
  </si>
  <si>
    <t>INDIQUE EL MONTO CORRESPONDIENTE</t>
  </si>
  <si>
    <t>ARTICULO 76-A DE LA LISR (2017)</t>
  </si>
  <si>
    <t>DECLARACIONES ANUALES INFORMATIVAS  DE PARTES RELACIONADAS DE 2016  PRESENTADAS EN 2017  (ARTICULO 76-A DE LA LISR)</t>
  </si>
  <si>
    <t>PRESENTO EN TIEMPO Y FORMA LA DECLARACION INFORMATIVA MAESTRA DE PARTES RELACIONADAS DEL GRUPO EMPRESARIAL MULTINACIONAL DEL EJERCICIO FISCAL DE 2016</t>
  </si>
  <si>
    <t>PRESENTO EN TIEMPO Y FORMA LA DECLARACION INFORMATIVA LOCAL DE PARTES RELACIONADAS DEL EJERCICIO FISCAL DE 2016</t>
  </si>
  <si>
    <t>PRESENTO EN TIEMPO Y FORMA LA DECLARACION INFORMATIVA PAIS POR PAIS DEL GRUPO EMPRESARIAL MULTINACIONAL DEL EJERCICIO FISCAL DE 2016</t>
  </si>
  <si>
    <t>INFORMACION FINANCIERA OPERATIVA SIN LAS MODIFICACIONES AL BOLETIN B-3 ESTADO DE RESULTADO INTEGRAL PARA 2013 DE LAS NORMAS DE INFORMACION FINANCIERA (APLICABLE EJERCICIO 2017)</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</si>
  <si>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</si>
  <si>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UTILIDAD OPERATIVA SIN LAS MODIFICACIONES AL BOLETIN B-3 ESTADO DE RESULTADO INTEGRAL PARA 2013 DE LAS NORMAS DE INFORMACION FINANCIERA (APLICABLE EJERCICIO 2017)</t>
  </si>
  <si>
    <t>01170160000000</t>
  </si>
  <si>
    <t>01170161000000</t>
  </si>
  <si>
    <t>VALOR DE LOS OTROS INGRESOS DERIVADOS DE SU ACTIVIDAD PRODUCTIVA RELACIONADOS CON SU OPERACIÓN DE MAQUILA (REGLA 3.20.2. DE LA RESOLUCION MISCELANEA PARA 2017 PUBLICADA EL 23 DE DICIEMBRE DE 2016).</t>
  </si>
  <si>
    <t>01170162000000</t>
  </si>
  <si>
    <t>01170163000000</t>
  </si>
  <si>
    <t>01170164000000</t>
  </si>
  <si>
    <t>01170165000000</t>
  </si>
  <si>
    <t>01170166000000</t>
  </si>
  <si>
    <t>MONTO ACUMULADO DE UTILIDAD CAMBIARIA DEVENGADA A FAVOR (ARTICULO 18 FRACCION IX DE LA LEY DEL ISR)</t>
  </si>
  <si>
    <t>01170167000000</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</si>
  <si>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</si>
  <si>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</si>
  <si>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</si>
  <si>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</si>
  <si>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</si>
  <si>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</si>
  <si>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QUINTO PAGO DEL ISR DIFERIDO</t>
  </si>
  <si>
    <t>QUINTO PAGO DEL ISR DIFERIDO ACTUALIZADO</t>
  </si>
  <si>
    <t>01190029000000</t>
  </si>
  <si>
    <t>01190030000000</t>
  </si>
  <si>
    <t>QUINTO PAGO DEL IMPUESTO AL ACTIVO DIFERIDO</t>
  </si>
  <si>
    <t>01190031000000</t>
  </si>
  <si>
    <t>01190032000000</t>
  </si>
  <si>
    <t>QUINTO PAGO DEL IMPUESTO AL ACTIVO DIFERIDO ACTUALIZADO</t>
  </si>
  <si>
    <t>01190033000000</t>
  </si>
  <si>
    <t>SOCIEDADES QUE TENDRAN DERECHO A RECUPERAR EL IMPAC:</t>
  </si>
  <si>
    <t>01190034000000</t>
  </si>
  <si>
    <t>NOMBRE, DENOMINACION O RAZON SOCIAL  DEL ACREEDOR</t>
  </si>
  <si>
    <t>LA PERDIDA APLICADA PROVIENE TOTAL O PARCIALMENTE DE UNA ESCISION</t>
  </si>
  <si>
    <t>SEÑALE EL RFC DE LA ESCINDENTE</t>
  </si>
  <si>
    <t>SEÑALE EL MONTO APLICADO EN EL EJERCICIO, PROVENIENTE DE LA ESCISION</t>
  </si>
  <si>
    <t>NOTA: EN CASO DE ESCISIONES SUCESIVAS DEBERA MANIFESTAR A TRAVES DEL ANEXO DENOMINADO INFORMACION ADICIONAL DEL DICTAMEN, LA INFORMACION CORRESPONDIENTE A LOS INDICES ANTERIORES</t>
  </si>
  <si>
    <t>PERDIDA FISCAL ACTUALIZADA POR EL EJERCICIO EN QUE SE GENERO</t>
  </si>
  <si>
    <t>01230011000000</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</si>
  <si>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</si>
  <si>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</si>
  <si>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</si>
  <si>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</si>
  <si>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</si>
  <si>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EN CASO DE QUE EL CONTRIBUYENTE NO HAYA DADO CUMPLIMIENTO A LO PREVISTO EN LOS INDICES 01D267000 AL 01D272000 DEL DIAGNOSTICO FISCAL, PROPUSO QUE SE HICIERAN LAS CORRECCIONES CORRESPONDIENTES</t>
  </si>
  <si>
    <t>EN CASO DE QUE EL CONTRIBUYENTE NO HAYA DADO CUMPLIMIENTO A LO PREVISTO EN LOS INDICES 01D273000 AL 01D286000 DEL DIAGNOSTICO FISCAL, PROPUSO QUE SE HICIERAN LAS CORRECCIONES CORRESPONDIENTES EN EL ACREDITAMIENTO</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</si>
  <si>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</si>
  <si>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DOCUMENTACION COMPROBATORIA DE PRECIOS DE TRANSFERENCIA (ESTUDIO DE PRECIOS DE TRANSFERENCIA) POR OPERACIONES CON PARTES RELACIONADAS RESIDENTES EN EL EXTRANJERO (ARTICULO 76 FRACCION IX DE LA LISR)</t>
  </si>
  <si>
    <t>VERIFICO QUE LA DOCUMENTACION COMPROBATORIA DE PRECIOS DE TRANSFERENCIA, POR LAS OPERACIONES CON PARTES RELACIONADAS RESIDENTES EN EL EXTRANJERO (ARTICULO 76, FRACCION IX DE LA LISR), INCLUYERA LO SIGUIENTE:</t>
  </si>
  <si>
    <t>2) QUE SE CONSIDERARAN TODAS LAS PARTES RELACIONADAS DE ACUERDO CON LA DEFINICION CONTENIDA EN LOS PARRAFOS QUINTO Y SEXTO DEL ARTICULO 179 DE LA LISR</t>
  </si>
  <si>
    <t>6) INFORMACION RELATIVA A LOS RIESGOS ASUMIDOS EN CADA TIPO DE OPERACION EVALUADA.</t>
  </si>
  <si>
    <t>EN CASO DE QUE NO SE HAYA CUMPLIDO CON ALGUNO DE LOS PUNTOS ANTES REFERIDOS SEÑALE SI MENCIONO TAL CIRCUNSTANCIA EN SU DICTAMEN.</t>
  </si>
  <si>
    <t>EN CASO DE QUE EN LA DOCUMENTACION COMPROBATORIA DE PRECIOS DE TRANSFERENCIA SUGIRIERA UN AJUSTE DE PRECIOS DE TRANSFERENCIA QUE EL CONTRIBUYENTE NO REALIZO, REVELO ALGUNA SALVEDAD EN EL INFORME SOBRE LA REVISION DE LA SITUACION FISCAL DEL CONTRIBUYENTE</t>
  </si>
  <si>
    <t>EN CASO DE QUE LA DOCUMENTACION COMPROBATORIA DE PRECIOS DE TRANSFERENCIA SUGIRIERA UN AJUSTE DE PRECIOS DE TRANSFERENCIA QUE EL CONTRIBUYENTE NO REALIZO, REVELO ALGUNA SALVEDAD EN DICTAMEN</t>
  </si>
  <si>
    <t>EN ESTOS ULTIMOS CASOS, CONSIDERO EL CONTRIBUYENTE COMO DEDUCIBLES LAS TRANSACCIONES CON PARTES RELACIONADAS QUE LE REPRESENTARON UN COSTO O GASTO.</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</si>
  <si>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</si>
  <si>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DECLARACIONES ANUALES INFORMATIVAS DE PARTES RELACIONADAS (ARTICULO 76-A FRACCION X DE LA LISR) DE 2016 PRESENTADAS EN 2017</t>
  </si>
  <si>
    <t>VERIFICO LA PRESENTACION EN TIEMPO Y FORMA DE LA DECLARACION INFORMATIVA MAESTRA DE PARTES RELACIONADAS DEL GRUPO EMPRESARIAL MULTINACIONAL CORRESPONDIENTE AL EJERCICIO FISCAL DE 2016</t>
  </si>
  <si>
    <t>VERIFICO LA PRESENTACION EN TIEMPO Y FORMA DE LA DECLARACION INFORMATIVA LOCAL DE PARTES RELACIONADAS CORRESPONDIENTE AL EJERCICIO FISCAL DE 2016</t>
  </si>
  <si>
    <t>VERIFICO LA PRESENTACION EN TIEMPO Y FORMA DE LA DECLARACION INFORMATIVA PAIS POR PAIS DEL GRUPO EMPRESARIAL MULTINACIONAL CORRESPONDIENTE AL EJERCICIO FISCAL DE 2016</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</si>
  <si>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</si>
  <si>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EN CASO DE UNA CONCLUSION NEGATIVA EN LA EVIDENCIA DOCUMENTAL, INDIQUE SI REVELO ALGUNA SALVEDAD EN SU DICTAMEN</t>
  </si>
  <si>
    <t>VERIFICO EN LA EVIDENCIA DOCUMENTAL REFERIDA EN EL INDICE 01250037000000 LA APLICACION DE LOS METODOS DE PRECIOS DE TRANSFERENCIA ESTABLECIDOS EN EL ARTICULO 180 DE LA LISR EN LOS TERMINOS DEL TERCER PARRAFO DEL CITADO ARTICULO</t>
  </si>
  <si>
    <t>EN CASO DE NO HABERLOS APLICADO, INDIQUE SI REVELO ALGUNA SALVEDAD EN EL INFORME SOBRE LA REVISION DE LA SITUACION FISCAL DEL CONTRIBUYENTE, O BIEN EN SU DICTAMEN.</t>
  </si>
  <si>
    <t>VERIFICO EN EL CASO DE AJUSTES DE PRECIOS DE TRANSFERENCIA QUE HAYAN INCREMENTADO LAS DEDUCCIONES DEL CONTRIBUYENTE , QUE SE CUMPLIERAN TODOS LOS REQUISITOS ESTABLECIDOS EN LA REGLA 3.9.1.3.</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</si>
  <si>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</si>
  <si>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EN EL CASO DE MAQUILADORAS (ARTICULO 182 DE LA LISR)</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</si>
  <si>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</si>
  <si>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</si>
  <si>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</si>
  <si>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</si>
  <si>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01250058000000</t>
  </si>
  <si>
    <t>01250059000000</t>
  </si>
  <si>
    <t>IMPUESTO AL ACTIVO COMO SUJETO DIRECTO</t>
  </si>
  <si>
    <t>IMPUESTO AL VALOR AGREGADO CAUSADO COMO SUJETO DIRECTO</t>
  </si>
  <si>
    <t>IMPUESTO ESPECIAL SOBRE PRODUCCION Y SERVICIOS CAUSADO COMO SUJETO DIRECTO</t>
  </si>
  <si>
    <t>IMPUESTO SOBRE LA RENTA SOBRE DIVIDENDOS</t>
  </si>
  <si>
    <t>IMPUESTO AL VALOR AGREGADO COMO SUJETO DIRECTO</t>
  </si>
  <si>
    <t>IMPUESTO AL VALOR AGREGADO EN SU CARÁCTER DE RETENEDOR</t>
  </si>
  <si>
    <t>IMPUESTO ESPECIAL SOBRE PRODUCCION Y SERVICIOS COMO SUJETO DIRECTO</t>
  </si>
  <si>
    <t>IMPUESTO ESPECIAL SOBRE PRODUCCION Y SERVICIOS EN SU CARÁCTER DE RETENEDOR</t>
  </si>
  <si>
    <t>HOJA DE TRABAJO PARA LA CAPTURA DEL DICTAMEN FISCAL 2017</t>
  </si>
  <si>
    <t>dSoft S.A. de C.V.</t>
  </si>
  <si>
    <t>DATOS DE IDENTIFICACIÓN DEL CONTRIBUYENTE</t>
  </si>
  <si>
    <t>INDICE</t>
  </si>
  <si>
    <t>CONCEPTO</t>
  </si>
  <si>
    <t>DATOS DE IDENTIFICACIÓN DEL CONTADOR PÚBLICO</t>
  </si>
  <si>
    <t>DATOS DE IDENTIFICACIÓN DEL REPRESENTANTE LEGAL</t>
  </si>
  <si>
    <t>DATOS GENERALES</t>
  </si>
  <si>
    <t xml:space="preserve">5.- INTEGRACION ANALITICA DE VENTAS
O INGRESOS NETOS </t>
  </si>
  <si>
    <t>7.- ANALISIS COMPARATIVO DE LAS SUBCUENTAS DE GASTOS</t>
  </si>
  <si>
    <t xml:space="preserve">6.- DETERMINACION DEL COSTO DE LO VENDIDO PARA EFECTOS CONTABLES Y DEL IMPUESTO SOBRE LA RENTA </t>
  </si>
  <si>
    <t>8.- ANALISIS COMPARATIVO DE LAS
SUBCUENTAS DEL RESULTADO INTEGRAL
DE FINANCIAMIENTO</t>
  </si>
  <si>
    <t>2.- ESTADO DE RESULTADO INTEGRAL</t>
  </si>
  <si>
    <t>10.- RELACION DE CONTRIBUCIONES POR PAGAR</t>
  </si>
  <si>
    <t>3.- ESTADO DE CAMBIOS EN EL CAPITAL CONTABLE</t>
  </si>
  <si>
    <t>1.- ESTADO DE SITUACION FINANCIERA</t>
  </si>
  <si>
    <t>14.- SOCIOS O ACCIONISTAS QUE TUVIERON ACCIONES O PARTES SOCIALES</t>
  </si>
  <si>
    <t>20.- INVERSIONES</t>
  </si>
  <si>
    <t xml:space="preserve">4.- ESTADO DE FLUJOS DE EFECTIVO </t>
  </si>
  <si>
    <t>11.- CONCILIACION ENTRE EL RESULTADO CONTABLE Y FISCAL PARA EFECTOS DEL IMPUESTO SOBRE LA RENTA</t>
  </si>
  <si>
    <t>15.- CONCILIACION ENTRE LOS INGRESOS
DICTAMINADOS SEGUN ESTADO DE RESULTADO INTEGRAL Y LOS ACUMULABLES
PARA EFECTOS DEL IMPUESTO SOBRE LA RENTA Y  EL TOTAL DE ACTOS O ACTIVIDADES PARA EFECTOS DEL IMPUESTO AL VALOR AGREGADO</t>
  </si>
  <si>
    <t>9.- RELACION DE CONTRIBUCIONES A CARGO DEL CONTRIBUYENTE COMO SUJETO DIRECTO O EN SU CARACTER DE RETENEDOR</t>
  </si>
  <si>
    <t xml:space="preserve">18.- DATOS INFORMATIVOS </t>
  </si>
  <si>
    <t xml:space="preserve">12.- OPERACIONES FINANCIERAS DERIVADAS CONTRATADAS CON RESIDENTES EN EL EXTRANJERO </t>
  </si>
  <si>
    <t>13.- INVERSIONES PERMANENTES EN SUBSIDIARIAS, ASOCIADAS Y AFILIADAS
RESIDENTES EN EL EXTRANJERO</t>
  </si>
  <si>
    <t>16.- OPERACIONES CON PARTES RELACIONADAS</t>
  </si>
  <si>
    <t>17.- INFORMACION DEL CONTRIBUYENTE SOBRE 
SUS OPERACIONES CON PARTES RELACIONADAS</t>
  </si>
  <si>
    <t>21.- CUENTAS Y DOCUMENTOS POR COBRAR Y POR PAGAR EN MONEDA EXTRANJERA</t>
  </si>
  <si>
    <t xml:space="preserve">22.- PRESTAMOS DEL EXTRANJERO </t>
  </si>
  <si>
    <t>23.- INTEGRACION DE PERDIDAS FISCALES DE EJERCICIOS ANTERIORES</t>
  </si>
  <si>
    <t>CUESTIONARIO DE DIAGNOSTICO FISCAL (REVISION DEL CONTADOR PUBLICO)</t>
  </si>
  <si>
    <t>CUESTIONARIO EN MATERIA DE PRECIOS DE TRANSFERENCIA
(REVISION DEL CONTADOR PÚBLICO)</t>
  </si>
  <si>
    <t>(CIFRAS EN PESOS)</t>
  </si>
  <si>
    <t>REMUNERACIONES</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</si>
  <si>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</si>
  <si>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</si>
  <si>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NOTA: PARA EL LLENADO DE ESTE ANEXO ES NECESARIO CAPTURAR PRIMERO LA INFORMACION DE LOS ANEXOS 5, 6 (CUANDO SE ESTE OBLIGADO AL LLENADO DE ESTE ANEXO), 7 Y 8.</t>
  </si>
  <si>
    <t>IMPUESTO SOBRE LA RENTA CAUSADO COMO SUJETO DIRECTO</t>
  </si>
  <si>
    <t>ACTIVO</t>
  </si>
  <si>
    <t>ACTIVO CIRCULANTE</t>
  </si>
  <si>
    <t>EFECTIVO E INSTRUMENTOS FINANCIEROS</t>
  </si>
  <si>
    <t>NOMBRE, DENOMINACION O RAZON SOCIAL DEL SOCIO O ACCIONISTA</t>
  </si>
  <si>
    <t>ACTIVOS FIJOS</t>
  </si>
  <si>
    <t>CONFORME AL METODO INDIRECTO</t>
  </si>
  <si>
    <t>CONTRIBUCIONES A CARGO DEL CONTRIBUYENTE COMO SUJETO DIRECTO</t>
  </si>
  <si>
    <t>NOTA: SOLAMENTE SE CAPTURA LA INFORMACION DE ESTE ANEXO CUANDO SE HAYA ANOTADO “SI” EN EL CONCEPTO “01D060000", DEL ANEXO DE DATOS GENERALES</t>
  </si>
  <si>
    <t xml:space="preserve"> NOMBRE, DENOMINACION O RAZON SOCIAL DEL RESIDENTE EN EL EXTRANJERO</t>
  </si>
  <si>
    <t>NOTA: SOLAMENTE SE CAPTURA LA INFORMACION DE ESTE ANEXO CUANDO SE HAYA ANOTADO “SI” EN EL CONCEPTO “01D061000”, DEL ANEXO DE DATOS GENERALES</t>
  </si>
  <si>
    <t>NOMBRE, DENOMINACION O RAZON SOCIAL DE LA SUBSIDIARIA, ASOCIADA O AFILIADA</t>
  </si>
  <si>
    <t>NOTA:SOLAMENTE SE CAPTURA LA INFORMACION DE ESTE ANEXO CUANDO SE HAYA ANOTADO “SI” EN EL CONCEPTO “01D034000”, DEL ANEXO DE DATOS GENERALES</t>
  </si>
  <si>
    <t>DENOMINACION O RAZON SOCIAL DE LA PARTE RELACIONADA</t>
  </si>
  <si>
    <t>INGRESOS ACUMULABLES</t>
  </si>
  <si>
    <t>CONOCIMIENTO DEL NEGOCIO. INFORMACION GENERAL</t>
  </si>
  <si>
    <t>CUAL(ES) ES (SON) LA (S) ACTIVIDAD(ES) PREPONDERANTE(S) DEL CONTRIBUYENTE:</t>
  </si>
  <si>
    <t>NOTA: SOLAMENTE SE CAPTURA LA INFORMACION DE ESTE ANEXO CUANDO SE HAYA ANOTADO “SI” EN EL CONCEPTO “01D062000”, DEL ANEXO DE DATOS GENERALES</t>
  </si>
  <si>
    <t>NOTA:SOLAMENTE SE CAPTURA LA INFORMACIÓN DE ESTE ANEXO CUANDO SE HAYA ANOTADO “SI” EN EL CONCEPTO "01D063000”, DEL ANEXO DE DATOS GENERALES</t>
  </si>
  <si>
    <t>NOMBRE, DENOMINACION O RAZON SOCIAL 
DEL DEUDOR</t>
  </si>
  <si>
    <t>NOTA:SOLAMENTE SE CAPTURA LA INFORMACIÓN DE ESTE ANEXO CUANDO SE HAYA ANOTADO “SI” EN EL CONCEPTO "01D064000”, DEL ANEXO DE DATOS GENERALES</t>
  </si>
  <si>
    <t>NOMBRE, DENOMINACION O RAZON SOCIAL DEL RESIDENTE EN EL EXTRANJERO</t>
  </si>
  <si>
    <t>PARTES RELACIONADAS</t>
  </si>
  <si>
    <t>NOTA: SOLAMENTE SE CAPTURA LA INFORMACIÓN DE ESTE ANEXO CUANDO SE HAYA ANOTADO “SI” EN CUALQUIERA DE LOS CONCEPTOS “01D037000 Y/O 01D038000”, DEL ANEXO DE DATOS GENERALES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</si>
  <si>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</si>
  <si>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</si>
  <si>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</si>
  <si>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</si>
  <si>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</si>
  <si>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2017</t>
  </si>
  <si>
    <t>TOTAL  2017</t>
  </si>
  <si>
    <t>PARTES _x000D_
RELACIONADAS _x000D_
2017</t>
  </si>
  <si>
    <t>PARTES NO_x000D_
RELACIONADAS _x000D_
2017</t>
  </si>
  <si>
    <t>PARTES NO _x000D_
RELACIONADAS _x000D_
2016</t>
  </si>
  <si>
    <t>TOTAL       ACUMULABLES 
PARA ISR                    2017</t>
  </si>
  <si>
    <t xml:space="preserve">TOTAL  NO ACUMULABLES 
PARA ISR                     2017                                                 
</t>
  </si>
  <si>
    <t>TOTAL       ACUMULABLES         PARA ISR                     2016</t>
  </si>
  <si>
    <t>TOTAL NO ACUMULABLES 
PARA ISR                    2016</t>
  </si>
  <si>
    <t>GASTOS DE_x000D_
FABRICACION                2017</t>
  </si>
  <si>
    <t>GASTOS DE_x000D_
VENTA 2017</t>
  </si>
  <si>
    <t>GASTOS DE_x000D_
ADMINISTRACION      2017</t>
  </si>
  <si>
    <t>GASTOS_x000D_
GENERALES                  2017</t>
  </si>
  <si>
    <t>TOTAL                                2017</t>
  </si>
  <si>
    <t>TOTAL           DEDUCIBLES_x000D_
PARA ISR                         2017</t>
  </si>
  <si>
    <t>TOTAL NO_x000D_ DEDUCIBLES_x000D_
PARA ISR                         2017</t>
  </si>
  <si>
    <t>GASTOS DE 
FABRICACION                2016</t>
  </si>
  <si>
    <t>GASTOS DE 
VENTA 2016</t>
  </si>
  <si>
    <t>GASTOS DE 
ADMINISTRACION       2016</t>
  </si>
  <si>
    <t>GASTOS 
GENERALES                  2016</t>
  </si>
  <si>
    <t>TOTAL            DEDUCIBLES
PARA ISR                         2016</t>
  </si>
  <si>
    <t>TOTAL NO DEDUCIBLES 
PARA ISR                         2016</t>
  </si>
  <si>
    <t>ACUMULABLES O DEDUCIBLES               PARA ISR                    2017</t>
  </si>
  <si>
    <t>NO ACUMULABLES          O NO _x000D_AFECTOS A L ISR_x000D_ (INGRESOS) NO DEDUCIBLES_x000D_
(GASTOS)_x000D_
PARA ISR                     2017</t>
  </si>
  <si>
    <t>ACUMULABLES O DEDUCIBLES               PARA ISR                     2016</t>
  </si>
  <si>
    <t>NO ACUMULABLES          O NO AFECTOS              AL ISR (INGRESOS)       NO DEDUCIBLES (GASTOS) 
PARA ISR                     2016</t>
  </si>
  <si>
    <t>SALDO INSOLUTO 
DEL PRESTAMO AL 
31 DE DICIEMBRE 
DE 2016</t>
  </si>
  <si>
    <t>SALDO 
INSOLUTO AL 
31 DE DICIEMBRE 
DE 2017</t>
  </si>
  <si>
    <t>19.- INFORMACION DE LOS PAGOS REALIZADOS POR LA  DETERMINACION DEL IMPUESTO SOBRE LA RENTA E IMPUESTO AL ACTIVO DIFERIDO POR DESCONSOLIDACION AL 31 DE DICIEMBRE DE 2013 Y EL PAGADO HASTA EL 30 DE ABRIL DEL 2018</t>
  </si>
  <si>
    <t>CLIENTES</t>
  </si>
  <si>
    <t>CAPITAL SOCIAL PROVENIENTE DE CAPITALIZACION</t>
  </si>
  <si>
    <t>PRIMA EN SUSCRIPCION DE ACCIONES</t>
  </si>
  <si>
    <t>UTILIDAD BASICA POR ACCION ORDINARIA</t>
  </si>
  <si>
    <t>AJUSTE POR APLICACION RETROSPECTIVA POR CAMBIOS CONTABLES Y CORRECCIONES DE ERRORES</t>
  </si>
  <si>
    <t>SALDOS AL 1 DE ENERO DE 2017 AJUSTADOS</t>
  </si>
  <si>
    <t>PAGO DE PASIVOS</t>
  </si>
  <si>
    <t>VENTAS TOTALES AL EXTRANJERO DE INVENTARIOS PRODUCIDOS</t>
  </si>
  <si>
    <t>VENTAS TOTALES AL EXTRANJERO DE INVENTARIOS ADQUIRIDOS PARA SU DISTRIBUCION</t>
  </si>
  <si>
    <t>GANANCIA EN VENTA DE ACTIVO FIJO</t>
  </si>
  <si>
    <t>GANANCIA EN VENTA DE TERRENOS</t>
  </si>
  <si>
    <t>COSTO DE PRODUCCION</t>
  </si>
  <si>
    <t>DEPRECIACION FISCAL DE INVERSIONES RELACIONADAS CON LA PRODUCCION</t>
  </si>
  <si>
    <t>CONCEPTOS NO DEDUCIBLES SIN INCLUIR DEPRECIACION</t>
  </si>
  <si>
    <t>REGALIAS SIN RETENCION</t>
  </si>
  <si>
    <t>REGALIAS SUJETAS AL 5%</t>
  </si>
  <si>
    <t>REGALIAS SUJETAS AL 25%</t>
  </si>
  <si>
    <t>TOTAL DE LITROS ENAJENADOS DE BEBIDAS SABORIZADAS</t>
  </si>
  <si>
    <t>COMBUSTIBLES FOSILES, LITROS ENAJENADOS DE PROPANO (CUOTA DE $5.91 POR LITRO)</t>
  </si>
  <si>
    <t>COMBUSTIBLES FOSILES, LITROS ENAJENADOS DE BUTANO (CUOTA DE $7.66 POR LITRO)</t>
  </si>
  <si>
    <t>COMBUSTIBLES FOSILES, LITROS ENAJENADOS DE GASOLINAS Y GASAVION (CUOTA DE $10.38 POR LITRO)</t>
  </si>
  <si>
    <t>COMBUSTIBLES FOSILES, LITROS ENAJENADOS DE TURBOSINA Y OTROS KEROSENOS (CUOTA DE $12.40 POR LITRO)</t>
  </si>
  <si>
    <t>COMBUSTIBLES FOSILES, LITROS ENAJENADOS DE DIESEL (CUOTA DE $12.59 POR LITRO)</t>
  </si>
  <si>
    <t>COMBUSTIBLES FOSILES, LITROS ENAJENADOS DE COMBUSTOLEO (CUOTA DE $13.45 POR LITRO)</t>
  </si>
  <si>
    <t>COMBUSTIBLES FOSILES, TONELADAS ENAJENADAS DE COQUE DE PETROLEO (CUOTA DE $15.60 POR TONELADA)</t>
  </si>
  <si>
    <t>COMBUSTIBLES FOSILES, TONELADAS ENAJENADAS DE COQUE DE CARBON (CUOTA DE $36.57 POR TONELADA)</t>
  </si>
  <si>
    <t>COMBUSTIBLES FOSILES, TONELADAS ENAJENADAS DE CARBON MINERAL (CUOTA DE $27.54 POR TONELADA)</t>
  </si>
  <si>
    <t>COMBUSTIBLES FOSILES, TONELADAS ENAJENADAS DE OTROS COMBUSTIBLES FOSILES (CUOTA DE $39.80 POR TONELADA)</t>
  </si>
  <si>
    <t>TOTAL DE LITROS IMPORTADOS DE BEBIDAS SABORIZADAS</t>
  </si>
  <si>
    <t>COMBUSTIBLES FOSILES, LITROS IMPORTADOS DE PROPANO (CUOTA DE $5.91 POR LITRO)</t>
  </si>
  <si>
    <t>COMBUSTIBLES FOSILES, LITROS IMPORTADOS DE BUTANO (CUOTA DE $7.66 POR LITRO)</t>
  </si>
  <si>
    <t>COMBUSTIBLES FOSILES, LITROS IMPORTADOS DE GASOLINAS Y GASAVION (CUOTA DE $10.38 POR LITRO)</t>
  </si>
  <si>
    <t>COMBUSTIBLES FOSILES, LITROS IMPORTADOS DE TURBOSINA Y OTROS KEROSENOS (CUOTA DE $12.40 POR LITRO)</t>
  </si>
  <si>
    <t>COMBUSTIBLES FOSILES, LITROS IMPORTADOS DE DIESEL (CUOTA DE $12.59 POR LITRO)</t>
  </si>
  <si>
    <t>COMBUSTIBLES FOSILES, LITROS IMPORTADOS DE COMBUSTOLEO (CUOTA DE $13.45 POR LITRO)</t>
  </si>
  <si>
    <t>COMBUSTIBLES FOSILES, TONELADAS IMPORTADAS DE COQUE DE PETROLEO (CUOTA DE $15.60 POR TONELADA)</t>
  </si>
  <si>
    <t>COMBUSTIBLES FOSILES, TONELADAS IMPORTADAS DE COQUE DE CARBON (CUOTA DE $36.57 POR TONELADA)</t>
  </si>
  <si>
    <t>COMBUSTIBLES FOSILES, TONELADAS IMPORTADAS DE CARBON MINERAL (CUOTA DE $27.54 POR TONELADA)</t>
  </si>
  <si>
    <t>COMBUSTIBLES FOSILES, TONELADAS IMPORTADAS DE OTROS COMBUSTIBLES FOSILES (CUOTA DE $39.80 POR TONELADA)</t>
  </si>
  <si>
    <t>VALOR DE LOS CIGARROS ENAJENADOS (CUOTA DE $0.35 POR CIGARRO)</t>
  </si>
  <si>
    <t>VALOR DE LOS CIGARROS IMPORTADOS (CUOTA DE $0.35 POR CIGARRO)</t>
  </si>
  <si>
    <t>HONORARIOS AL 35% ART 96 L.I.S.R.</t>
  </si>
  <si>
    <t>INTERESES AL 21%</t>
  </si>
  <si>
    <t>ADQUISICION DE DESPERDICIOS</t>
  </si>
  <si>
    <t>CORRESPONDIENTE AL DERECHO</t>
  </si>
  <si>
    <t>INVENTARIO ACUMULABLE</t>
  </si>
  <si>
    <t>PROPORCION DE PAGOS QUE SEAN INGRESOS EXENTOS PARA EL TRABAJADOR</t>
  </si>
  <si>
    <t>CARGOS A ESTIMACIONES</t>
  </si>
  <si>
    <t>RESULTADO INTEGRAL DE FINANCIAMIENTO CAPITALIZABLE</t>
  </si>
  <si>
    <t>RESULTADO FAVORABLE POR CONVERSION DE OPERACIONES EXTRANJERAS</t>
  </si>
  <si>
    <t>RESULTADO FAVORABLE NO REALIZADO EN Y/O SOBRE INSTRUMENTOS FINANCIEROS</t>
  </si>
  <si>
    <t>PARTICIPACION FAVORABLE DE LOS OTROS RESULTADOS INTEGRALES DE ASOCIADAS</t>
  </si>
  <si>
    <t>GANANCIA FISCAL EN LA ENAJENACION DE ACCIONES O PARTES SOCIALES</t>
  </si>
  <si>
    <t>GANANCIA FISCAL EN LA ENAJENACION DE TITULOS VALOR</t>
  </si>
  <si>
    <t>DISTRIBUCION</t>
  </si>
  <si>
    <t>MONTO DE LAS TRANSACCIONES</t>
  </si>
  <si>
    <t>SE CUENTA CON DOCUMENTACION COMPROBATORIA QUE SUSTENTE LOS AJUSTES REALIZADOS</t>
  </si>
  <si>
    <t>CUANTIFIQUE EL BENEFICIO RECIBIDO O SE ESPERA RECIBIR DEL GASTO A PRORRATA</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</si>
  <si>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</si>
  <si>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</si>
  <si>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LLEVO A CABO AJUSTES CORRESPONDIENTES EN MATERIA DE PRECIOS DE TRANSFERENCIA DURANTE EL EJERCICIO FISCAL (EN EL PROPIO EJERCICIO SUJETO A REVISION O PARA EFECTOS DE EJERCICIOS ANTERIORES) SIN CUMPLIR CON LO ESTABLECIDO EN EL ARTICULO 184 DE LA LISR</t>
  </si>
  <si>
    <t>FECHA DE ELABORACION DE LA INFORMACION Y DOCUMENTACION DE PRECIOS DE TRANSFERENCIA ASOCIADA CON LA DECLARACION</t>
  </si>
  <si>
    <t>PAIS DE RESIDENCIA DEL RESIDENTE EN EL EXTRANJERO</t>
  </si>
  <si>
    <t>OPTO POR APLICAR EL ESTIMULO FISCAL CONSISTENTE EN UNA DEDUCCION ADICIONAL CALCULADA DE CONFORMIDAD CON EL ARTICULO PRIMERO DEL DECRETO PUBLICADO EN EL D.O.F. EL 26 DE DICIEMBRE DE 2013</t>
  </si>
  <si>
    <t>ACTUALIZACION POR INFLACION</t>
  </si>
  <si>
    <t>IVA ACREDITADO POR LA IMPORTACION DEL USO O GOCE DE BIENES INTANGIBLES</t>
  </si>
  <si>
    <t>IMPUESTO SOBRE LA RENTA QUE SE ENTERARA EN LAS SIGUIENTES ANUALIDADES</t>
  </si>
  <si>
    <t>IMPUESTO AL ACTIVO QUE SE ENTERARA EN LAS SIGUIENTES ANUALIDADES</t>
  </si>
  <si>
    <t>VERIFICO LA PRESENTACION OPORTUNA DE LA INFORMACION DE LAS OPERACIONES CON PARTES RELACIONADAS RESIDENTES EN EL EXTRANJERO, EFECTUADAS DURANTE EL AÑO INMEDIATO ANTERIOR (ANEXO 9 DIM).</t>
  </si>
  <si>
    <t>OBSERVO ALGUNA INCONSISTENCIA DE INDOLE FORMAL, POR PARTE DEL CONTRIBUYENTE EN LAS RESPUESTAS DE LA INFORMACION DEL CONTRIBUYENTE SOBRE SUS OPERACIONES CON PARTES RELACIONADAS</t>
  </si>
  <si>
    <t>VERIFICO, EN EL CASO DE QUE LA EMPRESA ACTUARA BAJO EL PROGRAMA DE ALBERGUE, QUE EL CONTRIBUYENTE HUBIERA DADO CUMPLIMIENTO A LO DISPUESTO POR EL ARTICULO 183, SEGUNDO Y CUARTO PARRAFOS DE LA LISR</t>
  </si>
  <si>
    <t>VERIFICO SI LAS CIFRAS REPORTADAS EN ESTA ULTIMA DECLARACION COINCIDEN CON LAS REGISTRADAS EN CONTABILIDAD DEL CONTRIBUYENTE, INCLUSO EN CUENTAS DE ORDEN</t>
  </si>
  <si>
    <t>EN CASO DE INCUMPLIMIENTOS DEL CONTRIBUYENTE (INDICES 01250057000000 AL 01250058000000) MENCIONO TAL CIRCUNSTANCIA COMO UNA SALVEDAD EN SU INFORME SOBRE LA REVISION DE LA SITUACION FISCAL DEL CONTRIBUYENTE</t>
  </si>
  <si>
    <t>FORMA PARTE DE UN FIDEICOMISO</t>
  </si>
  <si>
    <t>REALIZO OPERACIONES CON PARTES RELACIONADAS (EN CASO AFIRMATIVO DEBE LLENAR LOS ANEXOS 16 Y 17)</t>
  </si>
  <si>
    <t>REALIZO OPERACIONES CON PARTES RELACIONADAS NACIONALES</t>
  </si>
  <si>
    <t>REALIZO OPERACIONES CON PARTES RELACIONADAS EXTRANJERAS</t>
  </si>
  <si>
    <t>OBTUVO ALGUNA RESOLUCION POR PARTE DEL SAT, DE LA SHCP O DE LA PRODECON QUE HAYA AFECTADO SU SITUACION FISCAL DURANTE EL EJERCICIO</t>
  </si>
  <si>
    <t>LAS ACCIONES DEL CONTRIBUYENTE RELACIONADAS CON LA REESTRUCTURA A QUE SE REFIERE EL INDICE ANTERIOR, PERMANECIERON EN EL GRUPO REESTRUCTURADO DURANTE EL EJERCICIO DICTAMINADO</t>
  </si>
  <si>
    <t>EXPEDIR COMPROBANTES POR LAS ACTIVIDADES REALIZADAS Y CONSERVAR LOS ARCHIVOS (ARTICULOS 76 FRACCIONES II Y XVII Y 110 FRACCION III Y IV DE LA LEY)</t>
  </si>
  <si>
    <t>EN EL CASO DEL OTORGAMIENTO DEL USO O GOCE TEMPORAL DE AUTOMOVILES Y AVIONES, CUMPLIO CON LOS REQUISITOS ESTABLECIDOS PARA SU DEDUCCION (ARTICULOS 28 FRACCION XIII Y 105 ULTIMO PARRAFO DE LA LEY Y 52 Y 53 DEL REGLAMENTO DE LA LEY</t>
  </si>
  <si>
    <t>ESCINDIDA</t>
  </si>
  <si>
    <t>001 - AF - AFGANISTAN [EMIRATO ISLAMICO DE]</t>
  </si>
  <si>
    <t>002 - AL - ALBANIA [REPUBLICA DE]</t>
  </si>
  <si>
    <t>003 - DE - ALEMANIA [REPUBLICA FEDERAL DE]</t>
  </si>
  <si>
    <t>004 - AD - ANDORRA [PRINCIPADO DE]</t>
  </si>
  <si>
    <t>005 - AO - ANGOLA [REPUBLICA DE]</t>
  </si>
  <si>
    <t>006 - AI - ANGUILA</t>
  </si>
  <si>
    <t>007 - AQ - ANTARTIDA</t>
  </si>
  <si>
    <t>008 - AG -ANTIGUA Y BARBUDA [COMUNIDAD BRITANICA DE NACIONES]</t>
  </si>
  <si>
    <t>009 - AN - ANTILLAS NEERLANDESAS [TERRITORIO HOLANDES DE ULTRAMAR]</t>
  </si>
  <si>
    <t>010 - SA - ARABIA SAUDITA [REINO DE]</t>
  </si>
  <si>
    <t>011 - DZ - ARGELIA [REPUBLICA DEMOCRATICA Y POPULAR DE]</t>
  </si>
  <si>
    <t>012 - AR - ARGENTINA [REPUBLICA]</t>
  </si>
  <si>
    <t>013 - AM - ARMENIA [REPUBLICA DE]</t>
  </si>
  <si>
    <t>014 - AW - ARUBA [TERRITORIO HOLANDES DE ULTRAMAR]</t>
  </si>
  <si>
    <t>015 - AU - AUSTRALIA [COMUNIDAD DE]</t>
  </si>
  <si>
    <t>016 - AT - AUSTRIA [REPUBLICA DE]</t>
  </si>
  <si>
    <t>017 - AZ - AZERBAIJAN [REPUBLICA AZERBAIJANI]</t>
  </si>
  <si>
    <t>018 - BS - BAHAMAS [COMUNIDAD DE LAS]</t>
  </si>
  <si>
    <t>019 - BH - BAHREIN [ESTADO DE]</t>
  </si>
  <si>
    <t>020 - BD - BANGLADESH [REPUBLICA POPULAR DE]</t>
  </si>
  <si>
    <t>021 - BB - BARBADOS [COMUNIDAD BRITANICA DE NACIONES]</t>
  </si>
  <si>
    <t>022 - BE - BELGICA [REINO DE]</t>
  </si>
  <si>
    <t>023 - BZ - BELICE</t>
  </si>
  <si>
    <t>024 - BJ - BENIN [REPUBLICA DE]</t>
  </si>
  <si>
    <t>025 - BM - BERMUDAS</t>
  </si>
  <si>
    <t>026 - BY - BIELORRUSIA [REPUBLICA DE]</t>
  </si>
  <si>
    <t>027 - BO - BOLIVIA [REPUBLICA DE]</t>
  </si>
  <si>
    <t>028 - BA - BOSNIA Y HERZEGOVINA</t>
  </si>
  <si>
    <t>029 - BW - BOTSWANA [REPUBLICA DE]</t>
  </si>
  <si>
    <t>030 - BR - BRASIL [REPUBLICA FEDERATIVA DE]</t>
  </si>
  <si>
    <t>031 - BN - BRUNEI [ESTADO DE] [RESIDENCIA DE PAZ]</t>
  </si>
  <si>
    <t>032 - BG - BULGARIA [REPUBLICA DE]</t>
  </si>
  <si>
    <t>033 - BF - BURKINA FASO</t>
  </si>
  <si>
    <t>034 - BI - BURUNDI [REPUBLICA DE]</t>
  </si>
  <si>
    <t>035 - BT - BUTAN [REINO DE]</t>
  </si>
  <si>
    <t>036 - CV - CABO VERDE [REPUBLICA DE]</t>
  </si>
  <si>
    <t>037 - TD - CHAD [REPUBLICA DEL]</t>
  </si>
  <si>
    <t>038 - KY - CAIMAN [ISLAS]</t>
  </si>
  <si>
    <t>039 - KH - CAMBOYA [REINO DE]</t>
  </si>
  <si>
    <t>040 - CM - CAMERUN [REPUBLICA DEL]</t>
  </si>
  <si>
    <t>041 - CA - CANADA</t>
  </si>
  <si>
    <t>042 - CL - CHILE [REPUBLICA DE]</t>
  </si>
  <si>
    <t>043 - CN - CHINA [REPUBLICA POPULAR]</t>
  </si>
  <si>
    <t>044 - CY - CHIPRE [REPUBLICA DE]</t>
  </si>
  <si>
    <t>045 - VA - CIUDAD DEL VATICANO [ESTADO DE LA]</t>
  </si>
  <si>
    <t>046 - CC - COCOS [KEELING; ISLAS AUSTRALIANAS]</t>
  </si>
  <si>
    <t>047 - CO - COLOMBIA [REPUBLICA DE]</t>
  </si>
  <si>
    <t>048 - KM - COMORAS [ISLAS]</t>
  </si>
  <si>
    <t>049 - CG - CONGO [REPUBLICA DEL]</t>
  </si>
  <si>
    <t>050 - CK - COOK [ISLAS]</t>
  </si>
  <si>
    <t>051 - KP - COREA [REPUBLICA POPULAR DEMOCRATICA DE] [COREA DEL NORTE]</t>
  </si>
  <si>
    <t>052 - KR - COREA [REPUBLICA DE] [COREA DEL SUR]</t>
  </si>
  <si>
    <t>053 - CI - COSTA DE MARFIL [REPUBLICA DE LA]</t>
  </si>
  <si>
    <t>054 - CR - COSTA RICA [REPUBLICA DE]</t>
  </si>
  <si>
    <t>055 - HR - CROACIA [REPUBLICA DE]</t>
  </si>
  <si>
    <t>056 - CU - CUBA [REPUBLICA DE]</t>
  </si>
  <si>
    <t>057 - DK - DINAMARCA [REINO DE]</t>
  </si>
  <si>
    <t>058 - DJ - DJIBOUTI [REPUBLICA DE]</t>
  </si>
  <si>
    <t>059 - DM - DOMINICA [COMUNIDAD DE]</t>
  </si>
  <si>
    <t>060 - EC - ECUADOR [REPUBLICA DEL]</t>
  </si>
  <si>
    <t>061 - EG - EGIPTO [REPUBLICA ARABE DE]</t>
  </si>
  <si>
    <t>062 - SV - EL SALVADOR [REPUBLICA DE]</t>
  </si>
  <si>
    <t>063 - AE - EMIRATOS ARABES UNIDOS</t>
  </si>
  <si>
    <t>064 - ER - ERITREA [ESTADO DE]</t>
  </si>
  <si>
    <t>065 - SI - ESLOVENIA [REPUBLICA DE]</t>
  </si>
  <si>
    <t>066 - ES - ESPAÑA [REINO DE]</t>
  </si>
  <si>
    <t>067 - FM - ESTADO FEDERADO DE MICRONESIA</t>
  </si>
  <si>
    <t>068 - US - ESTADOS UNIDOS DE AMERICA</t>
  </si>
  <si>
    <t>069 - EE - ESTONIA [REPUBLICA DE]</t>
  </si>
  <si>
    <t>070 - ET - ETIOPIA [REPUBLICA DEMOCRATICA FEDERAL]</t>
  </si>
  <si>
    <t>071 - FJ - FIDJI [REPUBLICA DE]</t>
  </si>
  <si>
    <t>072 - PH - FILIPINAS [REPUBLICA DE LAS]</t>
  </si>
  <si>
    <t>073 - FI - FINLANDIA [REPUBLICA DE]</t>
  </si>
  <si>
    <t>074 - FR - FRANCIA [REPUBLICA FRANCESA]</t>
  </si>
  <si>
    <t>075 - GA - GABONESA [REPUBLICA]</t>
  </si>
  <si>
    <t>076 - GM - GAMBIA [REPUBLICA DE LA]</t>
  </si>
  <si>
    <t>077 - GE - GEORGIA [REPUBLICA DE]</t>
  </si>
  <si>
    <t>078 - GH - GHANA [REPUBLICA DE]</t>
  </si>
  <si>
    <t>079 - GI - GIBRALTAR [R.U.]</t>
  </si>
  <si>
    <t>080 - GD - GRANADA</t>
  </si>
  <si>
    <t>081 - GR - GRECIA [REPUBLICA HELENICA]</t>
  </si>
  <si>
    <t>082 - GL - GROENLANDIA [DINAMARCA]</t>
  </si>
  <si>
    <t>083 - GP - GUADALUPE [DEPARTAMENTO DE]</t>
  </si>
  <si>
    <t>084 - GU - GUAM [E.U.A.]</t>
  </si>
  <si>
    <t>085 - GT - GUATEMALA [REPUBLICA DE]</t>
  </si>
  <si>
    <t>086 - GG - GUERNSEY</t>
  </si>
  <si>
    <t>087 - GW - GUINEA-BISSAU [REPUBLICA DE]</t>
  </si>
  <si>
    <t>088 - GQ - GUINEA ECUATORIAL [REPUBLICA DE]</t>
  </si>
  <si>
    <t>089 - GN - GUINEA [REPUBLICA DE]</t>
  </si>
  <si>
    <t>090 - GF - GUYANA FRANCESA</t>
  </si>
  <si>
    <t>091 - GY - GUYANA [REPUBLICA COOPERATIVA DE]</t>
  </si>
  <si>
    <t>092 - HT - HAITI [REPUBLICA DE]</t>
  </si>
  <si>
    <t>093 - HN - HONDURAS [REPUBLICA DE]</t>
  </si>
  <si>
    <t>094 - HK - HONG KONG [REGION ADMINISTRATIVA ESPECIAL DE LA REPUBLICA]</t>
  </si>
  <si>
    <t>095 - HU - HUNGRIA [REPUBLICA DE]</t>
  </si>
  <si>
    <t>096 - IN - INDIA [REPUBLICA DE]</t>
  </si>
  <si>
    <t>097 - ID - INDONESIA [REPUBLICA DE]</t>
  </si>
  <si>
    <t>098 - IQ - IRAK [REPUBLICA DE]</t>
  </si>
  <si>
    <t>099 - IR - IRAN [REPUBLICA ISLAMICA DEL]</t>
  </si>
  <si>
    <t>100 - IE - IRLANDA [REPUBLICA DE]</t>
  </si>
  <si>
    <t>101 - IS - ISLANDIA [REPUBLICA DE]</t>
  </si>
  <si>
    <t>102 - BV - ISLA BOUVET</t>
  </si>
  <si>
    <t>103 - IM - ISLA DE MAN</t>
  </si>
  <si>
    <t>104 - AX - ISLAS ALAND</t>
  </si>
  <si>
    <t>105 - FO - ISLAS FEROE</t>
  </si>
  <si>
    <t>106 - GS - ISLAS GEORGIA Y SANDWICH DEL SUR</t>
  </si>
  <si>
    <t>107 - HM - ISLAS HEARD Y MCDONALD</t>
  </si>
  <si>
    <t>108 - FK - ISLAS MALVINAS [R.U.]</t>
  </si>
  <si>
    <t>109 - MP - ISLAS MARIANAS SEPTENTRIONALES</t>
  </si>
  <si>
    <t>110 - MH - ISLAS MARSHALL</t>
  </si>
  <si>
    <t>111 - UM - ISLAS MENORES DE ULTRAMAR DE ESTADOS UNIDOS DE AMERICA</t>
  </si>
  <si>
    <t>112 - SB - ISLAS SALOMON [COMUNIDAD BRITANICA DE NACIONES]</t>
  </si>
  <si>
    <t>113 - SJ - ISLAS SVALBARD Y JAN MAYEN [NORUEGA]</t>
  </si>
  <si>
    <t>114 - TK - ISLAS TOKELAU</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</si>
  <si>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</si>
  <si>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</si>
  <si>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</si>
  <si>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</si>
  <si>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</si>
  <si>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</si>
  <si>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</si>
  <si>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</si>
  <si>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</si>
  <si>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</si>
  <si>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</si>
  <si>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</si>
  <si>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</si>
  <si>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</si>
  <si>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</si>
  <si>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</si>
  <si>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</si>
  <si>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</si>
  <si>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</si>
  <si>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</si>
  <si>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</si>
  <si>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</si>
  <si>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</si>
  <si>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</si>
  <si>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</si>
  <si>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</si>
  <si>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</si>
  <si>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</si>
  <si>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</si>
  <si>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</si>
  <si>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</si>
  <si>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</si>
  <si>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</si>
  <si>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</si>
  <si>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</si>
  <si>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</si>
  <si>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</si>
  <si>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</si>
  <si>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</si>
  <si>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</si>
  <si>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</si>
  <si>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</si>
  <si>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</si>
  <si>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</si>
  <si>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</si>
  <si>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</si>
  <si>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</si>
  <si>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</si>
  <si>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</si>
  <si>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</si>
  <si>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</si>
  <si>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</si>
  <si>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</si>
  <si>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</si>
  <si>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</si>
  <si>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</si>
  <si>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</si>
  <si>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</si>
  <si>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</si>
  <si>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</si>
  <si>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</si>
  <si>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</si>
  <si>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</si>
  <si>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</si>
  <si>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</si>
  <si>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</si>
  <si>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</si>
  <si>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</si>
  <si>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</si>
  <si>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</si>
  <si>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</si>
  <si>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</si>
  <si>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</si>
  <si>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</si>
  <si>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</si>
  <si>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</si>
  <si>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</si>
  <si>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</si>
  <si>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</si>
  <si>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</si>
  <si>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</si>
  <si>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</si>
  <si>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</si>
  <si>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</si>
  <si>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</si>
  <si>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</si>
  <si>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</si>
  <si>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</si>
  <si>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</si>
  <si>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</si>
  <si>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</si>
  <si>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</si>
  <si>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</si>
  <si>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</si>
  <si>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</si>
  <si>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</si>
  <si>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</si>
  <si>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</si>
  <si>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</si>
  <si>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</si>
  <si>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</si>
  <si>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</si>
  <si>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</si>
  <si>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</si>
  <si>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</si>
  <si>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</si>
  <si>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</si>
  <si>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</si>
  <si>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</si>
  <si>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</si>
  <si>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</si>
  <si>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</si>
  <si>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</si>
  <si>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</si>
  <si>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</si>
  <si>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</si>
  <si>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</si>
  <si>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</si>
  <si>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</si>
  <si>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</si>
  <si>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</si>
  <si>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</si>
  <si>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</si>
  <si>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</si>
  <si>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</si>
  <si>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</si>
  <si>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</si>
  <si>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</si>
  <si>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</si>
  <si>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</si>
  <si>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</si>
  <si>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</si>
  <si>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</si>
  <si>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2406 - IMPORTACIÓN DE COMBUSTIBLES NO FÓSILES</t>
  </si>
  <si>
    <t>0311 - PRODUCCIÓN; ELABORACIÓN DE COMBUSTIBLES NO FÓSILES</t>
  </si>
  <si>
    <t>2405 - VENTA EN TERRITORIO NACIONAL DE COMBUSTIBLES NO FÓSILES</t>
  </si>
  <si>
    <t>2269 - VENTA EN TERRITORIO NACIONAL DE GASOLINA Y DIÉSEL</t>
  </si>
  <si>
    <t>2404 - VENTA EN TERRITORIO NACIONAL DE OTROS COMBUSTIBLES FÓSILES</t>
  </si>
  <si>
    <t>2403 - APOYO A PROYECTOS DE PRODUCTORES AGRÍCOLAS Y DE ARTESANOS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</si>
</sst>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21"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b/>
      <sz val="9"/>
      <color indexed="81"/>
      <name val="Tahoma"/>
      <family val="2"/>
    </font>
    <font>
      <sz val="8"/>
      <color theme="1"/>
      <name val="Calibri"/>
      <family val="2"/>
      <scheme val="minor"/>
    </font>
    <font>
      <sz val="8"/>
      <color rgb="FF000000"/>
      <name val="Arial"/>
      <family val="2"/>
    </font>
    <font>
      <b/>
      <sz val="8"/>
      <color rgb="FF000000"/>
      <name val="Arial"/>
      <family val="2"/>
    </font>
    <font>
      <sz val="10"/>
      <name val="Verdana"/>
      <family val="2"/>
    </font>
    <font>
      <b/>
      <sz val="11"/>
      <color theme="1"/>
      <name val="Calibri"/>
      <family val="2"/>
      <scheme val="minor"/>
    </font>
    <font>
      <b/>
      <sz val="14"/>
      <color theme="1"/>
      <name val="Calibri"/>
      <family val="2"/>
      <scheme val="minor"/>
    </font>
    <font>
      <i/>
      <sz val="11"/>
      <color theme="1"/>
      <name val="Calibri"/>
      <family val="2"/>
      <scheme val="minor"/>
    </font>
    <font>
      <sz val="8"/>
      <color rgb="FF7030A0"/>
      <name val="Arial"/>
      <family val="2"/>
    </font>
    <font>
      <sz val="8"/>
      <color rgb="FFC00000"/>
      <name val="Arial"/>
      <family val="2"/>
    </font>
    <font>
      <sz val="8"/>
      <color rgb="FF0000FF"/>
      <name val="Arial"/>
      <family val="2"/>
    </font>
    <font>
      <b/>
      <sz val="9"/>
      <color indexed="12"/>
      <name val="Tahoma"/>
      <family val="2"/>
    </font>
    <font>
      <b/>
      <sz val="9"/>
      <color indexed="60"/>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4">
    <border>
      <left/>
      <right/>
      <top/>
      <bottom/>
      <diagonal/>
    </border>
    <border>
      <left/>
      <right/>
      <top/>
      <bottom style="medium">
        <color indexed="64"/>
      </bottom>
      <diagonal/>
    </border>
    <border>
      <left/>
      <right/>
      <top/>
      <bottom style="thin">
        <color theme="0" tint="-0.34998626667073579"/>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cellStyleXfs>
  <cellXfs count="204">
    <xf numFmtId="0" fontId="0" fillId="0" borderId="0" xfId="0"/>
    <xf numFmtId="49" fontId="1" fillId="0" borderId="0" xfId="0" applyNumberFormat="1" applyFont="1" applyProtection="1">
      <protection locked="0"/>
    </xf>
    <xf numFmtId="49" fontId="0" fillId="0" borderId="0" xfId="0" applyNumberFormat="1" applyProtection="1">
      <protection locked="0"/>
    </xf>
    <xf numFmtId="49" fontId="0" fillId="4" borderId="0" xfId="0" applyNumberFormat="1" applyFill="1" applyProtection="1"/>
    <xf numFmtId="49" fontId="0" fillId="0" borderId="0" xfId="0" applyNumberFormat="1" applyBorder="1" applyProtection="1">
      <protection locked="0"/>
    </xf>
    <xf numFmtId="0" fontId="13" fillId="0" borderId="0" xfId="0" applyFont="1" applyAlignment="1">
      <alignment horizontal="centerContinuous"/>
    </xf>
    <xf numFmtId="0" fontId="0" fillId="0" borderId="0" xfId="0" applyAlignment="1">
      <alignment horizontal="centerContinuous"/>
    </xf>
    <xf numFmtId="0" fontId="0" fillId="0" borderId="1" xfId="0" applyBorder="1"/>
    <xf numFmtId="0" fontId="14" fillId="0" borderId="0" xfId="0" applyFont="1"/>
    <xf numFmtId="0" fontId="0" fillId="0" borderId="2" xfId="0" applyBorder="1"/>
    <xf numFmtId="0" fontId="6" fillId="0" borderId="0" xfId="1" applyAlignment="1" applyProtection="1"/>
    <xf numFmtId="0" fontId="15" fillId="0" borderId="0" xfId="0" applyFont="1"/>
    <xf numFmtId="49" fontId="3" fillId="4" borderId="0" xfId="0" applyNumberFormat="1" applyFont="1" applyFill="1" applyBorder="1" applyProtection="1"/>
    <xf numFmtId="49" fontId="3" fillId="4" borderId="0" xfId="0" applyNumberFormat="1" applyFont="1" applyFill="1" applyBorder="1"/>
    <xf numFmtId="49" fontId="1" fillId="4" borderId="0" xfId="0" applyNumberFormat="1" applyFont="1" applyFill="1"/>
    <xf numFmtId="49" fontId="1" fillId="4" borderId="0" xfId="0" applyNumberFormat="1" applyFont="1" applyFill="1" applyProtection="1"/>
    <xf numFmtId="49" fontId="0" fillId="4" borderId="0" xfId="0" applyNumberFormat="1" applyFill="1"/>
    <xf numFmtId="49" fontId="3" fillId="2" borderId="3" xfId="0" quotePrefix="1" applyNumberFormat="1" applyFont="1" applyFill="1" applyBorder="1" applyAlignment="1" applyProtection="1">
      <alignment horizontal="center" vertical="top"/>
    </xf>
    <xf numFmtId="49" fontId="3" fillId="2" borderId="3" xfId="0" applyNumberFormat="1" applyFont="1" applyFill="1" applyBorder="1" applyAlignment="1" applyProtection="1">
      <alignment vertical="top" wrapText="1"/>
    </xf>
    <xf numFmtId="49" fontId="4" fillId="2" borderId="3" xfId="0" quotePrefix="1" applyNumberFormat="1" applyFont="1" applyFill="1" applyBorder="1" applyAlignment="1" applyProtection="1">
      <alignment horizontal="center" vertical="top"/>
    </xf>
    <xf numFmtId="49" fontId="3" fillId="0" borderId="3" xfId="0" applyNumberFormat="1" applyFont="1" applyFill="1" applyBorder="1" applyAlignment="1" applyProtection="1">
      <alignment vertical="top" wrapText="1"/>
    </xf>
    <xf numFmtId="49" fontId="4" fillId="2" borderId="3" xfId="0" quotePrefix="1" applyNumberFormat="1" applyFont="1" applyFill="1" applyBorder="1" applyProtection="1"/>
    <xf numFmtId="49" fontId="5" fillId="2" borderId="3" xfId="1" applyNumberFormat="1" applyFont="1" applyFill="1" applyBorder="1" applyAlignment="1" applyProtection="1">
      <alignment horizontal="left" vertical="top" wrapText="1"/>
    </xf>
    <xf numFmtId="0" fontId="5" fillId="2" borderId="3" xfId="1" applyNumberFormat="1" applyFont="1" applyFill="1" applyBorder="1" applyAlignment="1" applyProtection="1">
      <alignment horizontal="left" vertical="top" wrapText="1"/>
      <protection locked="0"/>
    </xf>
    <xf numFmtId="49" fontId="5" fillId="2" borderId="3" xfId="1" applyNumberFormat="1" applyFont="1" applyFill="1" applyBorder="1" applyAlignment="1" applyProtection="1">
      <alignment horizontal="left" vertical="top" wrapText="1"/>
      <protection locked="0"/>
    </xf>
    <xf numFmtId="49" fontId="7" fillId="0" borderId="3" xfId="0" applyNumberFormat="1" applyFont="1" applyFill="1" applyBorder="1" applyAlignment="1" applyProtection="1">
      <alignment vertical="top" wrapText="1"/>
    </xf>
    <xf numFmtId="11" fontId="3" fillId="0"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xf>
    <xf numFmtId="49" fontId="3" fillId="0" borderId="3" xfId="0" applyNumberFormat="1" applyFont="1" applyFill="1" applyBorder="1" applyAlignment="1" applyProtection="1">
      <alignment vertical="top"/>
    </xf>
    <xf numFmtId="49" fontId="3" fillId="3"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horizontal="right" vertical="top" wrapText="1"/>
      <protection locked="0"/>
    </xf>
    <xf numFmtId="49" fontId="7" fillId="0" borderId="3" xfId="0" applyNumberFormat="1" applyFont="1" applyFill="1" applyBorder="1" applyAlignment="1" applyProtection="1">
      <alignment vertical="top"/>
    </xf>
    <xf numFmtId="49" fontId="5" fillId="2" borderId="3" xfId="0" applyNumberFormat="1" applyFont="1" applyFill="1" applyBorder="1" applyAlignment="1" applyProtection="1">
      <alignment vertical="top" wrapText="1"/>
    </xf>
    <xf numFmtId="49" fontId="5" fillId="0" borderId="3" xfId="0" applyNumberFormat="1" applyFont="1" applyFill="1" applyBorder="1" applyAlignment="1" applyProtection="1">
      <alignment vertical="top" wrapText="1"/>
    </xf>
    <xf numFmtId="49" fontId="5" fillId="3"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right" vertical="top" wrapText="1"/>
      <protection locked="0"/>
    </xf>
    <xf numFmtId="3" fontId="5" fillId="0" borderId="3" xfId="0" applyNumberFormat="1" applyFont="1" applyFill="1" applyBorder="1" applyAlignment="1" applyProtection="1">
      <alignment horizontal="right" vertical="top" wrapText="1"/>
      <protection locked="0"/>
    </xf>
    <xf numFmtId="49" fontId="0" fillId="4" borderId="0" xfId="0" applyNumberFormat="1" applyFill="1" applyProtection="1">
      <protection locked="0"/>
    </xf>
    <xf numFmtId="49" fontId="3" fillId="4" borderId="3" xfId="0" applyNumberFormat="1" applyFont="1" applyFill="1" applyBorder="1" applyProtection="1">
      <protection locked="0"/>
    </xf>
    <xf numFmtId="49" fontId="2" fillId="4" borderId="3" xfId="0" applyNumberFormat="1" applyFont="1" applyFill="1" applyBorder="1" applyProtection="1">
      <protection locked="0"/>
    </xf>
    <xf numFmtId="49" fontId="0" fillId="4" borderId="3" xfId="0" applyNumberFormat="1" applyFill="1" applyBorder="1" applyProtection="1"/>
    <xf numFmtId="49" fontId="3" fillId="4" borderId="3" xfId="0" applyNumberFormat="1" applyFont="1" applyFill="1" applyBorder="1" applyAlignment="1" applyProtection="1">
      <alignment wrapText="1"/>
    </xf>
    <xf numFmtId="49" fontId="3" fillId="4" borderId="3" xfId="0" applyNumberFormat="1" applyFont="1" applyFill="1" applyBorder="1" applyProtection="1"/>
    <xf numFmtId="49" fontId="3" fillId="5" borderId="3" xfId="0" applyNumberFormat="1" applyFont="1" applyFill="1" applyBorder="1" applyAlignment="1" applyProtection="1">
      <alignment horizontal="center" vertical="top"/>
    </xf>
    <xf numFmtId="49" fontId="3" fillId="4" borderId="3" xfId="0" applyNumberFormat="1" applyFont="1" applyFill="1" applyBorder="1" applyAlignment="1" applyProtection="1">
      <alignment horizontal="center" vertical="top" wrapText="1"/>
    </xf>
    <xf numFmtId="49" fontId="3" fillId="5"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left" vertical="top" wrapText="1"/>
    </xf>
    <xf numFmtId="49" fontId="3" fillId="2" borderId="3" xfId="0" applyNumberFormat="1" applyFont="1" applyFill="1" applyBorder="1" applyAlignment="1" applyProtection="1">
      <alignment wrapText="1"/>
    </xf>
    <xf numFmtId="49" fontId="3" fillId="2" borderId="3" xfId="0" applyNumberFormat="1" applyFont="1" applyFill="1" applyBorder="1" applyAlignment="1" applyProtection="1">
      <alignment horizontal="center" vertical="top"/>
    </xf>
    <xf numFmtId="49" fontId="3" fillId="2" borderId="3" xfId="0" applyNumberFormat="1" applyFont="1" applyFill="1" applyBorder="1" applyAlignment="1" applyProtection="1">
      <alignment horizontal="center" wrapText="1"/>
    </xf>
    <xf numFmtId="49" fontId="3" fillId="2" borderId="3" xfId="0" applyNumberFormat="1" applyFont="1" applyFill="1" applyBorder="1" applyProtection="1"/>
    <xf numFmtId="49" fontId="3" fillId="2" borderId="3" xfId="0" applyNumberFormat="1" applyFont="1" applyFill="1" applyBorder="1" applyAlignment="1" applyProtection="1">
      <alignment horizontal="center" vertical="top" wrapText="1"/>
    </xf>
    <xf numFmtId="3" fontId="3" fillId="6" borderId="3" xfId="0" applyNumberFormat="1" applyFont="1" applyFill="1" applyBorder="1" applyAlignment="1" applyProtection="1">
      <alignment horizontal="right" vertical="top" wrapText="1"/>
    </xf>
    <xf numFmtId="49" fontId="3" fillId="0" borderId="3" xfId="0" applyNumberFormat="1" applyFont="1" applyFill="1" applyBorder="1" applyAlignment="1" applyProtection="1">
      <alignment horizontal="left" vertical="top" wrapText="1"/>
    </xf>
    <xf numFmtId="3" fontId="3" fillId="7" borderId="3" xfId="0" applyNumberFormat="1" applyFont="1" applyFill="1" applyBorder="1" applyAlignment="1" applyProtection="1">
      <alignment horizontal="right" vertical="top" wrapText="1"/>
    </xf>
    <xf numFmtId="4" fontId="3" fillId="2" borderId="3" xfId="0" applyNumberFormat="1" applyFont="1" applyFill="1" applyBorder="1" applyAlignment="1" applyProtection="1">
      <alignment horizontal="right" vertical="top" wrapText="1"/>
    </xf>
    <xf numFmtId="3" fontId="3" fillId="2" borderId="3" xfId="0" applyNumberFormat="1" applyFont="1" applyFill="1" applyBorder="1" applyAlignment="1" applyProtection="1">
      <alignment horizontal="right" vertical="top" wrapText="1"/>
    </xf>
    <xf numFmtId="4" fontId="3" fillId="6" borderId="3" xfId="0" applyNumberFormat="1" applyFont="1" applyFill="1" applyBorder="1" applyAlignment="1" applyProtection="1">
      <alignment horizontal="right" vertical="top" wrapText="1"/>
    </xf>
    <xf numFmtId="49" fontId="3" fillId="6" borderId="3" xfId="0" applyNumberFormat="1" applyFont="1" applyFill="1" applyBorder="1" applyAlignment="1" applyProtection="1">
      <alignment vertical="top" wrapText="1"/>
    </xf>
    <xf numFmtId="4" fontId="3" fillId="0" borderId="3" xfId="0" applyNumberFormat="1" applyFont="1" applyFill="1" applyBorder="1" applyAlignment="1" applyProtection="1">
      <alignment horizontal="right" vertical="top" wrapText="1"/>
    </xf>
    <xf numFmtId="3" fontId="3" fillId="0"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protection locked="0"/>
    </xf>
    <xf numFmtId="4" fontId="3" fillId="8" borderId="3" xfId="0" applyNumberFormat="1" applyFont="1" applyFill="1" applyBorder="1" applyAlignment="1" applyProtection="1">
      <alignment horizontal="right" vertical="top" wrapText="1"/>
    </xf>
    <xf numFmtId="3" fontId="3" fillId="8" borderId="3" xfId="0" applyNumberFormat="1" applyFont="1" applyFill="1" applyBorder="1" applyAlignment="1" applyProtection="1">
      <alignment horizontal="right" vertical="top" wrapText="1"/>
    </xf>
    <xf numFmtId="49" fontId="3" fillId="8" borderId="3" xfId="0" applyNumberFormat="1" applyFont="1" applyFill="1" applyBorder="1" applyAlignment="1" applyProtection="1">
      <alignment vertical="top" wrapText="1"/>
    </xf>
    <xf numFmtId="3" fontId="3" fillId="9" borderId="3" xfId="0" applyNumberFormat="1" applyFont="1" applyFill="1" applyBorder="1" applyAlignment="1" applyProtection="1">
      <alignment horizontal="right" vertical="top" wrapText="1"/>
      <protection locked="0"/>
    </xf>
    <xf numFmtId="49" fontId="3" fillId="6" borderId="3" xfId="0" applyNumberFormat="1" applyFont="1" applyFill="1" applyBorder="1" applyAlignment="1" applyProtection="1">
      <alignment horizontal="left" vertical="top" wrapText="1"/>
    </xf>
    <xf numFmtId="49" fontId="3" fillId="3" borderId="3" xfId="0" applyNumberFormat="1" applyFont="1" applyFill="1" applyBorder="1" applyAlignment="1" applyProtection="1">
      <alignment horizontal="left" vertical="top" wrapText="1"/>
    </xf>
    <xf numFmtId="3" fontId="3" fillId="10" borderId="3" xfId="0" applyNumberFormat="1" applyFont="1" applyFill="1" applyBorder="1" applyAlignment="1" applyProtection="1">
      <alignment horizontal="right" vertical="top" wrapText="1"/>
    </xf>
    <xf numFmtId="49" fontId="0" fillId="4" borderId="0" xfId="0" applyNumberFormat="1" applyFill="1" applyBorder="1" applyProtection="1">
      <protection locked="0"/>
    </xf>
    <xf numFmtId="49" fontId="0" fillId="4" borderId="3" xfId="0" applyNumberFormat="1" applyFill="1" applyBorder="1" applyProtection="1">
      <protection locked="0"/>
    </xf>
    <xf numFmtId="49" fontId="3" fillId="0" borderId="3" xfId="0" applyNumberFormat="1" applyFont="1" applyFill="1" applyBorder="1" applyAlignment="1" applyProtection="1">
      <alignment wrapText="1"/>
    </xf>
    <xf numFmtId="3" fontId="3" fillId="11" borderId="3" xfId="0" applyNumberFormat="1" applyFont="1" applyFill="1" applyBorder="1" applyAlignment="1" applyProtection="1">
      <alignment horizontal="right" vertical="top" wrapText="1"/>
      <protection locked="0"/>
    </xf>
    <xf numFmtId="3" fontId="3" fillId="12" borderId="3" xfId="0" applyNumberFormat="1" applyFont="1" applyFill="1" applyBorder="1" applyAlignment="1" applyProtection="1">
      <alignment horizontal="right" vertical="top" wrapText="1"/>
      <protection locked="0"/>
    </xf>
    <xf numFmtId="4" fontId="3" fillId="0" borderId="3" xfId="0" applyNumberFormat="1" applyFont="1" applyFill="1" applyBorder="1" applyAlignment="1" applyProtection="1">
      <alignment horizontal="right" vertical="top" wrapText="1"/>
      <protection locked="0"/>
    </xf>
    <xf numFmtId="3" fontId="3" fillId="13" borderId="3" xfId="0" applyNumberFormat="1" applyFont="1" applyFill="1" applyBorder="1" applyAlignment="1" applyProtection="1">
      <alignment horizontal="right" vertical="top" wrapText="1"/>
      <protection locked="0"/>
    </xf>
    <xf numFmtId="49" fontId="3" fillId="5" borderId="3" xfId="0" applyNumberFormat="1" applyFont="1" applyFill="1" applyBorder="1" applyAlignment="1" applyProtection="1">
      <alignment vertical="top" wrapText="1"/>
    </xf>
    <xf numFmtId="3" fontId="3" fillId="12" borderId="3" xfId="0" applyNumberFormat="1" applyFont="1" applyFill="1" applyBorder="1" applyAlignment="1" applyProtection="1">
      <alignment horizontal="right" vertical="top" wrapText="1"/>
    </xf>
    <xf numFmtId="49" fontId="3" fillId="4" borderId="3" xfId="0" applyNumberFormat="1" applyFont="1" applyFill="1" applyBorder="1" applyAlignment="1" applyProtection="1">
      <alignment horizontal="center"/>
    </xf>
    <xf numFmtId="49" fontId="3" fillId="5"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left" vertical="top"/>
    </xf>
    <xf numFmtId="49" fontId="3" fillId="0" borderId="3" xfId="0" applyNumberFormat="1" applyFont="1" applyFill="1" applyBorder="1" applyAlignment="1" applyProtection="1">
      <alignment vertical="top" wrapText="1"/>
      <protection locked="0"/>
    </xf>
    <xf numFmtId="49" fontId="3" fillId="11" borderId="3" xfId="0" applyNumberFormat="1" applyFont="1" applyFill="1" applyBorder="1" applyAlignment="1" applyProtection="1">
      <alignment vertical="top" wrapText="1"/>
      <protection locked="0"/>
    </xf>
    <xf numFmtId="49" fontId="3" fillId="0" borderId="3" xfId="0" applyNumberFormat="1" applyFont="1" applyFill="1" applyBorder="1" applyAlignment="1" applyProtection="1">
      <alignment horizontal="left" vertical="top"/>
    </xf>
    <xf numFmtId="49" fontId="3" fillId="4" borderId="3" xfId="0" applyNumberFormat="1" applyFont="1" applyFill="1" applyBorder="1" applyAlignment="1" applyProtection="1">
      <alignment horizontal="center" vertical="top"/>
      <protection locked="0"/>
    </xf>
    <xf numFmtId="49" fontId="3" fillId="8" borderId="3" xfId="0" applyNumberFormat="1" applyFont="1" applyFill="1" applyBorder="1" applyAlignment="1" applyProtection="1">
      <alignment vertical="top" wrapText="1"/>
      <protection locked="0"/>
    </xf>
    <xf numFmtId="0" fontId="3" fillId="8" borderId="3" xfId="0" applyNumberFormat="1" applyFont="1" applyFill="1" applyBorder="1" applyAlignment="1" applyProtection="1">
      <alignment vertical="top" wrapText="1"/>
      <protection locked="0"/>
    </xf>
    <xf numFmtId="4" fontId="3" fillId="8" borderId="3" xfId="0" applyNumberFormat="1" applyFont="1" applyFill="1" applyBorder="1" applyAlignment="1" applyProtection="1">
      <alignment horizontal="right" vertical="top" wrapText="1"/>
      <protection locked="0"/>
    </xf>
    <xf numFmtId="2" fontId="3" fillId="5" borderId="3" xfId="0" applyNumberFormat="1" applyFont="1" applyFill="1" applyBorder="1" applyAlignment="1" applyProtection="1">
      <alignment horizontal="center" vertical="top" wrapText="1"/>
    </xf>
    <xf numFmtId="49" fontId="3" fillId="4" borderId="3" xfId="0" applyNumberFormat="1" applyFont="1" applyFill="1" applyBorder="1" applyAlignment="1" applyProtection="1">
      <alignment horizontal="center" wrapText="1"/>
    </xf>
    <xf numFmtId="164" fontId="3" fillId="0" borderId="3" xfId="0" applyNumberFormat="1" applyFont="1" applyFill="1" applyBorder="1" applyAlignment="1" applyProtection="1">
      <alignment horizontal="right" vertical="top" wrapText="1"/>
      <protection locked="0"/>
    </xf>
    <xf numFmtId="0" fontId="3" fillId="9" borderId="3" xfId="0" applyNumberFormat="1" applyFont="1" applyFill="1" applyBorder="1" applyAlignment="1" applyProtection="1">
      <alignment vertical="top" wrapText="1"/>
      <protection locked="0"/>
    </xf>
    <xf numFmtId="0" fontId="3" fillId="0" borderId="3" xfId="0" applyNumberFormat="1" applyFont="1" applyFill="1" applyBorder="1" applyAlignment="1" applyProtection="1">
      <alignment vertical="top" wrapText="1"/>
      <protection locked="0"/>
    </xf>
    <xf numFmtId="164" fontId="3" fillId="2" borderId="3" xfId="0" applyNumberFormat="1" applyFont="1" applyFill="1" applyBorder="1" applyAlignment="1" applyProtection="1">
      <alignment horizontal="right" vertical="top" wrapText="1"/>
      <protection locked="0"/>
    </xf>
    <xf numFmtId="49" fontId="3" fillId="8" borderId="3" xfId="0" applyNumberFormat="1" applyFont="1" applyFill="1" applyBorder="1" applyAlignment="1" applyProtection="1">
      <alignment horizontal="left" vertical="top" wrapText="1"/>
      <protection locked="0"/>
    </xf>
    <xf numFmtId="49" fontId="3" fillId="5" borderId="3" xfId="0" applyNumberFormat="1" applyFont="1" applyFill="1" applyBorder="1" applyAlignment="1" applyProtection="1">
      <alignment horizontal="left" vertical="top" wrapText="1"/>
    </xf>
    <xf numFmtId="11" fontId="3" fillId="4" borderId="3" xfId="0" applyNumberFormat="1" applyFont="1" applyFill="1" applyBorder="1" applyAlignment="1" applyProtection="1">
      <alignment horizontal="center" vertical="top" wrapText="1"/>
    </xf>
    <xf numFmtId="0" fontId="3" fillId="8" borderId="3" xfId="0" applyNumberFormat="1" applyFont="1" applyFill="1" applyBorder="1" applyAlignment="1" applyProtection="1">
      <alignment horizontal="left" vertical="top" wrapText="1"/>
      <protection locked="0"/>
    </xf>
    <xf numFmtId="3" fontId="3" fillId="14" borderId="3" xfId="0" applyNumberFormat="1" applyFont="1" applyFill="1" applyBorder="1" applyAlignment="1" applyProtection="1">
      <alignment horizontal="right" vertical="top" wrapText="1"/>
    </xf>
    <xf numFmtId="164" fontId="3" fillId="8"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center" wrapText="1"/>
    </xf>
    <xf numFmtId="0" fontId="3" fillId="2" borderId="3" xfId="0" applyNumberFormat="1" applyFont="1" applyFill="1" applyBorder="1" applyAlignment="1" applyProtection="1">
      <alignment horizontal="left" vertical="top" wrapText="1"/>
      <protection locked="0"/>
    </xf>
    <xf numFmtId="49" fontId="3" fillId="2" borderId="3" xfId="0" applyNumberFormat="1" applyFont="1" applyFill="1" applyBorder="1" applyAlignment="1" applyProtection="1">
      <alignment horizontal="left" vertical="top" wrapText="1"/>
      <protection locked="0"/>
    </xf>
    <xf numFmtId="0" fontId="3" fillId="0" borderId="3" xfId="0" applyNumberFormat="1" applyFont="1" applyFill="1" applyBorder="1" applyAlignment="1" applyProtection="1">
      <alignment vertical="top" wrapText="1"/>
    </xf>
    <xf numFmtId="49" fontId="5" fillId="2" borderId="3" xfId="0" applyNumberFormat="1" applyFont="1" applyFill="1" applyBorder="1" applyAlignment="1" applyProtection="1">
      <alignment horizontal="left" vertical="top" wrapText="1"/>
      <protection locked="0"/>
    </xf>
    <xf numFmtId="0" fontId="3" fillId="3" borderId="3" xfId="0" applyNumberFormat="1" applyFont="1" applyFill="1" applyBorder="1" applyAlignment="1" applyProtection="1">
      <alignment vertical="top" wrapText="1"/>
    </xf>
    <xf numFmtId="0" fontId="5" fillId="2" borderId="3" xfId="1" applyNumberFormat="1" applyFont="1" applyFill="1" applyBorder="1" applyAlignment="1" applyProtection="1">
      <alignment horizontal="left" vertical="top" wrapText="1"/>
    </xf>
    <xf numFmtId="0" fontId="0" fillId="0" borderId="0" xfId="0" applyNumberFormat="1" applyProtection="1">
      <protection locked="0"/>
    </xf>
    <xf numFmtId="0" fontId="3" fillId="2" borderId="3" xfId="0" applyNumberFormat="1" applyFont="1" applyFill="1" applyBorder="1" applyAlignment="1" applyProtection="1">
      <alignment vertical="top" wrapText="1"/>
    </xf>
    <xf numFmtId="49" fontId="3" fillId="2" borderId="3" xfId="0" applyNumberFormat="1" applyFont="1" applyFill="1" applyBorder="1" applyAlignment="1" applyProtection="1">
      <alignment vertical="top" wrapText="1"/>
      <protection locked="0"/>
    </xf>
    <xf numFmtId="0" fontId="3" fillId="2" borderId="3" xfId="0" applyNumberFormat="1" applyFont="1" applyFill="1" applyBorder="1" applyAlignment="1" applyProtection="1">
      <alignment vertical="top" wrapText="1"/>
      <protection locked="0"/>
    </xf>
    <xf numFmtId="0" fontId="5" fillId="0" borderId="3" xfId="0" applyNumberFormat="1" applyFont="1" applyFill="1" applyBorder="1" applyAlignment="1" applyProtection="1">
      <alignment vertical="top" wrapText="1"/>
      <protection locked="0"/>
    </xf>
    <xf numFmtId="0" fontId="5" fillId="2" borderId="3" xfId="0" applyNumberFormat="1" applyFont="1" applyFill="1" applyBorder="1" applyAlignment="1" applyProtection="1">
      <alignment vertical="top" wrapText="1"/>
      <protection locked="0"/>
    </xf>
    <xf numFmtId="49" fontId="5" fillId="0" borderId="3" xfId="0" applyNumberFormat="1" applyFont="1" applyFill="1" applyBorder="1" applyAlignment="1" applyProtection="1">
      <alignment vertical="top" wrapText="1"/>
      <protection locked="0"/>
    </xf>
    <xf numFmtId="49" fontId="5" fillId="2" borderId="3" xfId="0" applyNumberFormat="1" applyFont="1" applyFill="1" applyBorder="1" applyAlignment="1" applyProtection="1">
      <alignment vertical="top" wrapText="1"/>
      <protection locked="0"/>
    </xf>
    <xf numFmtId="3" fontId="5" fillId="2" borderId="3" xfId="0" applyNumberFormat="1" applyFont="1" applyFill="1" applyBorder="1" applyAlignment="1" applyProtection="1">
      <alignment horizontal="right" vertical="top" wrapText="1"/>
      <protection locked="0"/>
    </xf>
    <xf numFmtId="3" fontId="3" fillId="2" borderId="3" xfId="0" applyNumberFormat="1" applyFont="1" applyFill="1" applyBorder="1" applyAlignment="1" applyProtection="1">
      <alignment horizontal="right" vertical="top" wrapText="1"/>
      <protection locked="0"/>
    </xf>
    <xf numFmtId="3" fontId="3" fillId="0" borderId="3" xfId="0" applyNumberFormat="1" applyFont="1" applyFill="1" applyBorder="1" applyAlignment="1" applyProtection="1">
      <alignment horizontal="right" vertical="top" wrapText="1"/>
      <protection locked="0"/>
    </xf>
    <xf numFmtId="3" fontId="16" fillId="2" borderId="3" xfId="0" applyNumberFormat="1" applyFont="1" applyFill="1" applyBorder="1" applyAlignment="1" applyProtection="1">
      <alignment horizontal="right" vertical="top" wrapText="1"/>
      <protection locked="0"/>
    </xf>
    <xf numFmtId="0" fontId="3" fillId="8" borderId="3" xfId="0" applyNumberFormat="1" applyFont="1" applyFill="1" applyBorder="1" applyAlignment="1" applyProtection="1">
      <alignment vertical="top" wrapText="1"/>
    </xf>
    <xf numFmtId="3" fontId="3" fillId="7" borderId="3" xfId="0" applyNumberFormat="1" applyFont="1" applyFill="1" applyBorder="1" applyAlignment="1" applyProtection="1">
      <alignment horizontal="right" vertical="top" wrapText="1"/>
      <protection locked="0"/>
    </xf>
    <xf numFmtId="49" fontId="3" fillId="4" borderId="3" xfId="0" applyNumberFormat="1" applyFont="1" applyFill="1" applyBorder="1" applyAlignment="1" applyProtection="1">
      <alignment horizontal="center" vertical="top"/>
    </xf>
    <xf numFmtId="49" fontId="3" fillId="5" borderId="3" xfId="0" applyNumberFormat="1" applyFont="1" applyFill="1" applyBorder="1" applyAlignment="1" applyProtection="1">
      <alignment wrapText="1"/>
    </xf>
    <xf numFmtId="49" fontId="3" fillId="4" borderId="3" xfId="0" applyNumberFormat="1" applyFont="1" applyFill="1" applyBorder="1" applyAlignment="1" applyProtection="1">
      <alignment horizontal="left" vertical="center"/>
    </xf>
    <xf numFmtId="49" fontId="3" fillId="5" borderId="3" xfId="0" applyNumberFormat="1" applyFont="1" applyFill="1" applyBorder="1" applyProtection="1"/>
    <xf numFmtId="49" fontId="3" fillId="5"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horizontal="center" vertical="center"/>
    </xf>
    <xf numFmtId="49" fontId="3" fillId="4" borderId="3" xfId="0" applyNumberFormat="1" applyFont="1" applyFill="1" applyBorder="1" applyAlignment="1" applyProtection="1">
      <alignment horizontal="left" vertical="center" wrapText="1"/>
    </xf>
    <xf numFmtId="49" fontId="3" fillId="4" borderId="3" xfId="0" applyNumberFormat="1" applyFont="1" applyFill="1" applyBorder="1" applyAlignment="1" applyProtection="1">
      <alignment vertical="center" wrapText="1"/>
    </xf>
    <xf numFmtId="49" fontId="7" fillId="0" borderId="3" xfId="0" applyNumberFormat="1" applyFont="1" applyFill="1" applyBorder="1" applyAlignment="1" applyProtection="1">
      <alignment horizontal="center" vertical="top" wrapText="1"/>
    </xf>
    <xf numFmtId="49" fontId="3"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wrapText="1"/>
    </xf>
    <xf numFmtId="49" fontId="3" fillId="0" borderId="3" xfId="0" applyNumberFormat="1" applyFont="1" applyFill="1" applyBorder="1" applyAlignment="1" applyProtection="1">
      <alignment horizontal="center" vertical="top" wrapText="1"/>
    </xf>
    <xf numFmtId="49" fontId="10" fillId="2" borderId="3" xfId="0" applyNumberFormat="1" applyFont="1" applyFill="1" applyBorder="1" applyAlignment="1" applyProtection="1">
      <alignment horizontal="center" vertical="top"/>
    </xf>
    <xf numFmtId="49" fontId="11" fillId="0" borderId="3" xfId="0" applyNumberFormat="1" applyFont="1" applyFill="1" applyBorder="1" applyAlignment="1" applyProtection="1">
      <alignment horizontal="center" vertical="top" wrapText="1"/>
    </xf>
    <xf numFmtId="49" fontId="11" fillId="0" borderId="3" xfId="0" applyNumberFormat="1" applyFont="1" applyFill="1" applyBorder="1" applyAlignment="1" applyProtection="1">
      <alignment horizontal="center" vertical="top"/>
    </xf>
    <xf numFmtId="49" fontId="7" fillId="2" borderId="3" xfId="0" applyNumberFormat="1" applyFont="1" applyFill="1" applyBorder="1" applyAlignment="1" applyProtection="1">
      <alignment horizontal="center" vertical="top" wrapText="1"/>
    </xf>
    <xf numFmtId="49" fontId="3" fillId="2" borderId="3" xfId="0" applyNumberFormat="1" applyFont="1" applyFill="1" applyBorder="1" applyAlignment="1" applyProtection="1">
      <alignment horizontal="center"/>
    </xf>
    <xf numFmtId="49" fontId="3" fillId="2" borderId="3" xfId="0" applyNumberFormat="1" applyFont="1" applyFill="1" applyBorder="1" applyAlignment="1" applyProtection="1">
      <alignment horizontal="center" vertical="center" wrapText="1"/>
    </xf>
    <xf numFmtId="49" fontId="7" fillId="2" borderId="3" xfId="0" applyNumberFormat="1" applyFont="1" applyFill="1" applyBorder="1" applyAlignment="1" applyProtection="1">
      <alignment horizontal="center" vertical="center" wrapText="1"/>
    </xf>
    <xf numFmtId="0" fontId="7" fillId="0" borderId="3" xfId="0" applyNumberFormat="1" applyFont="1" applyFill="1" applyBorder="1" applyAlignment="1" applyProtection="1">
      <alignment horizontal="left" vertical="top" wrapText="1"/>
    </xf>
    <xf numFmtId="0" fontId="3" fillId="2" borderId="3" xfId="0" applyNumberFormat="1" applyFont="1" applyFill="1" applyBorder="1" applyAlignment="1" applyProtection="1">
      <alignment horizontal="left" vertical="top" wrapText="1"/>
    </xf>
    <xf numFmtId="0" fontId="7" fillId="2" borderId="3" xfId="0" applyNumberFormat="1" applyFont="1" applyFill="1" applyBorder="1" applyAlignment="1" applyProtection="1">
      <alignment vertical="top" wrapText="1"/>
    </xf>
    <xf numFmtId="49" fontId="1" fillId="4" borderId="0" xfId="0" applyNumberFormat="1" applyFont="1" applyFill="1" applyProtection="1">
      <protection locked="0"/>
    </xf>
    <xf numFmtId="49" fontId="10" fillId="0" borderId="3" xfId="0" applyNumberFormat="1" applyFont="1" applyBorder="1" applyAlignment="1">
      <alignment horizontal="center" vertical="center"/>
    </xf>
    <xf numFmtId="49" fontId="10" fillId="0" borderId="3" xfId="0" applyNumberFormat="1" applyFont="1" applyBorder="1" applyAlignment="1">
      <alignment vertical="center" wrapText="1"/>
    </xf>
    <xf numFmtId="49" fontId="11" fillId="0" borderId="3"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0" fillId="0" borderId="3" xfId="0" applyNumberFormat="1" applyFont="1" applyBorder="1" applyAlignment="1">
      <alignment horizontal="center" vertical="center" wrapText="1"/>
    </xf>
    <xf numFmtId="0" fontId="0" fillId="4" borderId="0" xfId="0" applyNumberFormat="1" applyFill="1" applyProtection="1">
      <protection locked="0"/>
    </xf>
    <xf numFmtId="49" fontId="10" fillId="3" borderId="3" xfId="0" applyNumberFormat="1" applyFont="1" applyFill="1" applyBorder="1" applyAlignment="1">
      <alignment horizontal="center" vertical="center"/>
    </xf>
    <xf numFmtId="49" fontId="10" fillId="3" borderId="3" xfId="0" applyNumberFormat="1" applyFont="1" applyFill="1" applyBorder="1" applyAlignment="1">
      <alignment vertical="center" wrapText="1"/>
    </xf>
    <xf numFmtId="0" fontId="0" fillId="4" borderId="3" xfId="0" applyNumberFormat="1" applyFill="1" applyBorder="1" applyProtection="1">
      <protection locked="0"/>
    </xf>
    <xf numFmtId="0" fontId="10" fillId="0" borderId="3" xfId="0" applyFont="1" applyBorder="1" applyAlignment="1">
      <alignment vertical="center" wrapText="1"/>
    </xf>
    <xf numFmtId="0" fontId="10" fillId="0" borderId="3" xfId="0" applyFont="1" applyBorder="1" applyAlignment="1">
      <alignment horizontal="center" vertical="center" wrapText="1"/>
    </xf>
    <xf numFmtId="0" fontId="1" fillId="0" borderId="0" xfId="0" applyNumberFormat="1" applyFont="1" applyProtection="1">
      <protection locked="0"/>
    </xf>
    <xf numFmtId="0" fontId="1" fillId="4" borderId="0" xfId="0" applyNumberFormat="1" applyFont="1" applyFill="1" applyProtection="1">
      <protection locked="0"/>
    </xf>
    <xf numFmtId="0" fontId="1" fillId="4" borderId="3" xfId="0" applyNumberFormat="1" applyFont="1" applyFill="1" applyBorder="1" applyProtection="1">
      <protection locked="0"/>
    </xf>
    <xf numFmtId="49" fontId="3" fillId="4" borderId="3" xfId="0" applyNumberFormat="1" applyFont="1" applyFill="1" applyBorder="1" applyAlignment="1" applyProtection="1"/>
    <xf numFmtId="49" fontId="5" fillId="4" borderId="3" xfId="0" applyNumberFormat="1" applyFont="1" applyFill="1" applyBorder="1" applyProtection="1"/>
    <xf numFmtId="0" fontId="3" fillId="0" borderId="3" xfId="0" applyNumberFormat="1" applyFont="1" applyBorder="1" applyProtection="1">
      <protection locked="0"/>
    </xf>
    <xf numFmtId="0" fontId="3" fillId="3" borderId="3" xfId="0" applyNumberFormat="1" applyFont="1" applyFill="1" applyBorder="1" applyProtection="1">
      <protection locked="0"/>
    </xf>
    <xf numFmtId="49" fontId="10" fillId="0" borderId="3" xfId="0" applyNumberFormat="1" applyFont="1" applyBorder="1" applyAlignment="1">
      <alignment horizontal="center" vertical="top"/>
    </xf>
    <xf numFmtId="0" fontId="3" fillId="0" borderId="3" xfId="0" applyNumberFormat="1" applyFont="1" applyBorder="1" applyAlignment="1" applyProtection="1">
      <alignment horizontal="center" vertical="top"/>
      <protection locked="0"/>
    </xf>
    <xf numFmtId="49" fontId="3" fillId="0" borderId="3" xfId="0" applyNumberFormat="1" applyFont="1" applyBorder="1" applyAlignment="1">
      <alignment horizontal="center" vertical="top"/>
    </xf>
    <xf numFmtId="49" fontId="3" fillId="4" borderId="3" xfId="0" applyNumberFormat="1" applyFont="1" applyFill="1" applyBorder="1" applyAlignment="1" applyProtection="1">
      <alignment vertical="top"/>
    </xf>
    <xf numFmtId="49" fontId="0" fillId="4" borderId="3" xfId="0" applyNumberFormat="1" applyFill="1" applyBorder="1" applyAlignment="1" applyProtection="1">
      <alignment vertical="top"/>
      <protection locked="0"/>
    </xf>
    <xf numFmtId="0" fontId="0" fillId="0" borderId="0" xfId="0" applyNumberFormat="1" applyAlignment="1" applyProtection="1">
      <alignment vertical="top"/>
      <protection locked="0"/>
    </xf>
    <xf numFmtId="49" fontId="9" fillId="4" borderId="3" xfId="0" applyNumberFormat="1" applyFont="1" applyFill="1" applyBorder="1" applyProtection="1">
      <protection locked="0"/>
    </xf>
    <xf numFmtId="0" fontId="10" fillId="0" borderId="3" xfId="0" applyFont="1" applyBorder="1" applyAlignment="1">
      <alignment horizontal="justify" vertical="center" wrapText="1"/>
    </xf>
    <xf numFmtId="0" fontId="9" fillId="0" borderId="3" xfId="0" applyNumberFormat="1" applyFont="1" applyBorder="1" applyProtection="1">
      <protection locked="0"/>
    </xf>
    <xf numFmtId="49" fontId="10" fillId="0" borderId="3" xfId="0" applyNumberFormat="1" applyFont="1" applyBorder="1" applyAlignment="1">
      <alignment horizontal="center" vertical="top" wrapText="1"/>
    </xf>
    <xf numFmtId="0" fontId="9" fillId="4" borderId="3" xfId="0" applyNumberFormat="1" applyFont="1" applyFill="1" applyBorder="1" applyProtection="1">
      <protection locked="0"/>
    </xf>
    <xf numFmtId="49" fontId="7" fillId="0" borderId="3" xfId="0" applyNumberFormat="1" applyFont="1" applyFill="1" applyBorder="1" applyAlignment="1" applyProtection="1">
      <alignment horizontal="center" wrapText="1"/>
    </xf>
    <xf numFmtId="0" fontId="3" fillId="0" borderId="3" xfId="0" applyNumberFormat="1" applyFont="1" applyBorder="1" applyAlignment="1" applyProtection="1">
      <alignment wrapText="1"/>
      <protection locked="0"/>
    </xf>
    <xf numFmtId="49" fontId="10" fillId="3" borderId="3" xfId="0" applyNumberFormat="1" applyFont="1" applyFill="1" applyBorder="1" applyAlignment="1">
      <alignment horizontal="center" vertical="top"/>
    </xf>
    <xf numFmtId="0" fontId="10" fillId="3" borderId="3" xfId="0" applyFont="1" applyFill="1" applyBorder="1" applyAlignment="1">
      <alignment vertical="center" wrapText="1"/>
    </xf>
    <xf numFmtId="49" fontId="3" fillId="0" borderId="3" xfId="0" applyNumberFormat="1" applyFont="1" applyFill="1" applyBorder="1" applyAlignment="1" applyProtection="1">
      <alignment horizontal="center"/>
    </xf>
    <xf numFmtId="0" fontId="9" fillId="0" borderId="3" xfId="0" applyNumberFormat="1" applyFont="1" applyBorder="1" applyAlignment="1" applyProtection="1">
      <alignment horizontal="center" vertical="top"/>
      <protection locked="0"/>
    </xf>
    <xf numFmtId="0" fontId="11" fillId="0" borderId="3" xfId="0" applyFont="1" applyBorder="1" applyAlignment="1">
      <alignment horizontal="center" vertical="center" wrapText="1"/>
    </xf>
    <xf numFmtId="0" fontId="11" fillId="0" borderId="3" xfId="0" applyFont="1" applyBorder="1" applyAlignment="1">
      <alignment vertical="center" wrapText="1"/>
    </xf>
    <xf numFmtId="0" fontId="7" fillId="2" borderId="3" xfId="0" applyNumberFormat="1" applyFont="1" applyFill="1" applyBorder="1" applyAlignment="1" applyProtection="1">
      <alignment horizontal="center" vertical="top" wrapText="1"/>
    </xf>
    <xf numFmtId="0" fontId="0" fillId="0" borderId="3" xfId="0" applyNumberFormat="1" applyBorder="1" applyProtection="1">
      <protection locked="0"/>
    </xf>
    <xf numFmtId="49" fontId="17" fillId="0" borderId="3" xfId="0" applyNumberFormat="1" applyFont="1" applyBorder="1" applyAlignment="1">
      <alignment horizontal="center" vertical="center"/>
    </xf>
    <xf numFmtId="49" fontId="17" fillId="0" borderId="3" xfId="0" applyNumberFormat="1" applyFont="1" applyBorder="1" applyAlignment="1">
      <alignment horizontal="center" vertical="top"/>
    </xf>
    <xf numFmtId="3" fontId="3" fillId="0" borderId="3" xfId="0" applyNumberFormat="1" applyFont="1" applyBorder="1" applyProtection="1">
      <protection locked="0"/>
    </xf>
    <xf numFmtId="49" fontId="17" fillId="0" borderId="3" xfId="0" applyNumberFormat="1" applyFont="1" applyBorder="1" applyAlignment="1">
      <alignment horizontal="center" vertical="top" wrapText="1"/>
    </xf>
    <xf numFmtId="3" fontId="3" fillId="2" borderId="3" xfId="0" applyNumberFormat="1" applyFont="1" applyFill="1" applyBorder="1" applyAlignment="1" applyProtection="1">
      <alignment vertical="top" wrapText="1"/>
    </xf>
    <xf numFmtId="164" fontId="3" fillId="0" borderId="3" xfId="0" applyNumberFormat="1" applyFont="1" applyBorder="1" applyProtection="1">
      <protection locked="0"/>
    </xf>
    <xf numFmtId="49" fontId="17" fillId="0" borderId="3" xfId="0" applyNumberFormat="1" applyFont="1" applyBorder="1" applyAlignment="1" applyProtection="1">
      <alignment vertical="center" wrapText="1"/>
      <protection locked="0"/>
    </xf>
    <xf numFmtId="0" fontId="17" fillId="0" borderId="3" xfId="0" applyFont="1" applyBorder="1" applyAlignment="1" applyProtection="1">
      <alignment vertical="center" wrapText="1"/>
      <protection locked="0"/>
    </xf>
    <xf numFmtId="0" fontId="17" fillId="0" borderId="3" xfId="0" applyFont="1" applyBorder="1" applyAlignment="1" applyProtection="1">
      <alignment horizontal="justify" vertical="center" wrapText="1"/>
      <protection locked="0"/>
    </xf>
    <xf numFmtId="3" fontId="18" fillId="0" borderId="3" xfId="0" applyNumberFormat="1" applyFont="1" applyFill="1" applyBorder="1" applyAlignment="1" applyProtection="1">
      <alignment horizontal="right" vertical="top" wrapText="1"/>
      <protection locked="0"/>
    </xf>
    <xf numFmtId="3" fontId="18" fillId="2" borderId="3" xfId="0" applyNumberFormat="1" applyFont="1" applyFill="1" applyBorder="1" applyAlignment="1" applyProtection="1">
      <alignment horizontal="right" vertical="top" wrapText="1"/>
      <protection locked="0"/>
    </xf>
    <xf numFmtId="0" fontId="18" fillId="2" borderId="3" xfId="0" applyNumberFormat="1" applyFont="1" applyFill="1" applyBorder="1" applyAlignment="1" applyProtection="1">
      <alignment vertical="top" wrapText="1"/>
      <protection locked="0"/>
    </xf>
    <xf numFmtId="164" fontId="18" fillId="0" borderId="3" xfId="0" applyNumberFormat="1" applyFont="1" applyFill="1" applyBorder="1" applyAlignment="1" applyProtection="1">
      <alignment horizontal="right" vertical="top" wrapText="1"/>
      <protection locked="0"/>
    </xf>
    <xf numFmtId="49" fontId="10" fillId="0" borderId="3" xfId="0" applyNumberFormat="1" applyFont="1" applyBorder="1" applyAlignment="1" applyProtection="1">
      <alignment horizontal="center" vertical="center"/>
    </xf>
    <xf numFmtId="49" fontId="10" fillId="0" borderId="3" xfId="0" applyNumberFormat="1" applyFont="1" applyBorder="1" applyAlignment="1" applyProtection="1">
      <alignment vertical="center" wrapText="1"/>
    </xf>
    <xf numFmtId="0" fontId="3" fillId="0" borderId="3" xfId="0" applyNumberFormat="1" applyFont="1" applyBorder="1" applyProtection="1"/>
    <xf numFmtId="0" fontId="3" fillId="15" borderId="3" xfId="0" applyNumberFormat="1" applyFont="1" applyFill="1" applyBorder="1" applyAlignment="1" applyProtection="1">
      <alignment vertical="top" wrapText="1"/>
      <protection locked="0"/>
    </xf>
    <xf numFmtId="49" fontId="10" fillId="16" borderId="3" xfId="0" applyNumberFormat="1" applyFont="1" applyFill="1" applyBorder="1" applyAlignment="1">
      <alignment horizontal="center" vertical="top"/>
    </xf>
    <xf numFmtId="0" fontId="10" fillId="16" borderId="3" xfId="0" applyFont="1" applyFill="1" applyBorder="1" applyAlignment="1">
      <alignment vertical="center" wrapText="1"/>
    </xf>
    <xf numFmtId="49" fontId="3" fillId="16" borderId="3" xfId="0" applyNumberFormat="1" applyFont="1" applyFill="1" applyBorder="1" applyAlignment="1" applyProtection="1">
      <alignment vertical="top" wrapText="1"/>
    </xf>
    <xf numFmtId="49" fontId="3" fillId="0" borderId="3" xfId="0" applyNumberFormat="1" applyFont="1" applyBorder="1" applyProtection="1">
      <protection locked="0"/>
    </xf>
  </cellXfs>
  <cellStyles count="262">
    <cellStyle name="Hyperlink" xfId="1" builtinId="8"/>
    <cellStyle name="Normal" xfId="0" builtinId="0"/>
    <cellStyle name="Normal 2" xfId="2" xr:uid="{00000000-0005-0000-0000-000002000000}"/>
    <cellStyle name="Normal 2 10" xfId="3" xr:uid="{00000000-0005-0000-0000-000003000000}"/>
    <cellStyle name="Normal 2 10 10" xfId="4" xr:uid="{00000000-0005-0000-0000-000004000000}"/>
    <cellStyle name="Normal 2 10 11" xfId="5" xr:uid="{00000000-0005-0000-0000-000005000000}"/>
    <cellStyle name="Normal 2 10 12" xfId="6" xr:uid="{00000000-0005-0000-0000-000006000000}"/>
    <cellStyle name="Normal 2 10 13" xfId="7" xr:uid="{00000000-0005-0000-0000-000007000000}"/>
    <cellStyle name="Normal 2 10 14" xfId="8" xr:uid="{00000000-0005-0000-0000-000008000000}"/>
    <cellStyle name="Normal 2 10 15" xfId="9" xr:uid="{00000000-0005-0000-0000-000009000000}"/>
    <cellStyle name="Normal 2 10 16" xfId="10" xr:uid="{00000000-0005-0000-0000-00000A000000}"/>
    <cellStyle name="Normal 2 10 17" xfId="11" xr:uid="{00000000-0005-0000-0000-00000B000000}"/>
    <cellStyle name="Normal 2 10 18" xfId="12" xr:uid="{00000000-0005-0000-0000-00000C000000}"/>
    <cellStyle name="Normal 2 10 19" xfId="13" xr:uid="{00000000-0005-0000-0000-00000D000000}"/>
    <cellStyle name="Normal 2 10 2" xfId="14" xr:uid="{00000000-0005-0000-0000-00000E000000}"/>
    <cellStyle name="Normal 2 10 20" xfId="15" xr:uid="{00000000-0005-0000-0000-00000F000000}"/>
    <cellStyle name="Normal 2 10 21" xfId="16" xr:uid="{00000000-0005-0000-0000-000010000000}"/>
    <cellStyle name="Normal 2 10 22" xfId="17" xr:uid="{00000000-0005-0000-0000-000011000000}"/>
    <cellStyle name="Normal 2 10 23" xfId="18" xr:uid="{00000000-0005-0000-0000-000012000000}"/>
    <cellStyle name="Normal 2 10 24" xfId="19" xr:uid="{00000000-0005-0000-0000-000013000000}"/>
    <cellStyle name="Normal 2 10 25" xfId="20" xr:uid="{00000000-0005-0000-0000-000014000000}"/>
    <cellStyle name="Normal 2 10 26" xfId="21" xr:uid="{00000000-0005-0000-0000-000015000000}"/>
    <cellStyle name="Normal 2 10 27" xfId="22" xr:uid="{00000000-0005-0000-0000-000016000000}"/>
    <cellStyle name="Normal 2 10 28" xfId="23" xr:uid="{00000000-0005-0000-0000-000017000000}"/>
    <cellStyle name="Normal 2 10 3" xfId="24" xr:uid="{00000000-0005-0000-0000-000018000000}"/>
    <cellStyle name="Normal 2 10 4" xfId="25" xr:uid="{00000000-0005-0000-0000-000019000000}"/>
    <cellStyle name="Normal 2 10 5" xfId="26" xr:uid="{00000000-0005-0000-0000-00001A000000}"/>
    <cellStyle name="Normal 2 10 6" xfId="27" xr:uid="{00000000-0005-0000-0000-00001B000000}"/>
    <cellStyle name="Normal 2 10 7" xfId="28" xr:uid="{00000000-0005-0000-0000-00001C000000}"/>
    <cellStyle name="Normal 2 10 8" xfId="29" xr:uid="{00000000-0005-0000-0000-00001D000000}"/>
    <cellStyle name="Normal 2 10 9" xfId="30" xr:uid="{00000000-0005-0000-0000-00001E000000}"/>
    <cellStyle name="Normal 2 11" xfId="31" xr:uid="{00000000-0005-0000-0000-00001F000000}"/>
    <cellStyle name="Normal 2 11 10" xfId="32" xr:uid="{00000000-0005-0000-0000-000020000000}"/>
    <cellStyle name="Normal 2 11 11" xfId="33" xr:uid="{00000000-0005-0000-0000-000021000000}"/>
    <cellStyle name="Normal 2 11 12" xfId="34" xr:uid="{00000000-0005-0000-0000-000022000000}"/>
    <cellStyle name="Normal 2 11 13" xfId="35" xr:uid="{00000000-0005-0000-0000-000023000000}"/>
    <cellStyle name="Normal 2 11 14" xfId="36" xr:uid="{00000000-0005-0000-0000-000024000000}"/>
    <cellStyle name="Normal 2 11 15" xfId="37" xr:uid="{00000000-0005-0000-0000-000025000000}"/>
    <cellStyle name="Normal 2 11 16" xfId="38" xr:uid="{00000000-0005-0000-0000-000026000000}"/>
    <cellStyle name="Normal 2 11 17" xfId="39" xr:uid="{00000000-0005-0000-0000-000027000000}"/>
    <cellStyle name="Normal 2 11 18" xfId="40" xr:uid="{00000000-0005-0000-0000-000028000000}"/>
    <cellStyle name="Normal 2 11 19" xfId="41" xr:uid="{00000000-0005-0000-0000-000029000000}"/>
    <cellStyle name="Normal 2 11 2" xfId="42" xr:uid="{00000000-0005-0000-0000-00002A000000}"/>
    <cellStyle name="Normal 2 11 20" xfId="43" xr:uid="{00000000-0005-0000-0000-00002B000000}"/>
    <cellStyle name="Normal 2 11 21" xfId="44" xr:uid="{00000000-0005-0000-0000-00002C000000}"/>
    <cellStyle name="Normal 2 11 22" xfId="45" xr:uid="{00000000-0005-0000-0000-00002D000000}"/>
    <cellStyle name="Normal 2 11 23" xfId="46" xr:uid="{00000000-0005-0000-0000-00002E000000}"/>
    <cellStyle name="Normal 2 11 24" xfId="47" xr:uid="{00000000-0005-0000-0000-00002F000000}"/>
    <cellStyle name="Normal 2 11 25" xfId="48" xr:uid="{00000000-0005-0000-0000-000030000000}"/>
    <cellStyle name="Normal 2 11 26" xfId="49" xr:uid="{00000000-0005-0000-0000-000031000000}"/>
    <cellStyle name="Normal 2 11 27" xfId="50" xr:uid="{00000000-0005-0000-0000-000032000000}"/>
    <cellStyle name="Normal 2 11 28" xfId="51" xr:uid="{00000000-0005-0000-0000-000033000000}"/>
    <cellStyle name="Normal 2 11 3" xfId="52" xr:uid="{00000000-0005-0000-0000-000034000000}"/>
    <cellStyle name="Normal 2 11 4" xfId="53" xr:uid="{00000000-0005-0000-0000-000035000000}"/>
    <cellStyle name="Normal 2 11 5" xfId="54" xr:uid="{00000000-0005-0000-0000-000036000000}"/>
    <cellStyle name="Normal 2 11 6" xfId="55" xr:uid="{00000000-0005-0000-0000-000037000000}"/>
    <cellStyle name="Normal 2 11 7" xfId="56" xr:uid="{00000000-0005-0000-0000-000038000000}"/>
    <cellStyle name="Normal 2 11 8" xfId="57" xr:uid="{00000000-0005-0000-0000-000039000000}"/>
    <cellStyle name="Normal 2 11 9" xfId="58" xr:uid="{00000000-0005-0000-0000-00003A000000}"/>
    <cellStyle name="Normal 2 12" xfId="59" xr:uid="{00000000-0005-0000-0000-00003B000000}"/>
    <cellStyle name="Normal 2 12 10" xfId="60" xr:uid="{00000000-0005-0000-0000-00003C000000}"/>
    <cellStyle name="Normal 2 12 11" xfId="61" xr:uid="{00000000-0005-0000-0000-00003D000000}"/>
    <cellStyle name="Normal 2 12 12" xfId="62" xr:uid="{00000000-0005-0000-0000-00003E000000}"/>
    <cellStyle name="Normal 2 12 13" xfId="63" xr:uid="{00000000-0005-0000-0000-00003F000000}"/>
    <cellStyle name="Normal 2 12 14" xfId="64" xr:uid="{00000000-0005-0000-0000-000040000000}"/>
    <cellStyle name="Normal 2 12 15" xfId="65" xr:uid="{00000000-0005-0000-0000-000041000000}"/>
    <cellStyle name="Normal 2 12 16" xfId="66" xr:uid="{00000000-0005-0000-0000-000042000000}"/>
    <cellStyle name="Normal 2 12 17" xfId="67" xr:uid="{00000000-0005-0000-0000-000043000000}"/>
    <cellStyle name="Normal 2 12 18" xfId="68" xr:uid="{00000000-0005-0000-0000-000044000000}"/>
    <cellStyle name="Normal 2 12 19" xfId="69" xr:uid="{00000000-0005-0000-0000-000045000000}"/>
    <cellStyle name="Normal 2 12 2" xfId="70" xr:uid="{00000000-0005-0000-0000-000046000000}"/>
    <cellStyle name="Normal 2 12 20" xfId="71" xr:uid="{00000000-0005-0000-0000-000047000000}"/>
    <cellStyle name="Normal 2 12 21" xfId="72" xr:uid="{00000000-0005-0000-0000-000048000000}"/>
    <cellStyle name="Normal 2 12 22" xfId="73" xr:uid="{00000000-0005-0000-0000-000049000000}"/>
    <cellStyle name="Normal 2 12 23" xfId="74" xr:uid="{00000000-0005-0000-0000-00004A000000}"/>
    <cellStyle name="Normal 2 12 24" xfId="75" xr:uid="{00000000-0005-0000-0000-00004B000000}"/>
    <cellStyle name="Normal 2 12 25" xfId="76" xr:uid="{00000000-0005-0000-0000-00004C000000}"/>
    <cellStyle name="Normal 2 12 26" xfId="77" xr:uid="{00000000-0005-0000-0000-00004D000000}"/>
    <cellStyle name="Normal 2 12 27" xfId="78" xr:uid="{00000000-0005-0000-0000-00004E000000}"/>
    <cellStyle name="Normal 2 12 28" xfId="79" xr:uid="{00000000-0005-0000-0000-00004F000000}"/>
    <cellStyle name="Normal 2 12 3" xfId="80" xr:uid="{00000000-0005-0000-0000-000050000000}"/>
    <cellStyle name="Normal 2 12 4" xfId="81" xr:uid="{00000000-0005-0000-0000-000051000000}"/>
    <cellStyle name="Normal 2 12 5" xfId="82" xr:uid="{00000000-0005-0000-0000-000052000000}"/>
    <cellStyle name="Normal 2 12 6" xfId="83" xr:uid="{00000000-0005-0000-0000-000053000000}"/>
    <cellStyle name="Normal 2 12 7" xfId="84" xr:uid="{00000000-0005-0000-0000-000054000000}"/>
    <cellStyle name="Normal 2 12 8" xfId="85" xr:uid="{00000000-0005-0000-0000-000055000000}"/>
    <cellStyle name="Normal 2 12 9" xfId="86" xr:uid="{00000000-0005-0000-0000-000056000000}"/>
    <cellStyle name="Normal 2 13" xfId="87" xr:uid="{00000000-0005-0000-0000-000057000000}"/>
    <cellStyle name="Normal 2 13 10" xfId="88" xr:uid="{00000000-0005-0000-0000-000058000000}"/>
    <cellStyle name="Normal 2 13 11" xfId="89" xr:uid="{00000000-0005-0000-0000-000059000000}"/>
    <cellStyle name="Normal 2 13 12" xfId="90" xr:uid="{00000000-0005-0000-0000-00005A000000}"/>
    <cellStyle name="Normal 2 13 13" xfId="91" xr:uid="{00000000-0005-0000-0000-00005B000000}"/>
    <cellStyle name="Normal 2 13 14" xfId="92" xr:uid="{00000000-0005-0000-0000-00005C000000}"/>
    <cellStyle name="Normal 2 13 15" xfId="93" xr:uid="{00000000-0005-0000-0000-00005D000000}"/>
    <cellStyle name="Normal 2 13 16" xfId="94" xr:uid="{00000000-0005-0000-0000-00005E000000}"/>
    <cellStyle name="Normal 2 13 17" xfId="95" xr:uid="{00000000-0005-0000-0000-00005F000000}"/>
    <cellStyle name="Normal 2 13 18" xfId="96" xr:uid="{00000000-0005-0000-0000-000060000000}"/>
    <cellStyle name="Normal 2 13 19" xfId="97" xr:uid="{00000000-0005-0000-0000-000061000000}"/>
    <cellStyle name="Normal 2 13 2" xfId="98" xr:uid="{00000000-0005-0000-0000-000062000000}"/>
    <cellStyle name="Normal 2 13 20" xfId="99" xr:uid="{00000000-0005-0000-0000-000063000000}"/>
    <cellStyle name="Normal 2 13 21" xfId="100" xr:uid="{00000000-0005-0000-0000-000064000000}"/>
    <cellStyle name="Normal 2 13 22" xfId="101" xr:uid="{00000000-0005-0000-0000-000065000000}"/>
    <cellStyle name="Normal 2 13 23" xfId="102" xr:uid="{00000000-0005-0000-0000-000066000000}"/>
    <cellStyle name="Normal 2 13 24" xfId="103" xr:uid="{00000000-0005-0000-0000-000067000000}"/>
    <cellStyle name="Normal 2 13 25" xfId="104" xr:uid="{00000000-0005-0000-0000-000068000000}"/>
    <cellStyle name="Normal 2 13 26" xfId="105" xr:uid="{00000000-0005-0000-0000-000069000000}"/>
    <cellStyle name="Normal 2 13 27" xfId="106" xr:uid="{00000000-0005-0000-0000-00006A000000}"/>
    <cellStyle name="Normal 2 13 28" xfId="107" xr:uid="{00000000-0005-0000-0000-00006B000000}"/>
    <cellStyle name="Normal 2 13 3" xfId="108" xr:uid="{00000000-0005-0000-0000-00006C000000}"/>
    <cellStyle name="Normal 2 13 4" xfId="109" xr:uid="{00000000-0005-0000-0000-00006D000000}"/>
    <cellStyle name="Normal 2 13 5" xfId="110" xr:uid="{00000000-0005-0000-0000-00006E000000}"/>
    <cellStyle name="Normal 2 13 6" xfId="111" xr:uid="{00000000-0005-0000-0000-00006F000000}"/>
    <cellStyle name="Normal 2 13 7" xfId="112" xr:uid="{00000000-0005-0000-0000-000070000000}"/>
    <cellStyle name="Normal 2 13 8" xfId="113" xr:uid="{00000000-0005-0000-0000-000071000000}"/>
    <cellStyle name="Normal 2 13 9" xfId="114" xr:uid="{00000000-0005-0000-0000-000072000000}"/>
    <cellStyle name="Normal 2 2" xfId="115" xr:uid="{00000000-0005-0000-0000-000073000000}"/>
    <cellStyle name="Normal 2 3" xfId="116" xr:uid="{00000000-0005-0000-0000-000074000000}"/>
    <cellStyle name="Normal 2 4" xfId="117" xr:uid="{00000000-0005-0000-0000-000075000000}"/>
    <cellStyle name="Normal 2 5" xfId="118" xr:uid="{00000000-0005-0000-0000-000076000000}"/>
    <cellStyle name="Normal 2 6" xfId="119" xr:uid="{00000000-0005-0000-0000-000077000000}"/>
    <cellStyle name="Normal 2 7" xfId="120" xr:uid="{00000000-0005-0000-0000-000078000000}"/>
    <cellStyle name="Normal 2 8" xfId="121" xr:uid="{00000000-0005-0000-0000-000079000000}"/>
    <cellStyle name="Normal 2 9" xfId="122" xr:uid="{00000000-0005-0000-0000-00007A000000}"/>
    <cellStyle name="Normal 3" xfId="123" xr:uid="{00000000-0005-0000-0000-00007B000000}"/>
    <cellStyle name="Normal 3 10" xfId="124" xr:uid="{00000000-0005-0000-0000-00007C000000}"/>
    <cellStyle name="Normal 3 11" xfId="125" xr:uid="{00000000-0005-0000-0000-00007D000000}"/>
    <cellStyle name="Normal 3 12" xfId="126" xr:uid="{00000000-0005-0000-0000-00007E000000}"/>
    <cellStyle name="Normal 3 13" xfId="127" xr:uid="{00000000-0005-0000-0000-00007F000000}"/>
    <cellStyle name="Normal 3 14" xfId="128" xr:uid="{00000000-0005-0000-0000-000080000000}"/>
    <cellStyle name="Normal 3 15" xfId="129" xr:uid="{00000000-0005-0000-0000-000081000000}"/>
    <cellStyle name="Normal 3 16" xfId="130" xr:uid="{00000000-0005-0000-0000-000082000000}"/>
    <cellStyle name="Normal 3 17" xfId="131" xr:uid="{00000000-0005-0000-0000-000083000000}"/>
    <cellStyle name="Normal 3 18" xfId="132" xr:uid="{00000000-0005-0000-0000-000084000000}"/>
    <cellStyle name="Normal 3 19" xfId="133" xr:uid="{00000000-0005-0000-0000-000085000000}"/>
    <cellStyle name="Normal 3 2" xfId="134" xr:uid="{00000000-0005-0000-0000-000086000000}"/>
    <cellStyle name="Normal 3 20" xfId="135" xr:uid="{00000000-0005-0000-0000-000087000000}"/>
    <cellStyle name="Normal 3 21" xfId="136" xr:uid="{00000000-0005-0000-0000-000088000000}"/>
    <cellStyle name="Normal 3 22" xfId="137" xr:uid="{00000000-0005-0000-0000-000089000000}"/>
    <cellStyle name="Normal 3 23" xfId="138" xr:uid="{00000000-0005-0000-0000-00008A000000}"/>
    <cellStyle name="Normal 3 24" xfId="139" xr:uid="{00000000-0005-0000-0000-00008B000000}"/>
    <cellStyle name="Normal 3 25" xfId="140" xr:uid="{00000000-0005-0000-0000-00008C000000}"/>
    <cellStyle name="Normal 3 26" xfId="141" xr:uid="{00000000-0005-0000-0000-00008D000000}"/>
    <cellStyle name="Normal 3 27" xfId="142" xr:uid="{00000000-0005-0000-0000-00008E000000}"/>
    <cellStyle name="Normal 3 28" xfId="143" xr:uid="{00000000-0005-0000-0000-00008F000000}"/>
    <cellStyle name="Normal 3 29" xfId="144" xr:uid="{00000000-0005-0000-0000-000090000000}"/>
    <cellStyle name="Normal 3 3" xfId="145" xr:uid="{00000000-0005-0000-0000-000091000000}"/>
    <cellStyle name="Normal 3 30" xfId="146" xr:uid="{00000000-0005-0000-0000-000092000000}"/>
    <cellStyle name="Normal 3 31" xfId="147" xr:uid="{00000000-0005-0000-0000-000093000000}"/>
    <cellStyle name="Normal 3 4" xfId="148" xr:uid="{00000000-0005-0000-0000-000094000000}"/>
    <cellStyle name="Normal 3 5" xfId="149" xr:uid="{00000000-0005-0000-0000-000095000000}"/>
    <cellStyle name="Normal 3 6" xfId="150" xr:uid="{00000000-0005-0000-0000-000096000000}"/>
    <cellStyle name="Normal 3 7" xfId="151" xr:uid="{00000000-0005-0000-0000-000097000000}"/>
    <cellStyle name="Normal 3 8" xfId="152" xr:uid="{00000000-0005-0000-0000-000098000000}"/>
    <cellStyle name="Normal 3 9" xfId="153" xr:uid="{00000000-0005-0000-0000-000099000000}"/>
    <cellStyle name="Normal 4" xfId="154" xr:uid="{00000000-0005-0000-0000-00009A000000}"/>
    <cellStyle name="Normal 4 10" xfId="155" xr:uid="{00000000-0005-0000-0000-00009B000000}"/>
    <cellStyle name="Normal 4 11" xfId="156" xr:uid="{00000000-0005-0000-0000-00009C000000}"/>
    <cellStyle name="Normal 4 12" xfId="157" xr:uid="{00000000-0005-0000-0000-00009D000000}"/>
    <cellStyle name="Normal 4 13" xfId="158" xr:uid="{00000000-0005-0000-0000-00009E000000}"/>
    <cellStyle name="Normal 4 14" xfId="159" xr:uid="{00000000-0005-0000-0000-00009F000000}"/>
    <cellStyle name="Normal 4 15" xfId="160" xr:uid="{00000000-0005-0000-0000-0000A0000000}"/>
    <cellStyle name="Normal 4 16" xfId="161" xr:uid="{00000000-0005-0000-0000-0000A1000000}"/>
    <cellStyle name="Normal 4 17" xfId="162" xr:uid="{00000000-0005-0000-0000-0000A2000000}"/>
    <cellStyle name="Normal 4 18" xfId="163" xr:uid="{00000000-0005-0000-0000-0000A3000000}"/>
    <cellStyle name="Normal 4 19" xfId="164" xr:uid="{00000000-0005-0000-0000-0000A4000000}"/>
    <cellStyle name="Normal 4 2" xfId="165" xr:uid="{00000000-0005-0000-0000-0000A5000000}"/>
    <cellStyle name="Normal 4 20" xfId="166" xr:uid="{00000000-0005-0000-0000-0000A6000000}"/>
    <cellStyle name="Normal 4 21" xfId="167" xr:uid="{00000000-0005-0000-0000-0000A7000000}"/>
    <cellStyle name="Normal 4 22" xfId="168" xr:uid="{00000000-0005-0000-0000-0000A8000000}"/>
    <cellStyle name="Normal 4 23" xfId="169" xr:uid="{00000000-0005-0000-0000-0000A9000000}"/>
    <cellStyle name="Normal 4 24" xfId="170" xr:uid="{00000000-0005-0000-0000-0000AA000000}"/>
    <cellStyle name="Normal 4 25" xfId="171" xr:uid="{00000000-0005-0000-0000-0000AB000000}"/>
    <cellStyle name="Normal 4 26" xfId="172" xr:uid="{00000000-0005-0000-0000-0000AC000000}"/>
    <cellStyle name="Normal 4 27" xfId="173" xr:uid="{00000000-0005-0000-0000-0000AD000000}"/>
    <cellStyle name="Normal 4 28" xfId="174" xr:uid="{00000000-0005-0000-0000-0000AE000000}"/>
    <cellStyle name="Normal 4 29" xfId="175" xr:uid="{00000000-0005-0000-0000-0000AF000000}"/>
    <cellStyle name="Normal 4 3" xfId="176" xr:uid="{00000000-0005-0000-0000-0000B0000000}"/>
    <cellStyle name="Normal 4 30" xfId="177" xr:uid="{00000000-0005-0000-0000-0000B1000000}"/>
    <cellStyle name="Normal 4 31" xfId="178" xr:uid="{00000000-0005-0000-0000-0000B2000000}"/>
    <cellStyle name="Normal 4 4" xfId="179" xr:uid="{00000000-0005-0000-0000-0000B3000000}"/>
    <cellStyle name="Normal 4 5" xfId="180" xr:uid="{00000000-0005-0000-0000-0000B4000000}"/>
    <cellStyle name="Normal 4 6" xfId="181" xr:uid="{00000000-0005-0000-0000-0000B5000000}"/>
    <cellStyle name="Normal 4 7" xfId="182" xr:uid="{00000000-0005-0000-0000-0000B6000000}"/>
    <cellStyle name="Normal 4 8" xfId="183" xr:uid="{00000000-0005-0000-0000-0000B7000000}"/>
    <cellStyle name="Normal 4 9" xfId="184" xr:uid="{00000000-0005-0000-0000-0000B8000000}"/>
    <cellStyle name="Normal 5" xfId="185" xr:uid="{00000000-0005-0000-0000-0000B9000000}"/>
    <cellStyle name="Normal 5 10" xfId="186" xr:uid="{00000000-0005-0000-0000-0000BA000000}"/>
    <cellStyle name="Normal 5 11" xfId="187" xr:uid="{00000000-0005-0000-0000-0000BB000000}"/>
    <cellStyle name="Normal 5 12" xfId="188" xr:uid="{00000000-0005-0000-0000-0000BC000000}"/>
    <cellStyle name="Normal 5 13" xfId="189" xr:uid="{00000000-0005-0000-0000-0000BD000000}"/>
    <cellStyle name="Normal 5 14" xfId="190" xr:uid="{00000000-0005-0000-0000-0000BE000000}"/>
    <cellStyle name="Normal 5 15" xfId="191" xr:uid="{00000000-0005-0000-0000-0000BF000000}"/>
    <cellStyle name="Normal 5 16" xfId="192" xr:uid="{00000000-0005-0000-0000-0000C0000000}"/>
    <cellStyle name="Normal 5 17" xfId="193" xr:uid="{00000000-0005-0000-0000-0000C1000000}"/>
    <cellStyle name="Normal 5 18" xfId="194" xr:uid="{00000000-0005-0000-0000-0000C2000000}"/>
    <cellStyle name="Normal 5 19" xfId="195" xr:uid="{00000000-0005-0000-0000-0000C3000000}"/>
    <cellStyle name="Normal 5 2" xfId="196" xr:uid="{00000000-0005-0000-0000-0000C4000000}"/>
    <cellStyle name="Normal 5 20" xfId="197" xr:uid="{00000000-0005-0000-0000-0000C5000000}"/>
    <cellStyle name="Normal 5 21" xfId="198" xr:uid="{00000000-0005-0000-0000-0000C6000000}"/>
    <cellStyle name="Normal 5 22" xfId="199" xr:uid="{00000000-0005-0000-0000-0000C7000000}"/>
    <cellStyle name="Normal 5 23" xfId="200" xr:uid="{00000000-0005-0000-0000-0000C8000000}"/>
    <cellStyle name="Normal 5 24" xfId="201" xr:uid="{00000000-0005-0000-0000-0000C9000000}"/>
    <cellStyle name="Normal 5 25" xfId="202" xr:uid="{00000000-0005-0000-0000-0000CA000000}"/>
    <cellStyle name="Normal 5 26" xfId="203" xr:uid="{00000000-0005-0000-0000-0000CB000000}"/>
    <cellStyle name="Normal 5 27" xfId="204" xr:uid="{00000000-0005-0000-0000-0000CC000000}"/>
    <cellStyle name="Normal 5 28" xfId="205" xr:uid="{00000000-0005-0000-0000-0000CD000000}"/>
    <cellStyle name="Normal 5 29" xfId="206" xr:uid="{00000000-0005-0000-0000-0000CE000000}"/>
    <cellStyle name="Normal 5 3" xfId="207" xr:uid="{00000000-0005-0000-0000-0000CF000000}"/>
    <cellStyle name="Normal 5 30" xfId="208" xr:uid="{00000000-0005-0000-0000-0000D0000000}"/>
    <cellStyle name="Normal 5 31" xfId="209" xr:uid="{00000000-0005-0000-0000-0000D1000000}"/>
    <cellStyle name="Normal 5 4" xfId="210" xr:uid="{00000000-0005-0000-0000-0000D2000000}"/>
    <cellStyle name="Normal 5 5" xfId="211" xr:uid="{00000000-0005-0000-0000-0000D3000000}"/>
    <cellStyle name="Normal 5 6" xfId="212" xr:uid="{00000000-0005-0000-0000-0000D4000000}"/>
    <cellStyle name="Normal 5 7" xfId="213" xr:uid="{00000000-0005-0000-0000-0000D5000000}"/>
    <cellStyle name="Normal 5 8" xfId="214" xr:uid="{00000000-0005-0000-0000-0000D6000000}"/>
    <cellStyle name="Normal 5 9" xfId="215" xr:uid="{00000000-0005-0000-0000-0000D7000000}"/>
    <cellStyle name="Normal 6" xfId="216" xr:uid="{00000000-0005-0000-0000-0000D8000000}"/>
    <cellStyle name="Normal 6 10" xfId="217" xr:uid="{00000000-0005-0000-0000-0000D9000000}"/>
    <cellStyle name="Normal 6 11" xfId="218" xr:uid="{00000000-0005-0000-0000-0000DA000000}"/>
    <cellStyle name="Normal 6 12" xfId="219" xr:uid="{00000000-0005-0000-0000-0000DB000000}"/>
    <cellStyle name="Normal 6 13" xfId="220" xr:uid="{00000000-0005-0000-0000-0000DC000000}"/>
    <cellStyle name="Normal 6 14" xfId="221" xr:uid="{00000000-0005-0000-0000-0000DD000000}"/>
    <cellStyle name="Normal 6 15" xfId="222" xr:uid="{00000000-0005-0000-0000-0000DE000000}"/>
    <cellStyle name="Normal 6 16" xfId="223" xr:uid="{00000000-0005-0000-0000-0000DF000000}"/>
    <cellStyle name="Normal 6 17" xfId="224" xr:uid="{00000000-0005-0000-0000-0000E0000000}"/>
    <cellStyle name="Normal 6 18" xfId="225" xr:uid="{00000000-0005-0000-0000-0000E1000000}"/>
    <cellStyle name="Normal 6 19" xfId="226" xr:uid="{00000000-0005-0000-0000-0000E2000000}"/>
    <cellStyle name="Normal 6 2" xfId="227" xr:uid="{00000000-0005-0000-0000-0000E3000000}"/>
    <cellStyle name="Normal 6 20" xfId="228" xr:uid="{00000000-0005-0000-0000-0000E4000000}"/>
    <cellStyle name="Normal 6 21" xfId="229" xr:uid="{00000000-0005-0000-0000-0000E5000000}"/>
    <cellStyle name="Normal 6 22" xfId="230" xr:uid="{00000000-0005-0000-0000-0000E6000000}"/>
    <cellStyle name="Normal 6 23" xfId="231" xr:uid="{00000000-0005-0000-0000-0000E7000000}"/>
    <cellStyle name="Normal 6 3" xfId="232" xr:uid="{00000000-0005-0000-0000-0000E8000000}"/>
    <cellStyle name="Normal 6 4" xfId="233" xr:uid="{00000000-0005-0000-0000-0000E9000000}"/>
    <cellStyle name="Normal 6 5" xfId="234" xr:uid="{00000000-0005-0000-0000-0000EA000000}"/>
    <cellStyle name="Normal 6 6" xfId="235" xr:uid="{00000000-0005-0000-0000-0000EB000000}"/>
    <cellStyle name="Normal 6 7" xfId="236" xr:uid="{00000000-0005-0000-0000-0000EC000000}"/>
    <cellStyle name="Normal 6 8" xfId="237" xr:uid="{00000000-0005-0000-0000-0000ED000000}"/>
    <cellStyle name="Normal 6 9" xfId="238" xr:uid="{00000000-0005-0000-0000-0000EE000000}"/>
    <cellStyle name="Normal 7" xfId="239" xr:uid="{00000000-0005-0000-0000-0000EF000000}"/>
    <cellStyle name="Normal 7 10" xfId="240" xr:uid="{00000000-0005-0000-0000-0000F0000000}"/>
    <cellStyle name="Normal 7 11" xfId="241" xr:uid="{00000000-0005-0000-0000-0000F1000000}"/>
    <cellStyle name="Normal 7 12" xfId="242" xr:uid="{00000000-0005-0000-0000-0000F2000000}"/>
    <cellStyle name="Normal 7 13" xfId="243" xr:uid="{00000000-0005-0000-0000-0000F3000000}"/>
    <cellStyle name="Normal 7 14" xfId="244" xr:uid="{00000000-0005-0000-0000-0000F4000000}"/>
    <cellStyle name="Normal 7 15" xfId="245" xr:uid="{00000000-0005-0000-0000-0000F5000000}"/>
    <cellStyle name="Normal 7 16" xfId="246" xr:uid="{00000000-0005-0000-0000-0000F6000000}"/>
    <cellStyle name="Normal 7 17" xfId="247" xr:uid="{00000000-0005-0000-0000-0000F7000000}"/>
    <cellStyle name="Normal 7 18" xfId="248" xr:uid="{00000000-0005-0000-0000-0000F8000000}"/>
    <cellStyle name="Normal 7 19" xfId="249" xr:uid="{00000000-0005-0000-0000-0000F9000000}"/>
    <cellStyle name="Normal 7 2" xfId="250" xr:uid="{00000000-0005-0000-0000-0000FA000000}"/>
    <cellStyle name="Normal 7 20" xfId="251" xr:uid="{00000000-0005-0000-0000-0000FB000000}"/>
    <cellStyle name="Normal 7 21" xfId="252" xr:uid="{00000000-0005-0000-0000-0000FC000000}"/>
    <cellStyle name="Normal 7 22" xfId="253" xr:uid="{00000000-0005-0000-0000-0000FD000000}"/>
    <cellStyle name="Normal 7 23" xfId="254" xr:uid="{00000000-0005-0000-0000-0000FE000000}"/>
    <cellStyle name="Normal 7 3" xfId="255" xr:uid="{00000000-0005-0000-0000-0000FF000000}"/>
    <cellStyle name="Normal 7 4" xfId="256" xr:uid="{00000000-0005-0000-0000-000000010000}"/>
    <cellStyle name="Normal 7 5" xfId="257" xr:uid="{00000000-0005-0000-0000-000001010000}"/>
    <cellStyle name="Normal 7 6" xfId="258" xr:uid="{00000000-0005-0000-0000-000002010000}"/>
    <cellStyle name="Normal 7 7" xfId="259" xr:uid="{00000000-0005-0000-0000-000003010000}"/>
    <cellStyle name="Normal 7 8" xfId="260" xr:uid="{00000000-0005-0000-0000-000004010000}"/>
    <cellStyle name="Normal 7 9" xfId="261" xr:uid="{00000000-0005-0000-0000-000005010000}"/>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twitter.com/dsoft_mx" TargetMode="External"/><Relationship Id="rId7" Type="http://schemas.openxmlformats.org/officeDocument/2006/relationships/hyperlink" Target="http://www.youtube.com/dsoftoficial" TargetMode="External"/><Relationship Id="rId2" Type="http://schemas.openxmlformats.org/officeDocument/2006/relationships/image" Target="../media/image1.jpg"/><Relationship Id="rId1" Type="http://schemas.openxmlformats.org/officeDocument/2006/relationships/hyperlink" Target="http://dsoft.mx/" TargetMode="External"/><Relationship Id="rId6" Type="http://schemas.openxmlformats.org/officeDocument/2006/relationships/image" Target="../media/image3.png"/><Relationship Id="rId5" Type="http://schemas.openxmlformats.org/officeDocument/2006/relationships/hyperlink" Target="https://www.facebook.com/pages/D-Soft/171964449533323"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6</xdr:row>
      <xdr:rowOff>38100</xdr:rowOff>
    </xdr:from>
    <xdr:to>
      <xdr:col>2</xdr:col>
      <xdr:colOff>685800</xdr:colOff>
      <xdr:row>18</xdr:row>
      <xdr:rowOff>123825</xdr:rowOff>
    </xdr:to>
    <xdr:pic>
      <xdr:nvPicPr>
        <xdr:cNvPr id="2" name="1 Imagen">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9625" y="1028700"/>
          <a:ext cx="1400175" cy="2266950"/>
        </a:xfrm>
        <a:prstGeom prst="rect">
          <a:avLst/>
        </a:prstGeom>
      </xdr:spPr>
    </xdr:pic>
    <xdr:clientData/>
  </xdr:twoCellAnchor>
  <xdr:twoCellAnchor editAs="oneCell">
    <xdr:from>
      <xdr:col>3</xdr:col>
      <xdr:colOff>66675</xdr:colOff>
      <xdr:row>12</xdr:row>
      <xdr:rowOff>38100</xdr:rowOff>
    </xdr:from>
    <xdr:to>
      <xdr:col>3</xdr:col>
      <xdr:colOff>571437</xdr:colOff>
      <xdr:row>14</xdr:row>
      <xdr:rowOff>114243</xdr:rowOff>
    </xdr:to>
    <xdr:pic>
      <xdr:nvPicPr>
        <xdr:cNvPr id="3" name="3 Imagen">
          <a:hlinkClick xmlns:r="http://schemas.openxmlformats.org/officeDocument/2006/relationships" r:id="rId3" tooltip="Siguenos en Twitt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2352675" y="2066925"/>
          <a:ext cx="504762" cy="457143"/>
        </a:xfrm>
        <a:prstGeom prst="rect">
          <a:avLst/>
        </a:prstGeom>
      </xdr:spPr>
    </xdr:pic>
    <xdr:clientData/>
  </xdr:twoCellAnchor>
  <xdr:twoCellAnchor editAs="oneCell">
    <xdr:from>
      <xdr:col>3</xdr:col>
      <xdr:colOff>628649</xdr:colOff>
      <xdr:row>12</xdr:row>
      <xdr:rowOff>38100</xdr:rowOff>
    </xdr:from>
    <xdr:to>
      <xdr:col>4</xdr:col>
      <xdr:colOff>200024</xdr:colOff>
      <xdr:row>14</xdr:row>
      <xdr:rowOff>85671</xdr:rowOff>
    </xdr:to>
    <xdr:pic>
      <xdr:nvPicPr>
        <xdr:cNvPr id="4" name="4 Imagen">
          <a:hlinkClick xmlns:r="http://schemas.openxmlformats.org/officeDocument/2006/relationships" r:id="rId5" tooltip="Siguenos en Facebook"/>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a:stretch>
          <a:fillRect/>
        </a:stretch>
      </xdr:blipFill>
      <xdr:spPr>
        <a:xfrm>
          <a:off x="2914649" y="2066925"/>
          <a:ext cx="333375" cy="428571"/>
        </a:xfrm>
        <a:prstGeom prst="rect">
          <a:avLst/>
        </a:prstGeom>
      </xdr:spPr>
    </xdr:pic>
    <xdr:clientData/>
  </xdr:twoCellAnchor>
  <xdr:twoCellAnchor editAs="oneCell">
    <xdr:from>
      <xdr:col>4</xdr:col>
      <xdr:colOff>171450</xdr:colOff>
      <xdr:row>12</xdr:row>
      <xdr:rowOff>38100</xdr:rowOff>
    </xdr:from>
    <xdr:to>
      <xdr:col>4</xdr:col>
      <xdr:colOff>666688</xdr:colOff>
      <xdr:row>14</xdr:row>
      <xdr:rowOff>114243</xdr:rowOff>
    </xdr:to>
    <xdr:pic>
      <xdr:nvPicPr>
        <xdr:cNvPr id="5" name="5 Imagen">
          <a:hlinkClick xmlns:r="http://schemas.openxmlformats.org/officeDocument/2006/relationships" r:id="rId7" tooltip="Siguenos en YouTube"/>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8"/>
        <a:stretch>
          <a:fillRect/>
        </a:stretch>
      </xdr:blipFill>
      <xdr:spPr>
        <a:xfrm>
          <a:off x="3219450" y="2066925"/>
          <a:ext cx="495238" cy="45714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dsoft.mx/soporte/" TargetMode="External"/><Relationship Id="rId2" Type="http://schemas.openxmlformats.org/officeDocument/2006/relationships/hyperlink" Target="mailto:contacto@dsoft.mx" TargetMode="External"/><Relationship Id="rId1" Type="http://schemas.openxmlformats.org/officeDocument/2006/relationships/hyperlink" Target="mailto:ventas@dsoft.mx" TargetMode="External"/><Relationship Id="rId5" Type="http://schemas.openxmlformats.org/officeDocument/2006/relationships/drawing" Target="../drawings/drawing1.xml"/><Relationship Id="rId4" Type="http://schemas.openxmlformats.org/officeDocument/2006/relationships/hyperlink" Target="http://dsoft.mx/category/faq-vedifi-dictool"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H16"/>
  <sheetViews>
    <sheetView showGridLines="0" showRowColHeaders="0" workbookViewId="0"/>
  </sheetViews>
  <sheetFormatPr defaultColWidth="11.44140625" defaultRowHeight="14.4" x14ac:dyDescent="0.3"/>
  <sheetData>
    <row r="2" spans="2:8" x14ac:dyDescent="0.3">
      <c r="B2" s="5" t="s">
        <v>5594</v>
      </c>
      <c r="C2" s="6"/>
      <c r="D2" s="6"/>
      <c r="E2" s="6"/>
      <c r="F2" s="6"/>
      <c r="G2" s="6"/>
      <c r="H2" s="6"/>
    </row>
    <row r="3" spans="2:8" x14ac:dyDescent="0.3">
      <c r="B3" s="5" t="s">
        <v>115</v>
      </c>
      <c r="C3" s="6"/>
      <c r="D3" s="6"/>
      <c r="E3" s="6"/>
      <c r="F3" s="6"/>
      <c r="G3" s="6"/>
      <c r="H3" s="6"/>
    </row>
    <row r="4" spans="2:8" x14ac:dyDescent="0.3">
      <c r="B4" s="5" t="s">
        <v>5595</v>
      </c>
      <c r="C4" s="6"/>
      <c r="D4" s="6"/>
      <c r="E4" s="6"/>
      <c r="F4" s="6"/>
      <c r="G4" s="6"/>
      <c r="H4" s="6"/>
    </row>
    <row r="5" spans="2:8" ht="3" customHeight="1" thickBot="1" x14ac:dyDescent="0.35">
      <c r="B5" s="7"/>
      <c r="C5" s="7"/>
      <c r="D5" s="7"/>
      <c r="E5" s="7"/>
      <c r="F5" s="7"/>
      <c r="G5" s="7"/>
      <c r="H5" s="7"/>
    </row>
    <row r="7" spans="2:8" ht="18" x14ac:dyDescent="0.35">
      <c r="D7" s="8" t="s">
        <v>5179</v>
      </c>
      <c r="G7" s="8" t="s">
        <v>5180</v>
      </c>
    </row>
    <row r="8" spans="2:8" ht="3" customHeight="1" x14ac:dyDescent="0.3">
      <c r="D8" s="9"/>
      <c r="E8" s="9"/>
      <c r="G8" s="9"/>
      <c r="H8" s="9"/>
    </row>
    <row r="9" spans="2:8" x14ac:dyDescent="0.3">
      <c r="D9" s="10" t="s">
        <v>5181</v>
      </c>
      <c r="G9" s="11" t="s">
        <v>5182</v>
      </c>
    </row>
    <row r="10" spans="2:8" x14ac:dyDescent="0.3">
      <c r="D10" s="10" t="s">
        <v>5183</v>
      </c>
      <c r="G10" t="s">
        <v>5184</v>
      </c>
    </row>
    <row r="12" spans="2:8" x14ac:dyDescent="0.3">
      <c r="D12" s="11" t="s">
        <v>5185</v>
      </c>
    </row>
    <row r="14" spans="2:8" x14ac:dyDescent="0.3">
      <c r="G14" s="11" t="s">
        <v>5186</v>
      </c>
    </row>
    <row r="15" spans="2:8" x14ac:dyDescent="0.3">
      <c r="G15" s="10" t="s">
        <v>5187</v>
      </c>
    </row>
    <row r="16" spans="2:8" x14ac:dyDescent="0.3">
      <c r="G16" s="10" t="s">
        <v>5188</v>
      </c>
    </row>
  </sheetData>
  <sheetProtection password="C9D6" sheet="1" objects="1" scenarios="1"/>
  <hyperlinks>
    <hyperlink ref="G15" r:id="rId1" xr:uid="{00000000-0004-0000-0000-000000000000}"/>
    <hyperlink ref="G16" r:id="rId2" xr:uid="{00000000-0004-0000-0000-000001000000}"/>
    <hyperlink ref="D9" r:id="rId3" tooltip="Ingresar a envio de consultas en nuestro sitio web" xr:uid="{00000000-0004-0000-0000-000002000000}"/>
    <hyperlink ref="D10" r:id="rId4" tooltip="Ir a la sección de ayuda en línea de nuestro sitio web"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53CA-31CF-4944-9F76-B246F7182972}">
  <dimension ref="A1"/>
  <sheetViews>
    <sheetView tabSelected="1" workbookViewId="0">
      <selection activeCell="D28" sqref="D28"/>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25"/>
  <sheetViews>
    <sheetView zoomScaleNormal="100" workbookViewId="0"/>
  </sheetViews>
  <sheetFormatPr defaultColWidth="38.109375" defaultRowHeight="13.8" x14ac:dyDescent="0.25"/>
  <cols>
    <col min="1" max="1" width="9.109375" style="1" customWidth="1"/>
    <col min="2" max="2" width="41.109375" style="1" customWidth="1"/>
    <col min="3" max="3" width="80.6640625" style="1" customWidth="1"/>
    <col min="4" max="4" width="1.6640625" style="1" customWidth="1"/>
    <col min="5" max="16384" width="38.109375" style="1"/>
  </cols>
  <sheetData>
    <row r="1" spans="1:4" x14ac:dyDescent="0.25">
      <c r="A1" s="158" t="s">
        <v>5596</v>
      </c>
      <c r="B1" s="158"/>
      <c r="C1" s="158"/>
      <c r="D1" s="14"/>
    </row>
    <row r="2" spans="1:4" x14ac:dyDescent="0.25">
      <c r="A2" s="42" t="s">
        <v>5597</v>
      </c>
      <c r="B2" s="42" t="s">
        <v>5598</v>
      </c>
      <c r="C2" s="42" t="s">
        <v>1</v>
      </c>
      <c r="D2" s="14"/>
    </row>
    <row r="3" spans="1:4" x14ac:dyDescent="0.25">
      <c r="A3" s="17" t="s">
        <v>2</v>
      </c>
      <c r="B3" s="18" t="s">
        <v>3</v>
      </c>
      <c r="C3" s="109" t="s">
        <v>0</v>
      </c>
      <c r="D3" s="14"/>
    </row>
    <row r="4" spans="1:4" ht="20.399999999999999" x14ac:dyDescent="0.25">
      <c r="A4" s="17" t="s">
        <v>4</v>
      </c>
      <c r="B4" s="18" t="s">
        <v>5</v>
      </c>
      <c r="C4" s="109" t="s">
        <v>0</v>
      </c>
      <c r="D4" s="14" t="s">
        <v>0</v>
      </c>
    </row>
    <row r="5" spans="1:4" x14ac:dyDescent="0.25">
      <c r="A5" s="17" t="s">
        <v>6</v>
      </c>
      <c r="B5" s="18" t="s">
        <v>7</v>
      </c>
      <c r="C5" s="109" t="s">
        <v>0</v>
      </c>
      <c r="D5" s="14" t="s">
        <v>0</v>
      </c>
    </row>
    <row r="6" spans="1:4" s="2" customFormat="1" ht="14.4" x14ac:dyDescent="0.3">
      <c r="A6" s="19" t="s">
        <v>8</v>
      </c>
      <c r="B6" s="20" t="s">
        <v>0</v>
      </c>
      <c r="C6" s="18" t="s">
        <v>0</v>
      </c>
      <c r="D6" s="15" t="s">
        <v>0</v>
      </c>
    </row>
    <row r="7" spans="1:4" x14ac:dyDescent="0.25">
      <c r="A7" s="21" t="s">
        <v>9</v>
      </c>
      <c r="B7" s="18" t="s">
        <v>10</v>
      </c>
      <c r="C7" s="18" t="s">
        <v>0</v>
      </c>
      <c r="D7" s="14"/>
    </row>
    <row r="8" spans="1:4" x14ac:dyDescent="0.25">
      <c r="A8" s="17" t="s">
        <v>11</v>
      </c>
      <c r="B8" s="18" t="s">
        <v>12</v>
      </c>
      <c r="C8" s="110"/>
      <c r="D8" s="14"/>
    </row>
    <row r="9" spans="1:4" x14ac:dyDescent="0.25">
      <c r="A9" s="17" t="s">
        <v>13</v>
      </c>
      <c r="B9" s="18" t="s">
        <v>14</v>
      </c>
      <c r="C9" s="104" t="s">
        <v>0</v>
      </c>
      <c r="D9" s="14"/>
    </row>
    <row r="10" spans="1:4" x14ac:dyDescent="0.25">
      <c r="A10" s="17" t="s">
        <v>15</v>
      </c>
      <c r="B10" s="18" t="s">
        <v>16</v>
      </c>
      <c r="C10" s="104" t="s">
        <v>0</v>
      </c>
      <c r="D10" s="14"/>
    </row>
    <row r="11" spans="1:4" x14ac:dyDescent="0.25">
      <c r="A11" s="17" t="s">
        <v>17</v>
      </c>
      <c r="B11" s="18" t="s">
        <v>18</v>
      </c>
      <c r="C11" s="35" t="s">
        <v>0</v>
      </c>
      <c r="D11" s="14"/>
    </row>
    <row r="12" spans="1:4" x14ac:dyDescent="0.25">
      <c r="A12" s="17" t="s">
        <v>19</v>
      </c>
      <c r="B12" s="18" t="s">
        <v>20</v>
      </c>
      <c r="C12" s="104" t="s">
        <v>0</v>
      </c>
      <c r="D12" s="14"/>
    </row>
    <row r="13" spans="1:4" x14ac:dyDescent="0.25">
      <c r="A13" s="17" t="s">
        <v>21</v>
      </c>
      <c r="B13" s="18" t="s">
        <v>22</v>
      </c>
      <c r="C13" s="104" t="s">
        <v>0</v>
      </c>
      <c r="D13" s="14"/>
    </row>
    <row r="14" spans="1:4" x14ac:dyDescent="0.25">
      <c r="A14" s="17" t="s">
        <v>23</v>
      </c>
      <c r="B14" s="18" t="s">
        <v>24</v>
      </c>
      <c r="C14" s="35" t="s">
        <v>0</v>
      </c>
      <c r="D14" s="14"/>
    </row>
    <row r="15" spans="1:4" x14ac:dyDescent="0.25">
      <c r="A15" s="17" t="s">
        <v>25</v>
      </c>
      <c r="B15" s="18" t="s">
        <v>26</v>
      </c>
      <c r="C15" s="24" t="s">
        <v>0</v>
      </c>
      <c r="D15" s="14"/>
    </row>
    <row r="16" spans="1:4" s="2" customFormat="1" ht="14.4" x14ac:dyDescent="0.3">
      <c r="A16" s="19" t="s">
        <v>27</v>
      </c>
      <c r="B16" s="20" t="s">
        <v>0</v>
      </c>
      <c r="C16" s="22" t="s">
        <v>0</v>
      </c>
      <c r="D16" s="15" t="s">
        <v>0</v>
      </c>
    </row>
    <row r="17" spans="1:4" s="2" customFormat="1" ht="20.399999999999999" x14ac:dyDescent="0.3">
      <c r="A17" s="17" t="s">
        <v>28</v>
      </c>
      <c r="B17" s="18" t="s">
        <v>29</v>
      </c>
      <c r="C17" s="23"/>
      <c r="D17" s="15"/>
    </row>
    <row r="18" spans="1:4" s="2" customFormat="1" ht="14.4" x14ac:dyDescent="0.3">
      <c r="A18" s="17" t="s">
        <v>30</v>
      </c>
      <c r="B18" s="18" t="s">
        <v>31</v>
      </c>
      <c r="C18" s="24" t="s">
        <v>0</v>
      </c>
      <c r="D18" s="15"/>
    </row>
    <row r="19" spans="1:4" s="2" customFormat="1" ht="14.4" x14ac:dyDescent="0.3">
      <c r="A19" s="19" t="s">
        <v>32</v>
      </c>
      <c r="B19" s="18" t="s">
        <v>0</v>
      </c>
      <c r="C19" s="22" t="s">
        <v>0</v>
      </c>
      <c r="D19" s="15" t="s">
        <v>0</v>
      </c>
    </row>
    <row r="20" spans="1:4" s="2" customFormat="1" ht="14.4" x14ac:dyDescent="0.3">
      <c r="A20" s="19" t="s">
        <v>33</v>
      </c>
      <c r="B20" s="25" t="s">
        <v>34</v>
      </c>
      <c r="C20" s="22" t="s">
        <v>0</v>
      </c>
      <c r="D20" s="15" t="s">
        <v>0</v>
      </c>
    </row>
    <row r="21" spans="1:4" s="2" customFormat="1" ht="14.4" x14ac:dyDescent="0.3">
      <c r="A21" s="19" t="s">
        <v>35</v>
      </c>
      <c r="B21" s="20" t="s">
        <v>0</v>
      </c>
      <c r="C21" s="22" t="s">
        <v>0</v>
      </c>
      <c r="D21" s="15" t="s">
        <v>0</v>
      </c>
    </row>
    <row r="22" spans="1:4" s="2" customFormat="1" ht="61.2" x14ac:dyDescent="0.3">
      <c r="A22" s="19" t="s">
        <v>36</v>
      </c>
      <c r="B22" s="26" t="s">
        <v>37</v>
      </c>
      <c r="C22" s="22" t="s">
        <v>0</v>
      </c>
      <c r="D22" s="15" t="s">
        <v>0</v>
      </c>
    </row>
    <row r="23" spans="1:4" s="2" customFormat="1" ht="14.4" x14ac:dyDescent="0.3">
      <c r="A23" s="19" t="s">
        <v>38</v>
      </c>
      <c r="B23" s="20" t="s">
        <v>0</v>
      </c>
      <c r="C23" s="22" t="s">
        <v>0</v>
      </c>
      <c r="D23" s="15" t="s">
        <v>0</v>
      </c>
    </row>
    <row r="24" spans="1:4" s="2" customFormat="1" ht="14.4" x14ac:dyDescent="0.3">
      <c r="A24" s="17" t="s">
        <v>39</v>
      </c>
      <c r="B24" s="20" t="s">
        <v>40</v>
      </c>
      <c r="C24" s="106" t="str">
        <f>IF(B_A_PERSONA_PER_NOM&lt;&gt;"",B_A_PERSONA_PER_NOM,"")</f>
        <v/>
      </c>
      <c r="D24" s="15" t="s">
        <v>0</v>
      </c>
    </row>
    <row r="25" spans="1:4" ht="8.1" customHeight="1" x14ac:dyDescent="0.25">
      <c r="A25" s="12" t="s">
        <v>0</v>
      </c>
      <c r="B25" s="143"/>
      <c r="C25" s="13"/>
      <c r="D25" s="14"/>
    </row>
  </sheetData>
  <sheetProtection password="C9D6" sheet="1" objects="1" scenarios="1"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xr:uid="{00000000-0002-0000-0100-000000000000}">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xr:uid="{00000000-0002-0000-0100-000001000000}">
      <formula1>CATALOGCOLUMNFILTERED6</formula1>
    </dataValidation>
    <dataValidation type="list" allowBlank="1" showInputMessage="1" showErrorMessage="1" sqref="C18" xr:uid="{00000000-0002-0000-0100-000002000000}">
      <formula1>INDIRECT(IFERROR(VLOOKUP(B_A_ADRICONTRI_CONTRI_SECTOR,SECTOR_CAT,2,FALSE),""))</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29"/>
  <sheetViews>
    <sheetView workbookViewId="0"/>
  </sheetViews>
  <sheetFormatPr defaultColWidth="11.44140625" defaultRowHeight="13.8" x14ac:dyDescent="0.25"/>
  <cols>
    <col min="1" max="1" width="9.109375" style="1" customWidth="1"/>
    <col min="2" max="2" width="41.109375" style="1" customWidth="1"/>
    <col min="3" max="3" width="80.6640625" style="1" customWidth="1"/>
    <col min="4" max="4" width="1.6640625" style="1" customWidth="1"/>
    <col min="5" max="16384" width="11.44140625" style="1"/>
  </cols>
  <sheetData>
    <row r="1" spans="1:4" x14ac:dyDescent="0.25">
      <c r="A1" s="158" t="s">
        <v>5599</v>
      </c>
      <c r="B1" s="158"/>
      <c r="C1" s="158"/>
      <c r="D1" s="14"/>
    </row>
    <row r="2" spans="1:4" x14ac:dyDescent="0.25">
      <c r="A2" s="42" t="s">
        <v>5597</v>
      </c>
      <c r="B2" s="42" t="s">
        <v>5598</v>
      </c>
      <c r="C2" s="42" t="s">
        <v>1</v>
      </c>
      <c r="D2" s="14"/>
    </row>
    <row r="3" spans="1:4" x14ac:dyDescent="0.25">
      <c r="A3" s="17" t="s">
        <v>41</v>
      </c>
      <c r="B3" s="27" t="s">
        <v>3</v>
      </c>
      <c r="C3" s="109" t="s">
        <v>0</v>
      </c>
      <c r="D3" s="14"/>
    </row>
    <row r="4" spans="1:4" ht="20.399999999999999" x14ac:dyDescent="0.25">
      <c r="A4" s="17" t="s">
        <v>42</v>
      </c>
      <c r="B4" s="18" t="s">
        <v>43</v>
      </c>
      <c r="C4" s="81" t="s">
        <v>0</v>
      </c>
      <c r="D4" s="14"/>
    </row>
    <row r="5" spans="1:4" x14ac:dyDescent="0.25">
      <c r="A5" s="17" t="s">
        <v>44</v>
      </c>
      <c r="B5" s="27" t="s">
        <v>7</v>
      </c>
      <c r="C5" s="109" t="s">
        <v>0</v>
      </c>
      <c r="D5" s="14"/>
    </row>
    <row r="6" spans="1:4" x14ac:dyDescent="0.25">
      <c r="A6" s="17" t="s">
        <v>45</v>
      </c>
      <c r="B6" s="27" t="s">
        <v>46</v>
      </c>
      <c r="C6" s="30" t="s">
        <v>0</v>
      </c>
      <c r="D6" s="14"/>
    </row>
    <row r="7" spans="1:4" s="2" customFormat="1" ht="14.4" x14ac:dyDescent="0.3">
      <c r="A7" s="19" t="s">
        <v>47</v>
      </c>
      <c r="B7" s="28" t="s">
        <v>0</v>
      </c>
      <c r="C7" s="18" t="s">
        <v>0</v>
      </c>
      <c r="D7" s="15" t="s">
        <v>0</v>
      </c>
    </row>
    <row r="8" spans="1:4" x14ac:dyDescent="0.25">
      <c r="A8" s="21" t="s">
        <v>48</v>
      </c>
      <c r="B8" s="27" t="s">
        <v>10</v>
      </c>
      <c r="C8" s="18" t="s">
        <v>0</v>
      </c>
      <c r="D8" s="14"/>
    </row>
    <row r="9" spans="1:4" x14ac:dyDescent="0.25">
      <c r="A9" s="17" t="s">
        <v>49</v>
      </c>
      <c r="B9" s="27" t="s">
        <v>12</v>
      </c>
      <c r="C9" s="110"/>
      <c r="D9" s="14"/>
    </row>
    <row r="10" spans="1:4" x14ac:dyDescent="0.25">
      <c r="A10" s="17" t="s">
        <v>50</v>
      </c>
      <c r="B10" s="27" t="s">
        <v>14</v>
      </c>
      <c r="C10" s="109" t="s">
        <v>0</v>
      </c>
      <c r="D10" s="14"/>
    </row>
    <row r="11" spans="1:4" x14ac:dyDescent="0.25">
      <c r="A11" s="17" t="s">
        <v>51</v>
      </c>
      <c r="B11" s="27" t="s">
        <v>16</v>
      </c>
      <c r="C11" s="109" t="s">
        <v>0</v>
      </c>
      <c r="D11" s="14"/>
    </row>
    <row r="12" spans="1:4" x14ac:dyDescent="0.25">
      <c r="A12" s="17" t="s">
        <v>52</v>
      </c>
      <c r="B12" s="27" t="s">
        <v>18</v>
      </c>
      <c r="C12" s="30" t="s">
        <v>0</v>
      </c>
      <c r="D12" s="14"/>
    </row>
    <row r="13" spans="1:4" x14ac:dyDescent="0.25">
      <c r="A13" s="17" t="s">
        <v>53</v>
      </c>
      <c r="B13" s="27" t="s">
        <v>20</v>
      </c>
      <c r="C13" s="109" t="s">
        <v>0</v>
      </c>
      <c r="D13" s="14"/>
    </row>
    <row r="14" spans="1:4" x14ac:dyDescent="0.25">
      <c r="A14" s="17" t="s">
        <v>54</v>
      </c>
      <c r="B14" s="27" t="s">
        <v>22</v>
      </c>
      <c r="C14" s="109" t="s">
        <v>0</v>
      </c>
      <c r="D14" s="14"/>
    </row>
    <row r="15" spans="1:4" x14ac:dyDescent="0.25">
      <c r="A15" s="17" t="s">
        <v>55</v>
      </c>
      <c r="B15" s="28" t="s">
        <v>56</v>
      </c>
      <c r="C15" s="30" t="s">
        <v>0</v>
      </c>
      <c r="D15" s="14"/>
    </row>
    <row r="16" spans="1:4" x14ac:dyDescent="0.25">
      <c r="A16" s="17" t="s">
        <v>57</v>
      </c>
      <c r="B16" s="27" t="s">
        <v>26</v>
      </c>
      <c r="C16" s="109" t="s">
        <v>0</v>
      </c>
      <c r="D16" s="14"/>
    </row>
    <row r="17" spans="1:4" s="2" customFormat="1" ht="14.4" x14ac:dyDescent="0.3">
      <c r="A17" s="17" t="s">
        <v>58</v>
      </c>
      <c r="B17" s="28" t="s">
        <v>59</v>
      </c>
      <c r="C17" s="81" t="s">
        <v>0</v>
      </c>
      <c r="D17" s="15" t="s">
        <v>0</v>
      </c>
    </row>
    <row r="18" spans="1:4" x14ac:dyDescent="0.25">
      <c r="A18" s="17" t="s">
        <v>60</v>
      </c>
      <c r="B18" s="27" t="s">
        <v>61</v>
      </c>
      <c r="C18" s="109" t="s">
        <v>0</v>
      </c>
      <c r="D18" s="14"/>
    </row>
    <row r="19" spans="1:4" s="2" customFormat="1" ht="14.4" x14ac:dyDescent="0.3">
      <c r="A19" s="19" t="s">
        <v>62</v>
      </c>
      <c r="B19" s="28" t="s">
        <v>0</v>
      </c>
      <c r="C19" s="18" t="s">
        <v>0</v>
      </c>
      <c r="D19" s="15" t="s">
        <v>0</v>
      </c>
    </row>
    <row r="20" spans="1:4" x14ac:dyDescent="0.25">
      <c r="A20" s="17" t="s">
        <v>63</v>
      </c>
      <c r="B20" s="27" t="s">
        <v>64</v>
      </c>
      <c r="C20" s="109" t="s">
        <v>0</v>
      </c>
      <c r="D20" s="14"/>
    </row>
    <row r="21" spans="1:4" x14ac:dyDescent="0.25">
      <c r="A21" s="17" t="s">
        <v>65</v>
      </c>
      <c r="B21" s="27" t="s">
        <v>66</v>
      </c>
      <c r="C21" s="81" t="s">
        <v>0</v>
      </c>
      <c r="D21" s="14"/>
    </row>
    <row r="22" spans="1:4" x14ac:dyDescent="0.25">
      <c r="A22" s="17" t="s">
        <v>67</v>
      </c>
      <c r="B22" s="27" t="s">
        <v>68</v>
      </c>
      <c r="C22" s="30" t="s">
        <v>0</v>
      </c>
      <c r="D22" s="14"/>
    </row>
    <row r="23" spans="1:4" s="2" customFormat="1" ht="14.4" x14ac:dyDescent="0.3">
      <c r="A23" s="19" t="s">
        <v>69</v>
      </c>
      <c r="B23" s="27" t="s">
        <v>0</v>
      </c>
      <c r="C23" s="18" t="s">
        <v>0</v>
      </c>
      <c r="D23" s="15" t="s">
        <v>0</v>
      </c>
    </row>
    <row r="24" spans="1:4" s="2" customFormat="1" ht="20.399999999999999" x14ac:dyDescent="0.3">
      <c r="A24" s="19" t="s">
        <v>70</v>
      </c>
      <c r="B24" s="25" t="s">
        <v>71</v>
      </c>
      <c r="C24" s="18" t="s">
        <v>0</v>
      </c>
      <c r="D24" s="15" t="s">
        <v>0</v>
      </c>
    </row>
    <row r="25" spans="1:4" s="2" customFormat="1" ht="14.4" x14ac:dyDescent="0.3">
      <c r="A25" s="19" t="s">
        <v>72</v>
      </c>
      <c r="B25" s="28" t="s">
        <v>0</v>
      </c>
      <c r="C25" s="18" t="s">
        <v>0</v>
      </c>
      <c r="D25" s="15" t="s">
        <v>0</v>
      </c>
    </row>
    <row r="26" spans="1:4" s="2" customFormat="1" ht="81.599999999999994" x14ac:dyDescent="0.3">
      <c r="A26" s="19" t="s">
        <v>73</v>
      </c>
      <c r="B26" s="26" t="s">
        <v>74</v>
      </c>
      <c r="C26" s="18" t="s">
        <v>0</v>
      </c>
      <c r="D26" s="15" t="s">
        <v>0</v>
      </c>
    </row>
    <row r="27" spans="1:4" s="2" customFormat="1" ht="14.4" x14ac:dyDescent="0.3">
      <c r="A27" s="19" t="s">
        <v>75</v>
      </c>
      <c r="B27" s="28" t="s">
        <v>0</v>
      </c>
      <c r="C27" s="18" t="s">
        <v>0</v>
      </c>
      <c r="D27" s="15" t="s">
        <v>0</v>
      </c>
    </row>
    <row r="28" spans="1:4" s="2" customFormat="1" ht="14.4" x14ac:dyDescent="0.3">
      <c r="A28" s="17" t="s">
        <v>76</v>
      </c>
      <c r="B28" s="28" t="s">
        <v>77</v>
      </c>
      <c r="C28" s="108" t="str">
        <f>IF(B_B_PERSONA_PER_NOM&lt;&gt;"",B_B_PERSONA_PER_NOM,"")</f>
        <v/>
      </c>
      <c r="D28" s="15" t="s">
        <v>0</v>
      </c>
    </row>
    <row r="29" spans="1:4" ht="8.1" customHeight="1" x14ac:dyDescent="0.25">
      <c r="A29" s="12" t="s">
        <v>0</v>
      </c>
      <c r="B29" s="143"/>
      <c r="C29" s="13"/>
      <c r="D29" s="14"/>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C9" xr:uid="{00000000-0002-0000-0200-000000000000}">
      <formula1>CATALOGCOLUMNFILTERED6</formula1>
    </dataValidation>
  </dataValidations>
  <pageMargins left="0.7" right="0.7" top="0.75" bottom="0.75" header="0.3" footer="0.3"/>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30"/>
  <sheetViews>
    <sheetView workbookViewId="0"/>
  </sheetViews>
  <sheetFormatPr defaultColWidth="11.44140625" defaultRowHeight="14.4" x14ac:dyDescent="0.3"/>
  <cols>
    <col min="1" max="1" width="9.109375" style="2" customWidth="1"/>
    <col min="2" max="2" width="41.109375" style="2" customWidth="1"/>
    <col min="3" max="3" width="80.6640625" style="2" customWidth="1"/>
    <col min="4" max="4" width="1.6640625" style="2" customWidth="1"/>
    <col min="5" max="16384" width="11.44140625" style="2"/>
  </cols>
  <sheetData>
    <row r="1" spans="1:4" x14ac:dyDescent="0.3">
      <c r="A1" s="158" t="s">
        <v>5600</v>
      </c>
      <c r="B1" s="158"/>
      <c r="C1" s="158"/>
      <c r="D1" s="16"/>
    </row>
    <row r="2" spans="1:4" x14ac:dyDescent="0.3">
      <c r="A2" s="42" t="s">
        <v>5597</v>
      </c>
      <c r="B2" s="42" t="s">
        <v>5598</v>
      </c>
      <c r="C2" s="42" t="s">
        <v>1</v>
      </c>
      <c r="D2" s="16"/>
    </row>
    <row r="3" spans="1:4" x14ac:dyDescent="0.3">
      <c r="A3" s="17" t="s">
        <v>78</v>
      </c>
      <c r="B3" s="27" t="s">
        <v>3</v>
      </c>
      <c r="C3" s="109" t="s">
        <v>0</v>
      </c>
      <c r="D3" s="16"/>
    </row>
    <row r="4" spans="1:4" ht="20.399999999999999" x14ac:dyDescent="0.3">
      <c r="A4" s="17" t="s">
        <v>79</v>
      </c>
      <c r="B4" s="18" t="s">
        <v>43</v>
      </c>
      <c r="C4" s="109" t="s">
        <v>0</v>
      </c>
      <c r="D4" s="16"/>
    </row>
    <row r="5" spans="1:4" x14ac:dyDescent="0.3">
      <c r="A5" s="17" t="s">
        <v>80</v>
      </c>
      <c r="B5" s="27" t="s">
        <v>81</v>
      </c>
      <c r="C5" s="110"/>
      <c r="D5" s="16"/>
    </row>
    <row r="6" spans="1:4" x14ac:dyDescent="0.3">
      <c r="A6" s="17" t="s">
        <v>82</v>
      </c>
      <c r="B6" s="27" t="s">
        <v>83</v>
      </c>
      <c r="C6" s="105" t="str">
        <f>IF(B_C_PERSONA_PER_RES&lt;&gt;"",IF(B_C_PERSONA_PER_RES="SI","NO","SI"),"")</f>
        <v/>
      </c>
      <c r="D6" s="16"/>
    </row>
    <row r="7" spans="1:4" x14ac:dyDescent="0.3">
      <c r="A7" s="17" t="s">
        <v>84</v>
      </c>
      <c r="B7" s="27" t="s">
        <v>7</v>
      </c>
      <c r="C7" s="109" t="s">
        <v>0</v>
      </c>
      <c r="D7" s="16"/>
    </row>
    <row r="8" spans="1:4" x14ac:dyDescent="0.3">
      <c r="A8" s="19" t="s">
        <v>85</v>
      </c>
      <c r="B8" s="28" t="s">
        <v>0</v>
      </c>
      <c r="C8" s="18" t="s">
        <v>0</v>
      </c>
      <c r="D8" s="3" t="s">
        <v>0</v>
      </c>
    </row>
    <row r="9" spans="1:4" x14ac:dyDescent="0.3">
      <c r="A9" s="21" t="s">
        <v>86</v>
      </c>
      <c r="B9" s="27" t="s">
        <v>10</v>
      </c>
      <c r="C9" s="18" t="s">
        <v>0</v>
      </c>
      <c r="D9" s="16"/>
    </row>
    <row r="10" spans="1:4" x14ac:dyDescent="0.3">
      <c r="A10" s="17" t="s">
        <v>87</v>
      </c>
      <c r="B10" s="27" t="s">
        <v>12</v>
      </c>
      <c r="C10" s="110"/>
      <c r="D10" s="16"/>
    </row>
    <row r="11" spans="1:4" x14ac:dyDescent="0.3">
      <c r="A11" s="17" t="s">
        <v>88</v>
      </c>
      <c r="B11" s="27" t="s">
        <v>14</v>
      </c>
      <c r="C11" s="109" t="s">
        <v>0</v>
      </c>
      <c r="D11" s="16"/>
    </row>
    <row r="12" spans="1:4" x14ac:dyDescent="0.3">
      <c r="A12" s="17" t="s">
        <v>89</v>
      </c>
      <c r="B12" s="27" t="s">
        <v>16</v>
      </c>
      <c r="C12" s="109" t="s">
        <v>0</v>
      </c>
      <c r="D12" s="16"/>
    </row>
    <row r="13" spans="1:4" x14ac:dyDescent="0.3">
      <c r="A13" s="17" t="s">
        <v>90</v>
      </c>
      <c r="B13" s="27" t="s">
        <v>18</v>
      </c>
      <c r="C13" s="30" t="s">
        <v>0</v>
      </c>
      <c r="D13" s="16"/>
    </row>
    <row r="14" spans="1:4" x14ac:dyDescent="0.3">
      <c r="A14" s="17" t="s">
        <v>91</v>
      </c>
      <c r="B14" s="27" t="s">
        <v>20</v>
      </c>
      <c r="C14" s="109" t="s">
        <v>0</v>
      </c>
      <c r="D14" s="16"/>
    </row>
    <row r="15" spans="1:4" x14ac:dyDescent="0.3">
      <c r="A15" s="17" t="s">
        <v>92</v>
      </c>
      <c r="B15" s="27" t="s">
        <v>22</v>
      </c>
      <c r="C15" s="109" t="s">
        <v>0</v>
      </c>
      <c r="D15" s="16"/>
    </row>
    <row r="16" spans="1:4" x14ac:dyDescent="0.3">
      <c r="A16" s="17" t="s">
        <v>93</v>
      </c>
      <c r="B16" s="27" t="s">
        <v>24</v>
      </c>
      <c r="C16" s="30" t="s">
        <v>0</v>
      </c>
      <c r="D16" s="16"/>
    </row>
    <row r="17" spans="1:4" x14ac:dyDescent="0.3">
      <c r="A17" s="17" t="s">
        <v>94</v>
      </c>
      <c r="B17" s="27" t="s">
        <v>26</v>
      </c>
      <c r="C17" s="109" t="s">
        <v>0</v>
      </c>
      <c r="D17" s="16"/>
    </row>
    <row r="18" spans="1:4" x14ac:dyDescent="0.3">
      <c r="A18" s="19" t="s">
        <v>95</v>
      </c>
      <c r="B18" s="28" t="s">
        <v>0</v>
      </c>
      <c r="C18" s="18" t="s">
        <v>0</v>
      </c>
      <c r="D18" s="3" t="s">
        <v>0</v>
      </c>
    </row>
    <row r="19" spans="1:4" x14ac:dyDescent="0.3">
      <c r="A19" s="17" t="s">
        <v>96</v>
      </c>
      <c r="B19" s="27" t="s">
        <v>97</v>
      </c>
      <c r="C19" s="109" t="s">
        <v>0</v>
      </c>
      <c r="D19" s="16"/>
    </row>
    <row r="20" spans="1:4" x14ac:dyDescent="0.3">
      <c r="A20" s="17" t="s">
        <v>98</v>
      </c>
      <c r="B20" s="27" t="s">
        <v>99</v>
      </c>
      <c r="C20" s="109" t="s">
        <v>0</v>
      </c>
      <c r="D20" s="16"/>
    </row>
    <row r="21" spans="1:4" x14ac:dyDescent="0.3">
      <c r="A21" s="17" t="s">
        <v>100</v>
      </c>
      <c r="B21" s="27" t="s">
        <v>101</v>
      </c>
      <c r="C21" s="110"/>
      <c r="D21" s="16"/>
    </row>
    <row r="22" spans="1:4" x14ac:dyDescent="0.3">
      <c r="A22" s="17" t="s">
        <v>102</v>
      </c>
      <c r="B22" s="27" t="s">
        <v>103</v>
      </c>
      <c r="C22" s="109" t="s">
        <v>0</v>
      </c>
      <c r="D22" s="16"/>
    </row>
    <row r="23" spans="1:4" x14ac:dyDescent="0.3">
      <c r="A23" s="17" t="s">
        <v>104</v>
      </c>
      <c r="B23" s="27" t="s">
        <v>105</v>
      </c>
      <c r="C23" s="109" t="s">
        <v>0</v>
      </c>
      <c r="D23" s="16"/>
    </row>
    <row r="24" spans="1:4" x14ac:dyDescent="0.3">
      <c r="A24" s="19" t="s">
        <v>106</v>
      </c>
      <c r="B24" s="27" t="s">
        <v>0</v>
      </c>
      <c r="C24" s="18" t="s">
        <v>0</v>
      </c>
      <c r="D24" s="3" t="s">
        <v>0</v>
      </c>
    </row>
    <row r="25" spans="1:4" x14ac:dyDescent="0.3">
      <c r="A25" s="19" t="s">
        <v>107</v>
      </c>
      <c r="B25" s="31" t="s">
        <v>108</v>
      </c>
      <c r="C25" s="18" t="s">
        <v>0</v>
      </c>
      <c r="D25" s="3" t="s">
        <v>0</v>
      </c>
    </row>
    <row r="26" spans="1:4" x14ac:dyDescent="0.3">
      <c r="A26" s="19" t="s">
        <v>109</v>
      </c>
      <c r="B26" s="28" t="s">
        <v>0</v>
      </c>
      <c r="C26" s="18" t="s">
        <v>0</v>
      </c>
      <c r="D26" s="3" t="s">
        <v>0</v>
      </c>
    </row>
    <row r="27" spans="1:4" ht="61.2" x14ac:dyDescent="0.3">
      <c r="A27" s="19" t="s">
        <v>110</v>
      </c>
      <c r="B27" s="26" t="s">
        <v>111</v>
      </c>
      <c r="C27" s="18" t="s">
        <v>0</v>
      </c>
      <c r="D27" s="3" t="s">
        <v>0</v>
      </c>
    </row>
    <row r="28" spans="1:4" x14ac:dyDescent="0.3">
      <c r="A28" s="19" t="s">
        <v>112</v>
      </c>
      <c r="B28" s="28" t="s">
        <v>0</v>
      </c>
      <c r="C28" s="18" t="s">
        <v>0</v>
      </c>
      <c r="D28" s="3" t="s">
        <v>0</v>
      </c>
    </row>
    <row r="29" spans="1:4" x14ac:dyDescent="0.3">
      <c r="A29" s="17" t="s">
        <v>113</v>
      </c>
      <c r="B29" s="28" t="s">
        <v>114</v>
      </c>
      <c r="C29" s="108" t="str">
        <f>IF(B_C_PERSONA_PER_NOM&lt;&gt;"",B_C_PERSONA_PER_NOM,"")</f>
        <v/>
      </c>
      <c r="D29" s="3" t="s">
        <v>0</v>
      </c>
    </row>
    <row r="30" spans="1:4" ht="8.1" customHeight="1" x14ac:dyDescent="0.3">
      <c r="A30" s="12" t="s">
        <v>0</v>
      </c>
      <c r="B30" s="37"/>
      <c r="C30" s="13"/>
      <c r="D30" s="16"/>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xr:uid="{00000000-0002-0000-0300-000000000000}">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xr:uid="{00000000-0002-0000-0300-000001000000}">
      <formula1>CATALOGCOLUMNFILTERED7</formula1>
    </dataValidation>
  </dataValidation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Y440"/>
  <sheetViews>
    <sheetView zoomScaleNormal="100" workbookViewId="0"/>
  </sheetViews>
  <sheetFormatPr defaultColWidth="27.33203125" defaultRowHeight="13.8" x14ac:dyDescent="0.25"/>
  <cols>
    <col min="1" max="1" width="10.5546875" style="155" customWidth="1"/>
    <col min="2" max="2" width="51.88671875" style="155" customWidth="1"/>
    <col min="3" max="3" width="50.88671875" style="155" customWidth="1"/>
    <col min="4" max="4" width="1.6640625" style="155" customWidth="1"/>
    <col min="5" max="16384" width="27.33203125" style="155"/>
  </cols>
  <sheetData>
    <row r="1" spans="1:25" x14ac:dyDescent="0.25">
      <c r="A1" s="158" t="s">
        <v>5601</v>
      </c>
      <c r="B1" s="158"/>
      <c r="C1" s="158"/>
      <c r="D1" s="143"/>
      <c r="X1" s="155">
        <f>IF(C3&lt;&gt;"",IF(C3="1 - ADMINISTRACION GENERAL DE GRANDES CONTRIBUYENTES",1,IF(C3="2 - ADMINISTRACION DESCONCENTRADA DE AUDITORIA FISCAL",2,IF(C3="3 - ADMINISTRACION GENERAL DE HIDROCARBUROS",3,3))),0)</f>
        <v>0</v>
      </c>
      <c r="Y1" s="155">
        <f>IF(C34&lt;&gt;0,MATCH(C34,CATALOGCOLUMNFILTERED16,),0)</f>
        <v>0</v>
      </c>
    </row>
    <row r="2" spans="1:25" x14ac:dyDescent="0.25">
      <c r="A2" s="42" t="s">
        <v>5597</v>
      </c>
      <c r="B2" s="159" t="s">
        <v>5598</v>
      </c>
      <c r="C2" s="42" t="s">
        <v>1</v>
      </c>
      <c r="D2" s="143"/>
    </row>
    <row r="3" spans="1:25" x14ac:dyDescent="0.25">
      <c r="A3" s="144" t="s">
        <v>116</v>
      </c>
      <c r="B3" s="145" t="s">
        <v>117</v>
      </c>
      <c r="C3" s="111"/>
      <c r="D3" s="143"/>
    </row>
    <row r="4" spans="1:25" x14ac:dyDescent="0.25">
      <c r="A4" s="144"/>
      <c r="B4" s="145"/>
      <c r="C4" s="32" t="s">
        <v>0</v>
      </c>
      <c r="D4" s="143" t="s">
        <v>0</v>
      </c>
    </row>
    <row r="5" spans="1:25" x14ac:dyDescent="0.25">
      <c r="A5" s="144" t="s">
        <v>118</v>
      </c>
      <c r="B5" s="145" t="s">
        <v>119</v>
      </c>
      <c r="C5" s="114"/>
      <c r="D5" s="143" t="s">
        <v>0</v>
      </c>
    </row>
    <row r="6" spans="1:25" x14ac:dyDescent="0.25">
      <c r="A6" s="144"/>
      <c r="B6" s="145"/>
      <c r="C6" s="32" t="s">
        <v>0</v>
      </c>
      <c r="D6" s="143"/>
    </row>
    <row r="7" spans="1:25" x14ac:dyDescent="0.25">
      <c r="A7" s="144" t="s">
        <v>120</v>
      </c>
      <c r="B7" s="145" t="s">
        <v>121</v>
      </c>
      <c r="C7" s="114"/>
      <c r="D7" s="143"/>
    </row>
    <row r="8" spans="1:25" x14ac:dyDescent="0.25">
      <c r="A8" s="144"/>
      <c r="B8" s="145"/>
      <c r="C8" s="32" t="s">
        <v>0</v>
      </c>
      <c r="D8" s="143"/>
    </row>
    <row r="9" spans="1:25" ht="20.399999999999999" x14ac:dyDescent="0.25">
      <c r="A9" s="144" t="s">
        <v>122</v>
      </c>
      <c r="B9" s="145" t="s">
        <v>5305</v>
      </c>
      <c r="C9" s="112"/>
      <c r="D9" s="143"/>
    </row>
    <row r="10" spans="1:25" ht="20.399999999999999" x14ac:dyDescent="0.25">
      <c r="A10" s="144" t="s">
        <v>123</v>
      </c>
      <c r="B10" s="145" t="s">
        <v>5306</v>
      </c>
      <c r="C10" s="112"/>
      <c r="D10" s="143" t="s">
        <v>0</v>
      </c>
    </row>
    <row r="11" spans="1:25" ht="20.399999999999999" x14ac:dyDescent="0.25">
      <c r="A11" s="144" t="s">
        <v>124</v>
      </c>
      <c r="B11" s="145" t="s">
        <v>5307</v>
      </c>
      <c r="C11" s="112"/>
      <c r="D11" s="143" t="s">
        <v>0</v>
      </c>
    </row>
    <row r="12" spans="1:25" x14ac:dyDescent="0.25">
      <c r="A12" s="144"/>
      <c r="B12" s="145"/>
      <c r="C12" s="32" t="s">
        <v>0</v>
      </c>
      <c r="D12" s="143" t="s">
        <v>0</v>
      </c>
    </row>
    <row r="13" spans="1:25" ht="30.6" x14ac:dyDescent="0.25">
      <c r="A13" s="144" t="s">
        <v>125</v>
      </c>
      <c r="B13" s="145" t="s">
        <v>126</v>
      </c>
      <c r="C13" s="114" t="s">
        <v>0</v>
      </c>
      <c r="D13" s="143" t="s">
        <v>0</v>
      </c>
    </row>
    <row r="14" spans="1:25" x14ac:dyDescent="0.25">
      <c r="A14" s="144"/>
      <c r="B14" s="145"/>
      <c r="C14" s="33" t="s">
        <v>0</v>
      </c>
      <c r="D14" s="143"/>
    </row>
    <row r="15" spans="1:25" x14ac:dyDescent="0.25">
      <c r="A15" s="144" t="s">
        <v>127</v>
      </c>
      <c r="B15" s="145" t="s">
        <v>128</v>
      </c>
      <c r="C15" s="112"/>
      <c r="D15" s="143"/>
    </row>
    <row r="16" spans="1:25" x14ac:dyDescent="0.25">
      <c r="A16" s="144" t="s">
        <v>129</v>
      </c>
      <c r="B16" s="145" t="s">
        <v>5762</v>
      </c>
      <c r="C16" s="112"/>
      <c r="D16" s="143"/>
    </row>
    <row r="17" spans="1:4" x14ac:dyDescent="0.25">
      <c r="A17" s="144" t="s">
        <v>130</v>
      </c>
      <c r="B17" s="145" t="s">
        <v>131</v>
      </c>
      <c r="C17" s="112"/>
      <c r="D17" s="143"/>
    </row>
    <row r="18" spans="1:4" x14ac:dyDescent="0.25">
      <c r="A18" s="144" t="s">
        <v>132</v>
      </c>
      <c r="B18" s="145" t="s">
        <v>133</v>
      </c>
      <c r="C18" s="112"/>
      <c r="D18" s="143"/>
    </row>
    <row r="19" spans="1:4" x14ac:dyDescent="0.25">
      <c r="A19" s="144" t="s">
        <v>134</v>
      </c>
      <c r="B19" s="145" t="s">
        <v>135</v>
      </c>
      <c r="C19" s="112"/>
      <c r="D19" s="143"/>
    </row>
    <row r="20" spans="1:4" x14ac:dyDescent="0.25">
      <c r="A20" s="144"/>
      <c r="B20" s="145"/>
      <c r="C20" s="112"/>
      <c r="D20" s="143"/>
    </row>
    <row r="21" spans="1:4" x14ac:dyDescent="0.25">
      <c r="A21" s="144" t="s">
        <v>136</v>
      </c>
      <c r="B21" s="145" t="s">
        <v>137</v>
      </c>
      <c r="C21" s="111"/>
      <c r="D21" s="143"/>
    </row>
    <row r="22" spans="1:4" x14ac:dyDescent="0.25">
      <c r="A22" s="144"/>
      <c r="B22" s="145"/>
      <c r="C22" s="111"/>
      <c r="D22" s="143"/>
    </row>
    <row r="23" spans="1:4" x14ac:dyDescent="0.25">
      <c r="A23" s="144" t="s">
        <v>138</v>
      </c>
      <c r="B23" s="145" t="s">
        <v>139</v>
      </c>
      <c r="C23" s="112"/>
      <c r="D23" s="143"/>
    </row>
    <row r="24" spans="1:4" x14ac:dyDescent="0.25">
      <c r="A24" s="144" t="s">
        <v>140</v>
      </c>
      <c r="B24" s="145" t="s">
        <v>141</v>
      </c>
      <c r="C24" s="112"/>
      <c r="D24" s="143"/>
    </row>
    <row r="25" spans="1:4" x14ac:dyDescent="0.25">
      <c r="A25" s="144" t="s">
        <v>142</v>
      </c>
      <c r="B25" s="145" t="s">
        <v>143</v>
      </c>
      <c r="C25" s="112"/>
      <c r="D25" s="143"/>
    </row>
    <row r="26" spans="1:4" x14ac:dyDescent="0.25">
      <c r="A26" s="144" t="s">
        <v>144</v>
      </c>
      <c r="B26" s="145" t="s">
        <v>145</v>
      </c>
      <c r="C26" s="111"/>
      <c r="D26" s="143"/>
    </row>
    <row r="27" spans="1:4" x14ac:dyDescent="0.25">
      <c r="A27" s="160"/>
      <c r="B27" s="160"/>
      <c r="C27" s="32" t="s">
        <v>0</v>
      </c>
      <c r="D27" s="143"/>
    </row>
    <row r="28" spans="1:4" x14ac:dyDescent="0.25">
      <c r="A28" s="144" t="s">
        <v>146</v>
      </c>
      <c r="B28" s="145" t="s">
        <v>147</v>
      </c>
      <c r="C28" s="113" t="s">
        <v>0</v>
      </c>
      <c r="D28" s="143"/>
    </row>
    <row r="29" spans="1:4" x14ac:dyDescent="0.25">
      <c r="A29" s="144" t="s">
        <v>148</v>
      </c>
      <c r="B29" s="145" t="s">
        <v>149</v>
      </c>
      <c r="C29" s="113" t="s">
        <v>0</v>
      </c>
      <c r="D29" s="143"/>
    </row>
    <row r="30" spans="1:4" x14ac:dyDescent="0.25">
      <c r="A30" s="144"/>
      <c r="B30" s="145"/>
      <c r="C30" s="33" t="s">
        <v>0</v>
      </c>
      <c r="D30" s="143" t="s">
        <v>0</v>
      </c>
    </row>
    <row r="31" spans="1:4" x14ac:dyDescent="0.25">
      <c r="A31" s="144" t="s">
        <v>150</v>
      </c>
      <c r="B31" s="145" t="s">
        <v>151</v>
      </c>
      <c r="C31" s="113" t="s">
        <v>0</v>
      </c>
      <c r="D31" s="143"/>
    </row>
    <row r="32" spans="1:4" x14ac:dyDescent="0.25">
      <c r="A32" s="144" t="s">
        <v>152</v>
      </c>
      <c r="B32" s="145" t="s">
        <v>153</v>
      </c>
      <c r="C32" s="113" t="s">
        <v>0</v>
      </c>
      <c r="D32" s="143"/>
    </row>
    <row r="33" spans="1:4" x14ac:dyDescent="0.25">
      <c r="A33" s="144"/>
      <c r="B33" s="145"/>
      <c r="C33" s="32" t="s">
        <v>0</v>
      </c>
      <c r="D33" s="143"/>
    </row>
    <row r="34" spans="1:4" ht="20.399999999999999" x14ac:dyDescent="0.25">
      <c r="A34" s="144" t="s">
        <v>154</v>
      </c>
      <c r="B34" s="145" t="s">
        <v>155</v>
      </c>
      <c r="C34" s="112"/>
      <c r="D34" s="143"/>
    </row>
    <row r="35" spans="1:4" ht="20.399999999999999" x14ac:dyDescent="0.25">
      <c r="A35" s="144"/>
      <c r="B35" s="145" t="s">
        <v>156</v>
      </c>
      <c r="C35" s="32" t="s">
        <v>0</v>
      </c>
      <c r="D35" s="143"/>
    </row>
    <row r="36" spans="1:4" x14ac:dyDescent="0.25">
      <c r="A36" s="144"/>
      <c r="B36" s="145"/>
      <c r="C36" s="32" t="s">
        <v>0</v>
      </c>
      <c r="D36" s="143"/>
    </row>
    <row r="37" spans="1:4" ht="51" x14ac:dyDescent="0.25">
      <c r="A37" s="144" t="s">
        <v>157</v>
      </c>
      <c r="B37" s="145" t="s">
        <v>158</v>
      </c>
      <c r="C37" s="33" t="str">
        <f>IF(SISCOSTEO_SELEC&lt;&gt;0,IF(SISCOSTEO_SELEC=1,"SI",IF(SISCOSTEO_SELEC=5,"NO","NO")),"")</f>
        <v/>
      </c>
      <c r="D37" s="143"/>
    </row>
    <row r="38" spans="1:4" ht="40.799999999999997" x14ac:dyDescent="0.25">
      <c r="A38" s="144" t="s">
        <v>159</v>
      </c>
      <c r="B38" s="145" t="s">
        <v>160</v>
      </c>
      <c r="C38" s="32" t="str">
        <f>IF(SISCOSTEO_SELEC&lt;&gt;0,IF(SISCOSTEO_SELEC=2,"SI",IF(SISCOSTEO_SELEC=5,"NO","NO")),"")</f>
        <v/>
      </c>
      <c r="D38" s="143"/>
    </row>
    <row r="39" spans="1:4" ht="40.799999999999997" x14ac:dyDescent="0.25">
      <c r="A39" s="144" t="s">
        <v>161</v>
      </c>
      <c r="B39" s="145" t="s">
        <v>162</v>
      </c>
      <c r="C39" s="33" t="str">
        <f>IF(SISCOSTEO_SELEC&lt;&gt;0,IF(SISCOSTEO_SELEC=3,"SI",IF(SISCOSTEO_SELEC=5,"NO","NO")),"")</f>
        <v/>
      </c>
      <c r="D39" s="143"/>
    </row>
    <row r="40" spans="1:4" ht="30.6" x14ac:dyDescent="0.25">
      <c r="A40" s="144" t="s">
        <v>163</v>
      </c>
      <c r="B40" s="145" t="s">
        <v>164</v>
      </c>
      <c r="C40" s="33" t="str">
        <f>IF(SISCOSTEO_SELEC&lt;&gt;0,IF(SISCOSTEO_SELEC=4,"SI",IF(SISCOSTEO_SELEC=5,"NO","NO")),"")</f>
        <v/>
      </c>
      <c r="D40" s="143"/>
    </row>
    <row r="41" spans="1:4" x14ac:dyDescent="0.25">
      <c r="A41" s="144"/>
      <c r="B41" s="145"/>
      <c r="C41" s="33" t="s">
        <v>0</v>
      </c>
      <c r="D41" s="143" t="s">
        <v>0</v>
      </c>
    </row>
    <row r="42" spans="1:4" x14ac:dyDescent="0.25">
      <c r="A42" s="144" t="s">
        <v>165</v>
      </c>
      <c r="B42" s="145" t="s">
        <v>166</v>
      </c>
      <c r="C42" s="111"/>
      <c r="D42" s="143"/>
    </row>
    <row r="43" spans="1:4" x14ac:dyDescent="0.25">
      <c r="A43" s="144"/>
      <c r="B43" s="145"/>
      <c r="C43" s="32" t="s">
        <v>0</v>
      </c>
      <c r="D43" s="143"/>
    </row>
    <row r="44" spans="1:4" ht="30.6" x14ac:dyDescent="0.25">
      <c r="A44" s="144" t="s">
        <v>167</v>
      </c>
      <c r="B44" s="145" t="s">
        <v>168</v>
      </c>
      <c r="C44" s="112"/>
      <c r="D44" s="143"/>
    </row>
    <row r="45" spans="1:4" ht="30.6" x14ac:dyDescent="0.25">
      <c r="A45" s="144" t="s">
        <v>169</v>
      </c>
      <c r="B45" s="145" t="s">
        <v>170</v>
      </c>
      <c r="C45" s="32" t="str">
        <f>IF(C44&lt;&gt;"",IF(C44="SI","NO","SI"),"")</f>
        <v/>
      </c>
      <c r="D45" s="143"/>
    </row>
    <row r="46" spans="1:4" x14ac:dyDescent="0.25">
      <c r="A46" s="144"/>
      <c r="B46" s="145"/>
      <c r="C46" s="32" t="s">
        <v>0</v>
      </c>
      <c r="D46" s="143"/>
    </row>
    <row r="47" spans="1:4" ht="30.6" x14ac:dyDescent="0.25">
      <c r="A47" s="144"/>
      <c r="B47" s="145" t="s">
        <v>171</v>
      </c>
      <c r="C47" s="32" t="s">
        <v>0</v>
      </c>
      <c r="D47" s="143"/>
    </row>
    <row r="48" spans="1:4" x14ac:dyDescent="0.25">
      <c r="A48" s="144" t="s">
        <v>172</v>
      </c>
      <c r="B48" s="145" t="s">
        <v>173</v>
      </c>
      <c r="C48" s="114" t="s">
        <v>0</v>
      </c>
      <c r="D48" s="143"/>
    </row>
    <row r="49" spans="1:4" x14ac:dyDescent="0.25">
      <c r="A49" s="144" t="s">
        <v>174</v>
      </c>
      <c r="B49" s="145" t="s">
        <v>175</v>
      </c>
      <c r="C49" s="114" t="s">
        <v>0</v>
      </c>
      <c r="D49" s="143"/>
    </row>
    <row r="50" spans="1:4" x14ac:dyDescent="0.25">
      <c r="A50" s="144" t="s">
        <v>176</v>
      </c>
      <c r="B50" s="145" t="s">
        <v>177</v>
      </c>
      <c r="C50" s="114" t="s">
        <v>0</v>
      </c>
      <c r="D50" s="143"/>
    </row>
    <row r="51" spans="1:4" x14ac:dyDescent="0.25">
      <c r="A51" s="144" t="s">
        <v>178</v>
      </c>
      <c r="B51" s="145" t="s">
        <v>179</v>
      </c>
      <c r="C51" s="114" t="s">
        <v>0</v>
      </c>
      <c r="D51" s="143"/>
    </row>
    <row r="52" spans="1:4" x14ac:dyDescent="0.25">
      <c r="A52" s="144" t="s">
        <v>180</v>
      </c>
      <c r="B52" s="145" t="s">
        <v>181</v>
      </c>
      <c r="C52" s="114" t="s">
        <v>0</v>
      </c>
      <c r="D52" s="143"/>
    </row>
    <row r="53" spans="1:4" x14ac:dyDescent="0.25">
      <c r="A53" s="144"/>
      <c r="B53" s="145"/>
      <c r="C53" s="32" t="s">
        <v>0</v>
      </c>
      <c r="D53" s="143"/>
    </row>
    <row r="54" spans="1:4" x14ac:dyDescent="0.25">
      <c r="A54" s="150"/>
      <c r="B54" s="151"/>
      <c r="C54" s="34" t="s">
        <v>0</v>
      </c>
      <c r="D54" s="143" t="s">
        <v>0</v>
      </c>
    </row>
    <row r="55" spans="1:4" x14ac:dyDescent="0.25">
      <c r="A55" s="144"/>
      <c r="B55" s="147" t="s">
        <v>182</v>
      </c>
      <c r="C55" s="32" t="s">
        <v>0</v>
      </c>
      <c r="D55" s="143"/>
    </row>
    <row r="56" spans="1:4" x14ac:dyDescent="0.25">
      <c r="A56" s="144"/>
      <c r="B56" s="145"/>
      <c r="C56" s="32" t="s">
        <v>0</v>
      </c>
      <c r="D56" s="143"/>
    </row>
    <row r="57" spans="1:4" ht="20.399999999999999" x14ac:dyDescent="0.25">
      <c r="A57" s="144" t="s">
        <v>183</v>
      </c>
      <c r="B57" s="145" t="s">
        <v>5763</v>
      </c>
      <c r="C57" s="111"/>
      <c r="D57" s="143"/>
    </row>
    <row r="58" spans="1:4" x14ac:dyDescent="0.25">
      <c r="A58" s="144" t="s">
        <v>184</v>
      </c>
      <c r="B58" s="145" t="s">
        <v>5764</v>
      </c>
      <c r="C58" s="112"/>
      <c r="D58" s="143"/>
    </row>
    <row r="59" spans="1:4" x14ac:dyDescent="0.25">
      <c r="A59" s="144" t="s">
        <v>185</v>
      </c>
      <c r="B59" s="145" t="s">
        <v>5765</v>
      </c>
      <c r="C59" s="112"/>
      <c r="D59" s="143"/>
    </row>
    <row r="60" spans="1:4" x14ac:dyDescent="0.25">
      <c r="A60" s="144"/>
      <c r="B60" s="145"/>
      <c r="C60" s="32" t="s">
        <v>0</v>
      </c>
      <c r="D60" s="143"/>
    </row>
    <row r="61" spans="1:4" ht="40.799999999999997" x14ac:dyDescent="0.25">
      <c r="A61" s="144" t="s">
        <v>186</v>
      </c>
      <c r="B61" s="145" t="s">
        <v>5308</v>
      </c>
      <c r="C61" s="112"/>
      <c r="D61" s="143" t="s">
        <v>0</v>
      </c>
    </row>
    <row r="62" spans="1:4" ht="51" x14ac:dyDescent="0.25">
      <c r="A62" s="144" t="s">
        <v>187</v>
      </c>
      <c r="B62" s="145" t="s">
        <v>5309</v>
      </c>
      <c r="C62" s="112"/>
      <c r="D62" s="143" t="s">
        <v>0</v>
      </c>
    </row>
    <row r="63" spans="1:4" x14ac:dyDescent="0.25">
      <c r="A63" s="144"/>
      <c r="B63" s="145"/>
      <c r="C63" s="32" t="s">
        <v>0</v>
      </c>
      <c r="D63" s="143" t="s">
        <v>0</v>
      </c>
    </row>
    <row r="64" spans="1:4" ht="40.799999999999997" x14ac:dyDescent="0.25">
      <c r="A64" s="144" t="s">
        <v>188</v>
      </c>
      <c r="B64" s="145" t="s">
        <v>189</v>
      </c>
      <c r="C64" s="112"/>
      <c r="D64" s="143" t="s">
        <v>0</v>
      </c>
    </row>
    <row r="65" spans="1:4" x14ac:dyDescent="0.25">
      <c r="A65" s="144"/>
      <c r="B65" s="145"/>
      <c r="C65" s="32" t="s">
        <v>0</v>
      </c>
      <c r="D65" s="143" t="s">
        <v>0</v>
      </c>
    </row>
    <row r="66" spans="1:4" x14ac:dyDescent="0.25">
      <c r="A66" s="144"/>
      <c r="B66" s="147" t="s">
        <v>190</v>
      </c>
      <c r="C66" s="32" t="s">
        <v>0</v>
      </c>
      <c r="D66" s="143"/>
    </row>
    <row r="67" spans="1:4" x14ac:dyDescent="0.25">
      <c r="A67" s="144"/>
      <c r="B67" s="145"/>
      <c r="C67" s="32" t="s">
        <v>0</v>
      </c>
      <c r="D67" s="143" t="s">
        <v>0</v>
      </c>
    </row>
    <row r="68" spans="1:4" ht="30.6" x14ac:dyDescent="0.25">
      <c r="A68" s="144" t="s">
        <v>191</v>
      </c>
      <c r="B68" s="145" t="s">
        <v>192</v>
      </c>
      <c r="C68" s="112"/>
      <c r="D68" s="143"/>
    </row>
    <row r="69" spans="1:4" x14ac:dyDescent="0.25">
      <c r="A69" s="144" t="s">
        <v>193</v>
      </c>
      <c r="B69" s="145" t="s">
        <v>194</v>
      </c>
      <c r="C69" s="114" t="s">
        <v>0</v>
      </c>
      <c r="D69" s="143"/>
    </row>
    <row r="70" spans="1:4" x14ac:dyDescent="0.25">
      <c r="A70" s="144"/>
      <c r="B70" s="145"/>
      <c r="C70" s="32" t="s">
        <v>0</v>
      </c>
      <c r="D70" s="143"/>
    </row>
    <row r="71" spans="1:4" ht="30.6" x14ac:dyDescent="0.25">
      <c r="A71" s="144" t="s">
        <v>195</v>
      </c>
      <c r="B71" s="145" t="s">
        <v>5766</v>
      </c>
      <c r="C71" s="112"/>
      <c r="D71" s="143"/>
    </row>
    <row r="72" spans="1:4" x14ac:dyDescent="0.25">
      <c r="A72" s="144"/>
      <c r="B72" s="145"/>
      <c r="C72" s="32" t="s">
        <v>0</v>
      </c>
      <c r="D72" s="143"/>
    </row>
    <row r="73" spans="1:4" x14ac:dyDescent="0.25">
      <c r="A73" s="144"/>
      <c r="B73" s="145" t="s">
        <v>196</v>
      </c>
      <c r="C73" s="32" t="s">
        <v>0</v>
      </c>
      <c r="D73" s="143"/>
    </row>
    <row r="74" spans="1:4" x14ac:dyDescent="0.25">
      <c r="A74" s="144" t="s">
        <v>197</v>
      </c>
      <c r="B74" s="145" t="s">
        <v>198</v>
      </c>
      <c r="C74" s="112"/>
      <c r="D74" s="143"/>
    </row>
    <row r="75" spans="1:4" ht="20.399999999999999" x14ac:dyDescent="0.25">
      <c r="A75" s="144" t="s">
        <v>199</v>
      </c>
      <c r="B75" s="145" t="s">
        <v>200</v>
      </c>
      <c r="C75" s="112"/>
      <c r="D75" s="143"/>
    </row>
    <row r="76" spans="1:4" x14ac:dyDescent="0.25">
      <c r="A76" s="144" t="s">
        <v>201</v>
      </c>
      <c r="B76" s="145" t="s">
        <v>202</v>
      </c>
      <c r="C76" s="114" t="s">
        <v>0</v>
      </c>
      <c r="D76" s="143"/>
    </row>
    <row r="77" spans="1:4" x14ac:dyDescent="0.25">
      <c r="A77" s="144" t="s">
        <v>203</v>
      </c>
      <c r="B77" s="145" t="s">
        <v>204</v>
      </c>
      <c r="C77" s="114" t="s">
        <v>0</v>
      </c>
      <c r="D77" s="143"/>
    </row>
    <row r="78" spans="1:4" x14ac:dyDescent="0.25">
      <c r="A78" s="144" t="s">
        <v>205</v>
      </c>
      <c r="B78" s="145" t="s">
        <v>206</v>
      </c>
      <c r="C78" s="114" t="s">
        <v>0</v>
      </c>
      <c r="D78" s="143"/>
    </row>
    <row r="79" spans="1:4" x14ac:dyDescent="0.25">
      <c r="A79" s="144" t="s">
        <v>207</v>
      </c>
      <c r="B79" s="145" t="s">
        <v>208</v>
      </c>
      <c r="C79" s="114" t="s">
        <v>0</v>
      </c>
      <c r="D79" s="143"/>
    </row>
    <row r="80" spans="1:4" x14ac:dyDescent="0.25">
      <c r="A80" s="144" t="s">
        <v>209</v>
      </c>
      <c r="B80" s="145" t="s">
        <v>5310</v>
      </c>
      <c r="C80" s="114" t="s">
        <v>0</v>
      </c>
      <c r="D80" s="143"/>
    </row>
    <row r="81" spans="1:4" x14ac:dyDescent="0.25">
      <c r="A81" s="144" t="s">
        <v>210</v>
      </c>
      <c r="B81" s="145" t="s">
        <v>211</v>
      </c>
      <c r="C81" s="114" t="s">
        <v>0</v>
      </c>
      <c r="D81" s="143"/>
    </row>
    <row r="82" spans="1:4" x14ac:dyDescent="0.25">
      <c r="A82" s="144"/>
      <c r="B82" s="145"/>
      <c r="C82" s="32" t="s">
        <v>0</v>
      </c>
      <c r="D82" s="143"/>
    </row>
    <row r="83" spans="1:4" ht="30.6" x14ac:dyDescent="0.25">
      <c r="A83" s="144" t="s">
        <v>212</v>
      </c>
      <c r="B83" s="145" t="s">
        <v>213</v>
      </c>
      <c r="C83" s="112"/>
      <c r="D83" s="143"/>
    </row>
    <row r="84" spans="1:4" x14ac:dyDescent="0.25">
      <c r="A84" s="144" t="s">
        <v>214</v>
      </c>
      <c r="B84" s="145" t="s">
        <v>215</v>
      </c>
      <c r="C84" s="114" t="s">
        <v>0</v>
      </c>
      <c r="D84" s="143"/>
    </row>
    <row r="85" spans="1:4" x14ac:dyDescent="0.25">
      <c r="A85" s="144" t="s">
        <v>216</v>
      </c>
      <c r="B85" s="145" t="s">
        <v>217</v>
      </c>
      <c r="C85" s="114" t="s">
        <v>0</v>
      </c>
      <c r="D85" s="143"/>
    </row>
    <row r="86" spans="1:4" x14ac:dyDescent="0.25">
      <c r="A86" s="144" t="s">
        <v>218</v>
      </c>
      <c r="B86" s="145" t="s">
        <v>219</v>
      </c>
      <c r="C86" s="114" t="s">
        <v>0</v>
      </c>
      <c r="D86" s="143"/>
    </row>
    <row r="87" spans="1:4" x14ac:dyDescent="0.25">
      <c r="A87" s="144" t="s">
        <v>220</v>
      </c>
      <c r="B87" s="145" t="s">
        <v>221</v>
      </c>
      <c r="C87" s="114" t="s">
        <v>0</v>
      </c>
      <c r="D87" s="143"/>
    </row>
    <row r="88" spans="1:4" x14ac:dyDescent="0.25">
      <c r="A88" s="144" t="s">
        <v>222</v>
      </c>
      <c r="B88" s="145" t="s">
        <v>223</v>
      </c>
      <c r="C88" s="114" t="s">
        <v>0</v>
      </c>
      <c r="D88" s="143"/>
    </row>
    <row r="89" spans="1:4" x14ac:dyDescent="0.25">
      <c r="A89" s="144" t="s">
        <v>224</v>
      </c>
      <c r="B89" s="145" t="s">
        <v>225</v>
      </c>
      <c r="C89" s="114" t="s">
        <v>0</v>
      </c>
      <c r="D89" s="143"/>
    </row>
    <row r="90" spans="1:4" x14ac:dyDescent="0.25">
      <c r="A90" s="144"/>
      <c r="B90" s="145"/>
      <c r="C90" s="32" t="s">
        <v>0</v>
      </c>
      <c r="D90" s="143"/>
    </row>
    <row r="91" spans="1:4" ht="20.399999999999999" x14ac:dyDescent="0.25">
      <c r="A91" s="144" t="s">
        <v>226</v>
      </c>
      <c r="B91" s="145" t="s">
        <v>227</v>
      </c>
      <c r="C91" s="114" t="s">
        <v>0</v>
      </c>
      <c r="D91" s="143"/>
    </row>
    <row r="92" spans="1:4" ht="20.399999999999999" x14ac:dyDescent="0.25">
      <c r="A92" s="144" t="s">
        <v>228</v>
      </c>
      <c r="B92" s="145" t="s">
        <v>229</v>
      </c>
      <c r="C92" s="114" t="s">
        <v>0</v>
      </c>
      <c r="D92" s="143"/>
    </row>
    <row r="93" spans="1:4" x14ac:dyDescent="0.25">
      <c r="A93" s="144"/>
      <c r="B93" s="145"/>
      <c r="C93" s="32" t="s">
        <v>0</v>
      </c>
      <c r="D93" s="143"/>
    </row>
    <row r="94" spans="1:4" x14ac:dyDescent="0.25">
      <c r="A94" s="144"/>
      <c r="B94" s="147" t="s">
        <v>230</v>
      </c>
      <c r="C94" s="32" t="s">
        <v>0</v>
      </c>
      <c r="D94" s="143"/>
    </row>
    <row r="95" spans="1:4" x14ac:dyDescent="0.25">
      <c r="A95" s="144"/>
      <c r="B95" s="145"/>
      <c r="C95" s="32" t="s">
        <v>0</v>
      </c>
      <c r="D95" s="143"/>
    </row>
    <row r="96" spans="1:4" ht="30.6" x14ac:dyDescent="0.25">
      <c r="A96" s="144" t="s">
        <v>231</v>
      </c>
      <c r="B96" s="145" t="s">
        <v>5311</v>
      </c>
      <c r="C96" s="111"/>
      <c r="D96" s="143"/>
    </row>
    <row r="97" spans="1:4" ht="30.6" x14ac:dyDescent="0.25">
      <c r="A97" s="144" t="s">
        <v>232</v>
      </c>
      <c r="B97" s="145" t="s">
        <v>233</v>
      </c>
      <c r="C97" s="111"/>
      <c r="D97" s="143"/>
    </row>
    <row r="98" spans="1:4" ht="71.400000000000006" x14ac:dyDescent="0.25">
      <c r="A98" s="144" t="s">
        <v>234</v>
      </c>
      <c r="B98" s="145" t="s">
        <v>5312</v>
      </c>
      <c r="C98" s="112"/>
      <c r="D98" s="143"/>
    </row>
    <row r="99" spans="1:4" ht="122.4" x14ac:dyDescent="0.25">
      <c r="A99" s="144"/>
      <c r="B99" s="146" t="s">
        <v>5313</v>
      </c>
      <c r="C99" s="32" t="s">
        <v>0</v>
      </c>
      <c r="D99" s="143" t="s">
        <v>0</v>
      </c>
    </row>
    <row r="100" spans="1:4" ht="30.6" x14ac:dyDescent="0.25">
      <c r="A100" s="144" t="s">
        <v>235</v>
      </c>
      <c r="B100" s="145" t="s">
        <v>5314</v>
      </c>
      <c r="C100" s="112"/>
      <c r="D100" s="143" t="s">
        <v>0</v>
      </c>
    </row>
    <row r="101" spans="1:4" ht="20.399999999999999" x14ac:dyDescent="0.25">
      <c r="A101" s="144" t="s">
        <v>236</v>
      </c>
      <c r="B101" s="145" t="s">
        <v>5315</v>
      </c>
      <c r="C101" s="112"/>
      <c r="D101" s="143" t="s">
        <v>0</v>
      </c>
    </row>
    <row r="102" spans="1:4" x14ac:dyDescent="0.25">
      <c r="A102" s="144"/>
      <c r="B102" s="145"/>
      <c r="C102" s="32" t="s">
        <v>0</v>
      </c>
      <c r="D102" s="143"/>
    </row>
    <row r="103" spans="1:4" x14ac:dyDescent="0.25">
      <c r="A103" s="150"/>
      <c r="B103" s="151"/>
      <c r="C103" s="34" t="s">
        <v>0</v>
      </c>
      <c r="D103" s="143" t="s">
        <v>0</v>
      </c>
    </row>
    <row r="104" spans="1:4" x14ac:dyDescent="0.25">
      <c r="A104" s="144"/>
      <c r="B104" s="147" t="s">
        <v>237</v>
      </c>
      <c r="C104" s="32" t="s">
        <v>0</v>
      </c>
      <c r="D104" s="143"/>
    </row>
    <row r="105" spans="1:4" x14ac:dyDescent="0.25">
      <c r="A105" s="144"/>
      <c r="B105" s="145"/>
      <c r="C105" s="32" t="s">
        <v>0</v>
      </c>
      <c r="D105" s="143"/>
    </row>
    <row r="106" spans="1:4" x14ac:dyDescent="0.25">
      <c r="A106" s="144"/>
      <c r="B106" s="148" t="s">
        <v>238</v>
      </c>
      <c r="C106" s="32" t="s">
        <v>0</v>
      </c>
      <c r="D106" s="143"/>
    </row>
    <row r="107" spans="1:4" x14ac:dyDescent="0.25">
      <c r="A107" s="144"/>
      <c r="B107" s="145"/>
      <c r="C107" s="32" t="s">
        <v>0</v>
      </c>
      <c r="D107" s="143"/>
    </row>
    <row r="108" spans="1:4" ht="20.399999999999999" x14ac:dyDescent="0.25">
      <c r="A108" s="144" t="s">
        <v>239</v>
      </c>
      <c r="B108" s="145" t="s">
        <v>240</v>
      </c>
      <c r="C108" s="112"/>
      <c r="D108" s="143"/>
    </row>
    <row r="109" spans="1:4" ht="51" x14ac:dyDescent="0.25">
      <c r="A109" s="144" t="s">
        <v>241</v>
      </c>
      <c r="B109" s="145" t="s">
        <v>242</v>
      </c>
      <c r="C109" s="112"/>
      <c r="D109" s="143"/>
    </row>
    <row r="110" spans="1:4" x14ac:dyDescent="0.25">
      <c r="A110" s="183" t="s">
        <v>243</v>
      </c>
      <c r="B110" s="189" t="s">
        <v>5316</v>
      </c>
      <c r="C110" s="114" t="s">
        <v>0</v>
      </c>
      <c r="D110" s="143" t="s">
        <v>0</v>
      </c>
    </row>
    <row r="111" spans="1:4" x14ac:dyDescent="0.25">
      <c r="A111" s="183" t="s">
        <v>244</v>
      </c>
      <c r="B111" s="189" t="s">
        <v>5316</v>
      </c>
      <c r="C111" s="114" t="s">
        <v>0</v>
      </c>
      <c r="D111" s="143" t="s">
        <v>0</v>
      </c>
    </row>
    <row r="112" spans="1:4" x14ac:dyDescent="0.25">
      <c r="A112" s="183" t="s">
        <v>245</v>
      </c>
      <c r="B112" s="189" t="s">
        <v>5316</v>
      </c>
      <c r="C112" s="114" t="s">
        <v>0</v>
      </c>
      <c r="D112" s="143" t="s">
        <v>0</v>
      </c>
    </row>
    <row r="113" spans="1:4" x14ac:dyDescent="0.25">
      <c r="A113" s="183" t="s">
        <v>246</v>
      </c>
      <c r="B113" s="189" t="s">
        <v>5316</v>
      </c>
      <c r="C113" s="114" t="s">
        <v>0</v>
      </c>
      <c r="D113" s="143" t="s">
        <v>0</v>
      </c>
    </row>
    <row r="114" spans="1:4" x14ac:dyDescent="0.25">
      <c r="A114" s="183" t="s">
        <v>247</v>
      </c>
      <c r="B114" s="189" t="s">
        <v>5316</v>
      </c>
      <c r="C114" s="114" t="s">
        <v>0</v>
      </c>
      <c r="D114" s="143" t="s">
        <v>0</v>
      </c>
    </row>
    <row r="115" spans="1:4" x14ac:dyDescent="0.25">
      <c r="A115" s="144"/>
      <c r="B115" s="145"/>
      <c r="C115" s="33" t="s">
        <v>0</v>
      </c>
      <c r="D115" s="143" t="s">
        <v>0</v>
      </c>
    </row>
    <row r="116" spans="1:4" ht="20.399999999999999" x14ac:dyDescent="0.25">
      <c r="A116" s="144" t="s">
        <v>248</v>
      </c>
      <c r="B116" s="145" t="s">
        <v>5317</v>
      </c>
      <c r="C116" s="112"/>
      <c r="D116" s="143"/>
    </row>
    <row r="117" spans="1:4" ht="20.399999999999999" x14ac:dyDescent="0.25">
      <c r="A117" s="144" t="s">
        <v>249</v>
      </c>
      <c r="B117" s="145" t="s">
        <v>250</v>
      </c>
      <c r="C117" s="112"/>
      <c r="D117" s="143"/>
    </row>
    <row r="118" spans="1:4" ht="20.399999999999999" x14ac:dyDescent="0.25">
      <c r="A118" s="144" t="s">
        <v>251</v>
      </c>
      <c r="B118" s="145" t="s">
        <v>252</v>
      </c>
      <c r="C118" s="112"/>
      <c r="D118" s="143"/>
    </row>
    <row r="119" spans="1:4" ht="30.6" x14ac:dyDescent="0.25">
      <c r="A119" s="144" t="s">
        <v>253</v>
      </c>
      <c r="B119" s="145" t="s">
        <v>254</v>
      </c>
      <c r="C119" s="112"/>
      <c r="D119" s="143"/>
    </row>
    <row r="120" spans="1:4" ht="71.400000000000006" x14ac:dyDescent="0.25">
      <c r="A120" s="144" t="s">
        <v>255</v>
      </c>
      <c r="B120" s="145" t="s">
        <v>5318</v>
      </c>
      <c r="C120" s="112"/>
      <c r="D120" s="143"/>
    </row>
    <row r="121" spans="1:4" ht="20.399999999999999" x14ac:dyDescent="0.25">
      <c r="A121" s="144" t="s">
        <v>256</v>
      </c>
      <c r="B121" s="145" t="s">
        <v>5319</v>
      </c>
      <c r="C121" s="112"/>
      <c r="D121" s="143"/>
    </row>
    <row r="122" spans="1:4" x14ac:dyDescent="0.25">
      <c r="A122" s="144"/>
      <c r="B122" s="145"/>
      <c r="C122" s="33" t="s">
        <v>0</v>
      </c>
      <c r="D122" s="143" t="s">
        <v>0</v>
      </c>
    </row>
    <row r="123" spans="1:4" x14ac:dyDescent="0.25">
      <c r="A123" s="144" t="s">
        <v>257</v>
      </c>
      <c r="B123" s="145" t="s">
        <v>258</v>
      </c>
      <c r="C123" s="112"/>
      <c r="D123" s="143"/>
    </row>
    <row r="124" spans="1:4" ht="20.399999999999999" x14ac:dyDescent="0.25">
      <c r="A124" s="144" t="s">
        <v>259</v>
      </c>
      <c r="B124" s="145" t="s">
        <v>260</v>
      </c>
      <c r="C124" s="112"/>
      <c r="D124" s="143"/>
    </row>
    <row r="125" spans="1:4" ht="30.6" x14ac:dyDescent="0.25">
      <c r="A125" s="144" t="s">
        <v>261</v>
      </c>
      <c r="B125" s="145" t="s">
        <v>5320</v>
      </c>
      <c r="C125" s="112"/>
      <c r="D125" s="143"/>
    </row>
    <row r="126" spans="1:4" ht="20.399999999999999" x14ac:dyDescent="0.25">
      <c r="A126" s="144" t="s">
        <v>262</v>
      </c>
      <c r="B126" s="145" t="s">
        <v>263</v>
      </c>
      <c r="C126" s="112"/>
      <c r="D126" s="143"/>
    </row>
    <row r="127" spans="1:4" x14ac:dyDescent="0.25">
      <c r="A127" s="144"/>
      <c r="B127" s="145"/>
      <c r="C127" s="33" t="s">
        <v>0</v>
      </c>
      <c r="D127" s="143" t="s">
        <v>0</v>
      </c>
    </row>
    <row r="128" spans="1:4" x14ac:dyDescent="0.25">
      <c r="A128" s="144" t="s">
        <v>264</v>
      </c>
      <c r="B128" s="145" t="s">
        <v>265</v>
      </c>
      <c r="C128" s="112"/>
      <c r="D128" s="143"/>
    </row>
    <row r="129" spans="1:4" ht="40.799999999999997" x14ac:dyDescent="0.25">
      <c r="A129" s="144" t="s">
        <v>266</v>
      </c>
      <c r="B129" s="145" t="s">
        <v>267</v>
      </c>
      <c r="C129" s="112"/>
      <c r="D129" s="143"/>
    </row>
    <row r="130" spans="1:4" x14ac:dyDescent="0.25">
      <c r="A130" s="144"/>
      <c r="B130" s="145"/>
      <c r="C130" s="32" t="s">
        <v>0</v>
      </c>
      <c r="D130" s="143"/>
    </row>
    <row r="131" spans="1:4" ht="30.6" x14ac:dyDescent="0.25">
      <c r="A131" s="144" t="s">
        <v>268</v>
      </c>
      <c r="B131" s="145" t="s">
        <v>269</v>
      </c>
      <c r="C131" s="112"/>
      <c r="D131" s="143" t="s">
        <v>0</v>
      </c>
    </row>
    <row r="132" spans="1:4" ht="30.6" x14ac:dyDescent="0.25">
      <c r="A132" s="144" t="s">
        <v>270</v>
      </c>
      <c r="B132" s="145" t="s">
        <v>271</v>
      </c>
      <c r="C132" s="112"/>
      <c r="D132" s="143" t="s">
        <v>0</v>
      </c>
    </row>
    <row r="133" spans="1:4" x14ac:dyDescent="0.25">
      <c r="A133" s="144"/>
      <c r="B133" s="145"/>
      <c r="C133" s="32" t="s">
        <v>0</v>
      </c>
      <c r="D133" s="143" t="s">
        <v>0</v>
      </c>
    </row>
    <row r="134" spans="1:4" x14ac:dyDescent="0.25">
      <c r="A134" s="144" t="s">
        <v>272</v>
      </c>
      <c r="B134" s="145" t="s">
        <v>273</v>
      </c>
      <c r="C134" s="112"/>
      <c r="D134" s="143"/>
    </row>
    <row r="135" spans="1:4" x14ac:dyDescent="0.25">
      <c r="A135" s="144"/>
      <c r="B135" s="145"/>
      <c r="C135" s="33" t="s">
        <v>0</v>
      </c>
      <c r="D135" s="143" t="s">
        <v>0</v>
      </c>
    </row>
    <row r="136" spans="1:4" x14ac:dyDescent="0.25">
      <c r="A136" s="144" t="s">
        <v>274</v>
      </c>
      <c r="B136" s="145" t="s">
        <v>275</v>
      </c>
      <c r="C136" s="112"/>
      <c r="D136" s="143"/>
    </row>
    <row r="137" spans="1:4" ht="20.399999999999999" x14ac:dyDescent="0.25">
      <c r="A137" s="144"/>
      <c r="B137" s="145" t="s">
        <v>276</v>
      </c>
      <c r="C137" s="32" t="s">
        <v>0</v>
      </c>
      <c r="D137" s="143"/>
    </row>
    <row r="138" spans="1:4" ht="30.6" x14ac:dyDescent="0.25">
      <c r="A138" s="144" t="s">
        <v>277</v>
      </c>
      <c r="B138" s="145" t="s">
        <v>278</v>
      </c>
      <c r="C138" s="112"/>
      <c r="D138" s="143"/>
    </row>
    <row r="139" spans="1:4" ht="20.399999999999999" x14ac:dyDescent="0.25">
      <c r="A139" s="144" t="s">
        <v>279</v>
      </c>
      <c r="B139" s="145" t="s">
        <v>280</v>
      </c>
      <c r="C139" s="112"/>
      <c r="D139" s="143"/>
    </row>
    <row r="140" spans="1:4" ht="30.6" x14ac:dyDescent="0.25">
      <c r="A140" s="144"/>
      <c r="B140" s="146" t="s">
        <v>281</v>
      </c>
      <c r="C140" s="32" t="s">
        <v>0</v>
      </c>
      <c r="D140" s="143"/>
    </row>
    <row r="141" spans="1:4" x14ac:dyDescent="0.25">
      <c r="A141" s="183" t="s">
        <v>282</v>
      </c>
      <c r="B141" s="189" t="s">
        <v>5321</v>
      </c>
      <c r="C141" s="114" t="s">
        <v>0</v>
      </c>
      <c r="D141" s="143" t="s">
        <v>0</v>
      </c>
    </row>
    <row r="142" spans="1:4" x14ac:dyDescent="0.25">
      <c r="A142" s="183" t="s">
        <v>283</v>
      </c>
      <c r="B142" s="189" t="s">
        <v>5321</v>
      </c>
      <c r="C142" s="114" t="s">
        <v>0</v>
      </c>
      <c r="D142" s="143" t="s">
        <v>0</v>
      </c>
    </row>
    <row r="143" spans="1:4" x14ac:dyDescent="0.25">
      <c r="A143" s="183" t="s">
        <v>284</v>
      </c>
      <c r="B143" s="189" t="s">
        <v>5321</v>
      </c>
      <c r="C143" s="114" t="s">
        <v>0</v>
      </c>
      <c r="D143" s="143" t="s">
        <v>0</v>
      </c>
    </row>
    <row r="144" spans="1:4" x14ac:dyDescent="0.25">
      <c r="A144" s="183" t="s">
        <v>285</v>
      </c>
      <c r="B144" s="189" t="s">
        <v>5321</v>
      </c>
      <c r="C144" s="114" t="s">
        <v>0</v>
      </c>
      <c r="D144" s="143" t="s">
        <v>0</v>
      </c>
    </row>
    <row r="145" spans="1:4" x14ac:dyDescent="0.25">
      <c r="A145" s="183" t="s">
        <v>286</v>
      </c>
      <c r="B145" s="189" t="s">
        <v>5321</v>
      </c>
      <c r="C145" s="114" t="s">
        <v>0</v>
      </c>
      <c r="D145" s="143" t="s">
        <v>0</v>
      </c>
    </row>
    <row r="146" spans="1:4" x14ac:dyDescent="0.25">
      <c r="A146" s="144"/>
      <c r="B146" s="145"/>
      <c r="C146" s="32" t="s">
        <v>0</v>
      </c>
      <c r="D146" s="143"/>
    </row>
    <row r="147" spans="1:4" x14ac:dyDescent="0.25">
      <c r="A147" s="144"/>
      <c r="B147" s="145" t="s">
        <v>287</v>
      </c>
      <c r="C147" s="32" t="s">
        <v>0</v>
      </c>
      <c r="D147" s="143"/>
    </row>
    <row r="148" spans="1:4" x14ac:dyDescent="0.25">
      <c r="A148" s="144" t="s">
        <v>288</v>
      </c>
      <c r="B148" s="145" t="s">
        <v>289</v>
      </c>
      <c r="C148" s="112"/>
      <c r="D148" s="143"/>
    </row>
    <row r="149" spans="1:4" x14ac:dyDescent="0.25">
      <c r="A149" s="144" t="s">
        <v>290</v>
      </c>
      <c r="B149" s="145" t="s">
        <v>291</v>
      </c>
      <c r="C149" s="112"/>
      <c r="D149" s="143"/>
    </row>
    <row r="150" spans="1:4" x14ac:dyDescent="0.25">
      <c r="A150" s="144" t="s">
        <v>292</v>
      </c>
      <c r="B150" s="145" t="s">
        <v>293</v>
      </c>
      <c r="C150" s="112"/>
      <c r="D150" s="143"/>
    </row>
    <row r="151" spans="1:4" x14ac:dyDescent="0.25">
      <c r="A151" s="144" t="s">
        <v>294</v>
      </c>
      <c r="B151" s="145" t="s">
        <v>295</v>
      </c>
      <c r="C151" s="112"/>
      <c r="D151" s="143"/>
    </row>
    <row r="152" spans="1:4" x14ac:dyDescent="0.25">
      <c r="A152" s="183" t="s">
        <v>296</v>
      </c>
      <c r="B152" s="189" t="s">
        <v>5322</v>
      </c>
      <c r="C152" s="34" t="s">
        <v>0</v>
      </c>
      <c r="D152" s="143"/>
    </row>
    <row r="153" spans="1:4" x14ac:dyDescent="0.25">
      <c r="A153" s="183" t="s">
        <v>297</v>
      </c>
      <c r="B153" s="189" t="s">
        <v>5322</v>
      </c>
      <c r="C153" s="34" t="s">
        <v>0</v>
      </c>
      <c r="D153" s="143"/>
    </row>
    <row r="154" spans="1:4" x14ac:dyDescent="0.25">
      <c r="A154" s="183" t="s">
        <v>298</v>
      </c>
      <c r="B154" s="189" t="s">
        <v>5322</v>
      </c>
      <c r="C154" s="34" t="s">
        <v>0</v>
      </c>
      <c r="D154" s="143"/>
    </row>
    <row r="155" spans="1:4" x14ac:dyDescent="0.25">
      <c r="A155" s="144"/>
      <c r="B155" s="145"/>
      <c r="C155" s="32" t="s">
        <v>0</v>
      </c>
      <c r="D155" s="143"/>
    </row>
    <row r="156" spans="1:4" ht="20.399999999999999" x14ac:dyDescent="0.25">
      <c r="A156" s="144" t="s">
        <v>299</v>
      </c>
      <c r="B156" s="145" t="s">
        <v>300</v>
      </c>
      <c r="C156" s="112"/>
      <c r="D156" s="143" t="s">
        <v>0</v>
      </c>
    </row>
    <row r="157" spans="1:4" x14ac:dyDescent="0.25">
      <c r="A157" s="144"/>
      <c r="B157" s="145"/>
      <c r="C157" s="32" t="s">
        <v>0</v>
      </c>
      <c r="D157" s="143" t="s">
        <v>0</v>
      </c>
    </row>
    <row r="158" spans="1:4" x14ac:dyDescent="0.25">
      <c r="A158" s="144"/>
      <c r="B158" s="147" t="s">
        <v>301</v>
      </c>
      <c r="C158" s="32" t="s">
        <v>0</v>
      </c>
      <c r="D158" s="143" t="s">
        <v>0</v>
      </c>
    </row>
    <row r="159" spans="1:4" x14ac:dyDescent="0.25">
      <c r="A159" s="144"/>
      <c r="B159" s="145"/>
      <c r="C159" s="32" t="s">
        <v>0</v>
      </c>
      <c r="D159" s="143" t="s">
        <v>0</v>
      </c>
    </row>
    <row r="160" spans="1:4" ht="40.799999999999997" x14ac:dyDescent="0.25">
      <c r="A160" s="144" t="s">
        <v>302</v>
      </c>
      <c r="B160" s="145" t="s">
        <v>5323</v>
      </c>
      <c r="C160" s="112"/>
      <c r="D160" s="143" t="s">
        <v>0</v>
      </c>
    </row>
    <row r="161" spans="1:4" x14ac:dyDescent="0.25">
      <c r="A161" s="144"/>
      <c r="B161" s="145"/>
      <c r="C161" s="32" t="s">
        <v>0</v>
      </c>
      <c r="D161" s="143" t="s">
        <v>0</v>
      </c>
    </row>
    <row r="162" spans="1:4" ht="30.6" x14ac:dyDescent="0.25">
      <c r="A162" s="144" t="s">
        <v>303</v>
      </c>
      <c r="B162" s="145" t="s">
        <v>5324</v>
      </c>
      <c r="C162" s="112"/>
      <c r="D162" s="143" t="s">
        <v>0</v>
      </c>
    </row>
    <row r="163" spans="1:4" ht="40.799999999999997" x14ac:dyDescent="0.25">
      <c r="A163" s="144"/>
      <c r="B163" s="146" t="s">
        <v>304</v>
      </c>
      <c r="C163" s="32" t="s">
        <v>0</v>
      </c>
      <c r="D163" s="143" t="s">
        <v>0</v>
      </c>
    </row>
    <row r="164" spans="1:4" x14ac:dyDescent="0.25">
      <c r="A164" s="144"/>
      <c r="B164" s="145"/>
      <c r="C164" s="32" t="s">
        <v>0</v>
      </c>
      <c r="D164" s="143" t="s">
        <v>0</v>
      </c>
    </row>
    <row r="165" spans="1:4" x14ac:dyDescent="0.25">
      <c r="A165" s="144"/>
      <c r="B165" s="146" t="s">
        <v>305</v>
      </c>
      <c r="C165" s="32" t="s">
        <v>0</v>
      </c>
      <c r="D165" s="143" t="s">
        <v>0</v>
      </c>
    </row>
    <row r="166" spans="1:4" ht="51" x14ac:dyDescent="0.25">
      <c r="A166" s="144" t="s">
        <v>306</v>
      </c>
      <c r="B166" s="145" t="s">
        <v>5325</v>
      </c>
      <c r="C166" s="112"/>
      <c r="D166" s="143" t="s">
        <v>0</v>
      </c>
    </row>
    <row r="167" spans="1:4" ht="20.399999999999999" x14ac:dyDescent="0.25">
      <c r="A167" s="144" t="s">
        <v>307</v>
      </c>
      <c r="B167" s="145" t="s">
        <v>5326</v>
      </c>
      <c r="C167" s="112"/>
      <c r="D167" s="143" t="s">
        <v>0</v>
      </c>
    </row>
    <row r="168" spans="1:4" ht="51" x14ac:dyDescent="0.25">
      <c r="A168" s="144" t="s">
        <v>308</v>
      </c>
      <c r="B168" s="145" t="s">
        <v>5327</v>
      </c>
      <c r="C168" s="112"/>
      <c r="D168" s="143" t="s">
        <v>0</v>
      </c>
    </row>
    <row r="169" spans="1:4" ht="51" x14ac:dyDescent="0.25">
      <c r="A169" s="144" t="s">
        <v>309</v>
      </c>
      <c r="B169" s="145" t="s">
        <v>5328</v>
      </c>
      <c r="C169" s="112"/>
      <c r="D169" s="143" t="s">
        <v>0</v>
      </c>
    </row>
    <row r="170" spans="1:4" ht="102" x14ac:dyDescent="0.25">
      <c r="A170" s="144" t="s">
        <v>310</v>
      </c>
      <c r="B170" s="145" t="s">
        <v>5329</v>
      </c>
      <c r="C170" s="112"/>
      <c r="D170" s="143" t="s">
        <v>0</v>
      </c>
    </row>
    <row r="171" spans="1:4" x14ac:dyDescent="0.25">
      <c r="A171" s="144"/>
      <c r="B171" s="145"/>
      <c r="C171" s="32" t="s">
        <v>0</v>
      </c>
      <c r="D171" s="143" t="s">
        <v>0</v>
      </c>
    </row>
    <row r="172" spans="1:4" x14ac:dyDescent="0.25">
      <c r="A172" s="144"/>
      <c r="B172" s="145" t="s">
        <v>311</v>
      </c>
      <c r="C172" s="32" t="s">
        <v>0</v>
      </c>
      <c r="D172" s="143" t="s">
        <v>0</v>
      </c>
    </row>
    <row r="173" spans="1:4" x14ac:dyDescent="0.25">
      <c r="A173" s="144" t="s">
        <v>312</v>
      </c>
      <c r="B173" s="145" t="s">
        <v>313</v>
      </c>
      <c r="C173" s="112"/>
      <c r="D173" s="143" t="s">
        <v>0</v>
      </c>
    </row>
    <row r="174" spans="1:4" x14ac:dyDescent="0.25">
      <c r="A174" s="144" t="s">
        <v>314</v>
      </c>
      <c r="B174" s="145" t="s">
        <v>315</v>
      </c>
      <c r="C174" s="112"/>
      <c r="D174" s="143" t="s">
        <v>0</v>
      </c>
    </row>
    <row r="175" spans="1:4" x14ac:dyDescent="0.25">
      <c r="A175" s="144" t="s">
        <v>316</v>
      </c>
      <c r="B175" s="145" t="s">
        <v>317</v>
      </c>
      <c r="C175" s="112"/>
      <c r="D175" s="143" t="s">
        <v>0</v>
      </c>
    </row>
    <row r="176" spans="1:4" x14ac:dyDescent="0.25">
      <c r="A176" s="144" t="s">
        <v>318</v>
      </c>
      <c r="B176" s="145" t="s">
        <v>319</v>
      </c>
      <c r="C176" s="112"/>
      <c r="D176" s="143" t="s">
        <v>0</v>
      </c>
    </row>
    <row r="177" spans="1:4" x14ac:dyDescent="0.25">
      <c r="A177" s="144"/>
      <c r="B177" s="145"/>
      <c r="C177" s="32" t="s">
        <v>0</v>
      </c>
      <c r="D177" s="143" t="s">
        <v>0</v>
      </c>
    </row>
    <row r="178" spans="1:4" x14ac:dyDescent="0.25">
      <c r="A178" s="144"/>
      <c r="B178" s="147" t="s">
        <v>320</v>
      </c>
      <c r="C178" s="32" t="s">
        <v>0</v>
      </c>
      <c r="D178" s="143"/>
    </row>
    <row r="179" spans="1:4" x14ac:dyDescent="0.25">
      <c r="A179" s="144"/>
      <c r="B179" s="145"/>
      <c r="C179" s="32" t="s">
        <v>0</v>
      </c>
      <c r="D179" s="143"/>
    </row>
    <row r="180" spans="1:4" x14ac:dyDescent="0.25">
      <c r="A180" s="144" t="s">
        <v>321</v>
      </c>
      <c r="B180" s="145" t="s">
        <v>322</v>
      </c>
      <c r="C180" s="112"/>
      <c r="D180" s="143"/>
    </row>
    <row r="181" spans="1:4" x14ac:dyDescent="0.25">
      <c r="A181" s="144"/>
      <c r="B181" s="145" t="s">
        <v>196</v>
      </c>
      <c r="C181" s="32" t="s">
        <v>0</v>
      </c>
      <c r="D181" s="143"/>
    </row>
    <row r="182" spans="1:4" x14ac:dyDescent="0.25">
      <c r="A182" s="144" t="s">
        <v>323</v>
      </c>
      <c r="B182" s="145" t="s">
        <v>324</v>
      </c>
      <c r="C182" s="112"/>
      <c r="D182" s="143"/>
    </row>
    <row r="183" spans="1:4" x14ac:dyDescent="0.25">
      <c r="A183" s="144" t="s">
        <v>325</v>
      </c>
      <c r="B183" s="145" t="s">
        <v>326</v>
      </c>
      <c r="C183" s="115"/>
      <c r="D183" s="143"/>
    </row>
    <row r="184" spans="1:4" x14ac:dyDescent="0.25">
      <c r="A184" s="144" t="s">
        <v>327</v>
      </c>
      <c r="B184" s="145" t="s">
        <v>328</v>
      </c>
      <c r="C184" s="115"/>
      <c r="D184" s="143"/>
    </row>
    <row r="185" spans="1:4" x14ac:dyDescent="0.25">
      <c r="A185" s="144"/>
      <c r="B185" s="145"/>
      <c r="C185" s="32" t="s">
        <v>0</v>
      </c>
      <c r="D185" s="143" t="s">
        <v>0</v>
      </c>
    </row>
    <row r="186" spans="1:4" ht="51" x14ac:dyDescent="0.25">
      <c r="A186" s="144" t="s">
        <v>329</v>
      </c>
      <c r="B186" s="145" t="s">
        <v>330</v>
      </c>
      <c r="C186" s="112"/>
      <c r="D186" s="143"/>
    </row>
    <row r="187" spans="1:4" ht="40.799999999999997" x14ac:dyDescent="0.25">
      <c r="A187" s="144" t="s">
        <v>331</v>
      </c>
      <c r="B187" s="145" t="s">
        <v>5767</v>
      </c>
      <c r="C187" s="112"/>
      <c r="D187" s="143"/>
    </row>
    <row r="188" spans="1:4" x14ac:dyDescent="0.25">
      <c r="A188" s="144"/>
      <c r="B188" s="145"/>
      <c r="C188" s="33" t="s">
        <v>0</v>
      </c>
      <c r="D188" s="143"/>
    </row>
    <row r="189" spans="1:4" x14ac:dyDescent="0.25">
      <c r="A189" s="144"/>
      <c r="B189" s="145" t="s">
        <v>332</v>
      </c>
      <c r="C189" s="32" t="s">
        <v>0</v>
      </c>
      <c r="D189" s="143"/>
    </row>
    <row r="190" spans="1:4" x14ac:dyDescent="0.25">
      <c r="A190" s="144"/>
      <c r="B190" s="145"/>
      <c r="C190" s="33" t="s">
        <v>0</v>
      </c>
      <c r="D190" s="143" t="s">
        <v>0</v>
      </c>
    </row>
    <row r="191" spans="1:4" ht="30.6" x14ac:dyDescent="0.25">
      <c r="A191" s="144" t="s">
        <v>333</v>
      </c>
      <c r="B191" s="145" t="s">
        <v>5768</v>
      </c>
      <c r="C191" s="112"/>
      <c r="D191" s="143"/>
    </row>
    <row r="192" spans="1:4" ht="40.799999999999997" x14ac:dyDescent="0.25">
      <c r="A192" s="144" t="s">
        <v>334</v>
      </c>
      <c r="B192" s="145" t="s">
        <v>335</v>
      </c>
      <c r="C192" s="112"/>
      <c r="D192" s="143"/>
    </row>
    <row r="193" spans="1:4" ht="40.799999999999997" x14ac:dyDescent="0.25">
      <c r="A193" s="144" t="s">
        <v>336</v>
      </c>
      <c r="B193" s="145" t="s">
        <v>5330</v>
      </c>
      <c r="C193" s="112"/>
      <c r="D193" s="143"/>
    </row>
    <row r="194" spans="1:4" ht="30.6" x14ac:dyDescent="0.25">
      <c r="A194" s="144" t="s">
        <v>337</v>
      </c>
      <c r="B194" s="145" t="s">
        <v>338</v>
      </c>
      <c r="C194" s="112"/>
      <c r="D194" s="143"/>
    </row>
    <row r="195" spans="1:4" ht="40.799999999999997" x14ac:dyDescent="0.25">
      <c r="A195" s="144" t="s">
        <v>339</v>
      </c>
      <c r="B195" s="145" t="s">
        <v>340</v>
      </c>
      <c r="C195" s="112"/>
      <c r="D195" s="143"/>
    </row>
    <row r="196" spans="1:4" ht="51" x14ac:dyDescent="0.25">
      <c r="A196" s="144" t="s">
        <v>341</v>
      </c>
      <c r="B196" s="145" t="s">
        <v>342</v>
      </c>
      <c r="C196" s="112"/>
      <c r="D196" s="143"/>
    </row>
    <row r="197" spans="1:4" ht="51" x14ac:dyDescent="0.25">
      <c r="A197" s="144" t="s">
        <v>343</v>
      </c>
      <c r="B197" s="145" t="s">
        <v>344</v>
      </c>
      <c r="C197" s="112"/>
      <c r="D197" s="143"/>
    </row>
    <row r="198" spans="1:4" ht="61.2" x14ac:dyDescent="0.25">
      <c r="A198" s="144" t="s">
        <v>345</v>
      </c>
      <c r="B198" s="145" t="s">
        <v>346</v>
      </c>
      <c r="C198" s="112"/>
      <c r="D198" s="143"/>
    </row>
    <row r="199" spans="1:4" ht="51" x14ac:dyDescent="0.25">
      <c r="A199" s="144" t="s">
        <v>347</v>
      </c>
      <c r="B199" s="145" t="s">
        <v>348</v>
      </c>
      <c r="C199" s="112"/>
      <c r="D199" s="143"/>
    </row>
    <row r="200" spans="1:4" ht="71.400000000000006" x14ac:dyDescent="0.25">
      <c r="A200" s="144" t="s">
        <v>349</v>
      </c>
      <c r="B200" s="145" t="s">
        <v>5331</v>
      </c>
      <c r="C200" s="112"/>
      <c r="D200" s="143"/>
    </row>
    <row r="201" spans="1:4" ht="30.6" x14ac:dyDescent="0.25">
      <c r="A201" s="144" t="s">
        <v>350</v>
      </c>
      <c r="B201" s="145" t="s">
        <v>351</v>
      </c>
      <c r="C201" s="111"/>
      <c r="D201" s="143"/>
    </row>
    <row r="202" spans="1:4" x14ac:dyDescent="0.25">
      <c r="A202" s="144"/>
      <c r="B202" s="145"/>
      <c r="C202" s="32" t="s">
        <v>0</v>
      </c>
      <c r="D202" s="143"/>
    </row>
    <row r="203" spans="1:4" x14ac:dyDescent="0.25">
      <c r="A203" s="144"/>
      <c r="B203" s="148" t="s">
        <v>352</v>
      </c>
      <c r="C203" s="32" t="s">
        <v>0</v>
      </c>
      <c r="D203" s="143"/>
    </row>
    <row r="204" spans="1:4" x14ac:dyDescent="0.25">
      <c r="A204" s="144"/>
      <c r="B204" s="145"/>
      <c r="C204" s="33" t="s">
        <v>0</v>
      </c>
      <c r="D204" s="143" t="s">
        <v>0</v>
      </c>
    </row>
    <row r="205" spans="1:4" ht="30.6" x14ac:dyDescent="0.25">
      <c r="A205" s="144" t="s">
        <v>353</v>
      </c>
      <c r="B205" s="145" t="s">
        <v>5332</v>
      </c>
      <c r="C205" s="112"/>
      <c r="D205" s="143"/>
    </row>
    <row r="206" spans="1:4" ht="30.6" x14ac:dyDescent="0.25">
      <c r="A206" s="144" t="s">
        <v>354</v>
      </c>
      <c r="B206" s="145" t="s">
        <v>5333</v>
      </c>
      <c r="C206" s="112"/>
      <c r="D206" s="143"/>
    </row>
    <row r="207" spans="1:4" ht="20.399999999999999" x14ac:dyDescent="0.25">
      <c r="A207" s="144" t="s">
        <v>355</v>
      </c>
      <c r="B207" s="145" t="s">
        <v>356</v>
      </c>
      <c r="C207" s="112"/>
      <c r="D207" s="143"/>
    </row>
    <row r="208" spans="1:4" ht="20.399999999999999" x14ac:dyDescent="0.25">
      <c r="A208" s="144" t="s">
        <v>357</v>
      </c>
      <c r="B208" s="145" t="s">
        <v>358</v>
      </c>
      <c r="C208" s="112"/>
      <c r="D208" s="143"/>
    </row>
    <row r="209" spans="1:4" ht="20.399999999999999" x14ac:dyDescent="0.25">
      <c r="A209" s="144" t="s">
        <v>359</v>
      </c>
      <c r="B209" s="145" t="s">
        <v>360</v>
      </c>
      <c r="C209" s="112"/>
      <c r="D209" s="143"/>
    </row>
    <row r="210" spans="1:4" ht="20.399999999999999" x14ac:dyDescent="0.25">
      <c r="A210" s="144" t="s">
        <v>361</v>
      </c>
      <c r="B210" s="145" t="s">
        <v>362</v>
      </c>
      <c r="C210" s="112"/>
      <c r="D210" s="143"/>
    </row>
    <row r="211" spans="1:4" ht="30.6" x14ac:dyDescent="0.25">
      <c r="A211" s="144" t="s">
        <v>363</v>
      </c>
      <c r="B211" s="145" t="s">
        <v>364</v>
      </c>
      <c r="C211" s="112"/>
      <c r="D211" s="143"/>
    </row>
    <row r="212" spans="1:4" ht="40.799999999999997" x14ac:dyDescent="0.25">
      <c r="A212" s="144" t="s">
        <v>365</v>
      </c>
      <c r="B212" s="145" t="s">
        <v>366</v>
      </c>
      <c r="C212" s="112"/>
      <c r="D212" s="143"/>
    </row>
    <row r="213" spans="1:4" ht="30.6" x14ac:dyDescent="0.25">
      <c r="A213" s="144" t="s">
        <v>367</v>
      </c>
      <c r="B213" s="145" t="s">
        <v>368</v>
      </c>
      <c r="C213" s="112"/>
      <c r="D213" s="143"/>
    </row>
    <row r="214" spans="1:4" ht="40.799999999999997" x14ac:dyDescent="0.25">
      <c r="A214" s="144" t="s">
        <v>369</v>
      </c>
      <c r="B214" s="145" t="s">
        <v>370</v>
      </c>
      <c r="C214" s="112"/>
      <c r="D214" s="143"/>
    </row>
    <row r="215" spans="1:4" x14ac:dyDescent="0.25">
      <c r="A215" s="144"/>
      <c r="B215" s="145"/>
      <c r="C215" s="32" t="s">
        <v>0</v>
      </c>
      <c r="D215" s="143"/>
    </row>
    <row r="216" spans="1:4" x14ac:dyDescent="0.25">
      <c r="A216" s="144" t="s">
        <v>371</v>
      </c>
      <c r="B216" s="145" t="s">
        <v>372</v>
      </c>
      <c r="C216" s="112"/>
      <c r="D216" s="143"/>
    </row>
    <row r="217" spans="1:4" x14ac:dyDescent="0.25">
      <c r="A217" s="144"/>
      <c r="B217" s="145"/>
      <c r="C217" s="32" t="s">
        <v>0</v>
      </c>
      <c r="D217" s="143"/>
    </row>
    <row r="218" spans="1:4" x14ac:dyDescent="0.25">
      <c r="A218" s="144"/>
      <c r="B218" s="148" t="s">
        <v>373</v>
      </c>
      <c r="C218" s="32" t="s">
        <v>0</v>
      </c>
      <c r="D218" s="143"/>
    </row>
    <row r="219" spans="1:4" ht="20.399999999999999" x14ac:dyDescent="0.25">
      <c r="A219" s="144"/>
      <c r="B219" s="145" t="s">
        <v>374</v>
      </c>
      <c r="C219" s="32" t="s">
        <v>0</v>
      </c>
      <c r="D219" s="143"/>
    </row>
    <row r="220" spans="1:4" x14ac:dyDescent="0.25">
      <c r="A220" s="144"/>
      <c r="B220" s="145"/>
      <c r="C220" s="32" t="s">
        <v>0</v>
      </c>
      <c r="D220" s="143"/>
    </row>
    <row r="221" spans="1:4" ht="51" x14ac:dyDescent="0.25">
      <c r="A221" s="144" t="s">
        <v>375</v>
      </c>
      <c r="B221" s="145" t="s">
        <v>376</v>
      </c>
      <c r="C221" s="112"/>
      <c r="D221" s="143"/>
    </row>
    <row r="222" spans="1:4" ht="30.6" x14ac:dyDescent="0.25">
      <c r="A222" s="144" t="s">
        <v>377</v>
      </c>
      <c r="B222" s="145" t="s">
        <v>378</v>
      </c>
      <c r="C222" s="112"/>
      <c r="D222" s="143"/>
    </row>
    <row r="223" spans="1:4" ht="40.799999999999997" x14ac:dyDescent="0.25">
      <c r="A223" s="144" t="s">
        <v>379</v>
      </c>
      <c r="B223" s="145" t="s">
        <v>5334</v>
      </c>
      <c r="C223" s="112"/>
      <c r="D223" s="143"/>
    </row>
    <row r="224" spans="1:4" ht="91.8" x14ac:dyDescent="0.25">
      <c r="A224" s="144" t="s">
        <v>380</v>
      </c>
      <c r="B224" s="145" t="s">
        <v>5335</v>
      </c>
      <c r="C224" s="112"/>
      <c r="D224" s="143"/>
    </row>
    <row r="225" spans="1:4" ht="30.6" x14ac:dyDescent="0.25">
      <c r="A225" s="144" t="s">
        <v>381</v>
      </c>
      <c r="B225" s="145" t="s">
        <v>382</v>
      </c>
      <c r="C225" s="112"/>
      <c r="D225" s="143"/>
    </row>
    <row r="226" spans="1:4" ht="20.399999999999999" x14ac:dyDescent="0.25">
      <c r="A226" s="144" t="s">
        <v>383</v>
      </c>
      <c r="B226" s="145" t="s">
        <v>5336</v>
      </c>
      <c r="C226" s="112"/>
      <c r="D226" s="143"/>
    </row>
    <row r="227" spans="1:4" ht="40.799999999999997" x14ac:dyDescent="0.25">
      <c r="A227" s="144" t="s">
        <v>384</v>
      </c>
      <c r="B227" s="145" t="s">
        <v>385</v>
      </c>
      <c r="C227" s="112"/>
      <c r="D227" s="143"/>
    </row>
    <row r="228" spans="1:4" ht="40.799999999999997" x14ac:dyDescent="0.25">
      <c r="A228" s="144" t="s">
        <v>386</v>
      </c>
      <c r="B228" s="145" t="s">
        <v>387</v>
      </c>
      <c r="C228" s="112"/>
      <c r="D228" s="143"/>
    </row>
    <row r="229" spans="1:4" ht="40.799999999999997" x14ac:dyDescent="0.25">
      <c r="A229" s="144" t="s">
        <v>388</v>
      </c>
      <c r="B229" s="145" t="s">
        <v>389</v>
      </c>
      <c r="C229" s="112"/>
      <c r="D229" s="143"/>
    </row>
    <row r="230" spans="1:4" ht="30.6" x14ac:dyDescent="0.25">
      <c r="A230" s="144" t="s">
        <v>390</v>
      </c>
      <c r="B230" s="145" t="s">
        <v>391</v>
      </c>
      <c r="C230" s="112"/>
      <c r="D230" s="143"/>
    </row>
    <row r="231" spans="1:4" ht="61.2" x14ac:dyDescent="0.25">
      <c r="A231" s="144" t="s">
        <v>392</v>
      </c>
      <c r="B231" s="145" t="s">
        <v>5337</v>
      </c>
      <c r="C231" s="112"/>
      <c r="D231" s="143"/>
    </row>
    <row r="232" spans="1:4" ht="61.2" x14ac:dyDescent="0.25">
      <c r="A232" s="144" t="s">
        <v>393</v>
      </c>
      <c r="B232" s="145" t="s">
        <v>394</v>
      </c>
      <c r="C232" s="112"/>
      <c r="D232" s="143"/>
    </row>
    <row r="233" spans="1:4" ht="61.2" x14ac:dyDescent="0.25">
      <c r="A233" s="144" t="s">
        <v>395</v>
      </c>
      <c r="B233" s="145" t="s">
        <v>396</v>
      </c>
      <c r="C233" s="112"/>
      <c r="D233" s="143"/>
    </row>
    <row r="234" spans="1:4" ht="81.599999999999994" x14ac:dyDescent="0.25">
      <c r="A234" s="144" t="s">
        <v>397</v>
      </c>
      <c r="B234" s="145" t="s">
        <v>5338</v>
      </c>
      <c r="C234" s="112"/>
      <c r="D234" s="143"/>
    </row>
    <row r="235" spans="1:4" ht="71.400000000000006" x14ac:dyDescent="0.25">
      <c r="A235" s="144" t="s">
        <v>398</v>
      </c>
      <c r="B235" s="145" t="s">
        <v>5339</v>
      </c>
      <c r="C235" s="112"/>
      <c r="D235" s="143"/>
    </row>
    <row r="236" spans="1:4" ht="51" x14ac:dyDescent="0.25">
      <c r="A236" s="144" t="s">
        <v>399</v>
      </c>
      <c r="B236" s="145" t="s">
        <v>5340</v>
      </c>
      <c r="C236" s="112"/>
      <c r="D236" s="143"/>
    </row>
    <row r="237" spans="1:4" ht="40.799999999999997" x14ac:dyDescent="0.25">
      <c r="A237" s="144" t="s">
        <v>400</v>
      </c>
      <c r="B237" s="145" t="s">
        <v>401</v>
      </c>
      <c r="C237" s="112"/>
      <c r="D237" s="143"/>
    </row>
    <row r="238" spans="1:4" ht="51" x14ac:dyDescent="0.25">
      <c r="A238" s="144" t="s">
        <v>402</v>
      </c>
      <c r="B238" s="145" t="s">
        <v>403</v>
      </c>
      <c r="C238" s="112"/>
      <c r="D238" s="143"/>
    </row>
    <row r="239" spans="1:4" ht="30.6" x14ac:dyDescent="0.25">
      <c r="A239" s="144"/>
      <c r="B239" s="146" t="s">
        <v>404</v>
      </c>
      <c r="C239" s="32" t="s">
        <v>0</v>
      </c>
      <c r="D239" s="143"/>
    </row>
    <row r="240" spans="1:4" ht="71.400000000000006" x14ac:dyDescent="0.25">
      <c r="A240" s="144" t="s">
        <v>405</v>
      </c>
      <c r="B240" s="145" t="s">
        <v>5341</v>
      </c>
      <c r="C240" s="112"/>
      <c r="D240" s="143"/>
    </row>
    <row r="241" spans="1:4" ht="61.2" x14ac:dyDescent="0.25">
      <c r="A241" s="144" t="s">
        <v>406</v>
      </c>
      <c r="B241" s="145" t="s">
        <v>407</v>
      </c>
      <c r="C241" s="112"/>
      <c r="D241" s="143"/>
    </row>
    <row r="242" spans="1:4" ht="30.6" x14ac:dyDescent="0.25">
      <c r="A242" s="144" t="s">
        <v>408</v>
      </c>
      <c r="B242" s="145" t="s">
        <v>409</v>
      </c>
      <c r="C242" s="112"/>
      <c r="D242" s="143"/>
    </row>
    <row r="243" spans="1:4" ht="122.4" x14ac:dyDescent="0.25">
      <c r="A243" s="144" t="s">
        <v>410</v>
      </c>
      <c r="B243" s="145" t="s">
        <v>411</v>
      </c>
      <c r="C243" s="112"/>
      <c r="D243" s="143"/>
    </row>
    <row r="244" spans="1:4" ht="71.400000000000006" x14ac:dyDescent="0.25">
      <c r="A244" s="144" t="s">
        <v>412</v>
      </c>
      <c r="B244" s="145" t="s">
        <v>5342</v>
      </c>
      <c r="C244" s="112"/>
      <c r="D244" s="143"/>
    </row>
    <row r="245" spans="1:4" ht="20.399999999999999" x14ac:dyDescent="0.25">
      <c r="A245" s="144" t="s">
        <v>413</v>
      </c>
      <c r="B245" s="145" t="s">
        <v>414</v>
      </c>
      <c r="C245" s="112"/>
      <c r="D245" s="143"/>
    </row>
    <row r="246" spans="1:4" ht="40.799999999999997" x14ac:dyDescent="0.25">
      <c r="A246" s="144" t="s">
        <v>415</v>
      </c>
      <c r="B246" s="145" t="s">
        <v>416</v>
      </c>
      <c r="C246" s="111"/>
      <c r="D246" s="143"/>
    </row>
    <row r="247" spans="1:4" ht="40.799999999999997" x14ac:dyDescent="0.25">
      <c r="A247" s="144" t="s">
        <v>417</v>
      </c>
      <c r="B247" s="145" t="s">
        <v>418</v>
      </c>
      <c r="C247" s="111"/>
      <c r="D247" s="143"/>
    </row>
    <row r="248" spans="1:4" ht="61.2" x14ac:dyDescent="0.25">
      <c r="A248" s="144" t="s">
        <v>419</v>
      </c>
      <c r="B248" s="145" t="s">
        <v>420</v>
      </c>
      <c r="C248" s="112"/>
      <c r="D248" s="143"/>
    </row>
    <row r="249" spans="1:4" ht="51" x14ac:dyDescent="0.25">
      <c r="A249" s="144" t="s">
        <v>421</v>
      </c>
      <c r="B249" s="145" t="s">
        <v>5769</v>
      </c>
      <c r="C249" s="112"/>
      <c r="D249" s="143"/>
    </row>
    <row r="250" spans="1:4" ht="30.6" x14ac:dyDescent="0.25">
      <c r="A250" s="144" t="s">
        <v>422</v>
      </c>
      <c r="B250" s="145" t="s">
        <v>423</v>
      </c>
      <c r="C250" s="112"/>
      <c r="D250" s="143"/>
    </row>
    <row r="251" spans="1:4" ht="91.8" x14ac:dyDescent="0.25">
      <c r="A251" s="144" t="s">
        <v>424</v>
      </c>
      <c r="B251" s="145" t="s">
        <v>5343</v>
      </c>
      <c r="C251" s="112"/>
      <c r="D251" s="143"/>
    </row>
    <row r="252" spans="1:4" ht="40.799999999999997" x14ac:dyDescent="0.25">
      <c r="A252" s="144" t="s">
        <v>425</v>
      </c>
      <c r="B252" s="145" t="s">
        <v>426</v>
      </c>
      <c r="C252" s="112"/>
      <c r="D252" s="143"/>
    </row>
    <row r="253" spans="1:4" ht="51" x14ac:dyDescent="0.25">
      <c r="A253" s="144" t="s">
        <v>427</v>
      </c>
      <c r="B253" s="145" t="s">
        <v>428</v>
      </c>
      <c r="C253" s="112"/>
      <c r="D253" s="143"/>
    </row>
    <row r="254" spans="1:4" ht="30.6" x14ac:dyDescent="0.25">
      <c r="A254" s="144" t="s">
        <v>429</v>
      </c>
      <c r="B254" s="145" t="s">
        <v>430</v>
      </c>
      <c r="C254" s="112"/>
      <c r="D254" s="143"/>
    </row>
    <row r="255" spans="1:4" x14ac:dyDescent="0.25">
      <c r="A255" s="144" t="s">
        <v>431</v>
      </c>
      <c r="B255" s="145" t="s">
        <v>432</v>
      </c>
      <c r="C255" s="112"/>
      <c r="D255" s="143"/>
    </row>
    <row r="256" spans="1:4" x14ac:dyDescent="0.25">
      <c r="A256" s="144"/>
      <c r="B256" s="145"/>
      <c r="C256" s="32" t="s">
        <v>0</v>
      </c>
      <c r="D256" s="143"/>
    </row>
    <row r="257" spans="1:4" x14ac:dyDescent="0.25">
      <c r="A257" s="150"/>
      <c r="B257" s="151"/>
      <c r="C257" s="34" t="s">
        <v>0</v>
      </c>
      <c r="D257" s="143" t="s">
        <v>0</v>
      </c>
    </row>
    <row r="258" spans="1:4" x14ac:dyDescent="0.25">
      <c r="A258" s="144" t="s">
        <v>433</v>
      </c>
      <c r="B258" s="145" t="s">
        <v>5344</v>
      </c>
      <c r="C258" s="112"/>
      <c r="D258" s="143"/>
    </row>
    <row r="259" spans="1:4" x14ac:dyDescent="0.25">
      <c r="A259" s="144"/>
      <c r="B259" s="145" t="s">
        <v>434</v>
      </c>
      <c r="C259" s="32" t="s">
        <v>0</v>
      </c>
      <c r="D259" s="143"/>
    </row>
    <row r="260" spans="1:4" x14ac:dyDescent="0.25">
      <c r="A260" s="144" t="s">
        <v>435</v>
      </c>
      <c r="B260" s="145" t="s">
        <v>436</v>
      </c>
      <c r="C260" s="112"/>
      <c r="D260" s="143"/>
    </row>
    <row r="261" spans="1:4" x14ac:dyDescent="0.25">
      <c r="A261" s="144" t="s">
        <v>437</v>
      </c>
      <c r="B261" s="145" t="s">
        <v>438</v>
      </c>
      <c r="C261" s="112"/>
      <c r="D261" s="143"/>
    </row>
    <row r="262" spans="1:4" x14ac:dyDescent="0.25">
      <c r="A262" s="144"/>
      <c r="B262" s="145"/>
      <c r="C262" s="160"/>
      <c r="D262" s="156"/>
    </row>
    <row r="263" spans="1:4" x14ac:dyDescent="0.25">
      <c r="A263" s="144"/>
      <c r="B263" s="146" t="s">
        <v>5345</v>
      </c>
      <c r="C263" s="160"/>
      <c r="D263" s="156"/>
    </row>
    <row r="264" spans="1:4" x14ac:dyDescent="0.25">
      <c r="A264" s="144" t="s">
        <v>439</v>
      </c>
      <c r="B264" s="145" t="s">
        <v>5346</v>
      </c>
      <c r="C264" s="160"/>
      <c r="D264" s="156"/>
    </row>
    <row r="265" spans="1:4" x14ac:dyDescent="0.25">
      <c r="A265" s="144" t="s">
        <v>441</v>
      </c>
      <c r="B265" s="145" t="s">
        <v>5347</v>
      </c>
      <c r="C265" s="160"/>
      <c r="D265" s="156"/>
    </row>
    <row r="266" spans="1:4" x14ac:dyDescent="0.25">
      <c r="A266" s="144"/>
      <c r="B266" s="145"/>
      <c r="C266" s="160"/>
      <c r="D266" s="156"/>
    </row>
    <row r="267" spans="1:4" x14ac:dyDescent="0.25">
      <c r="A267" s="144"/>
      <c r="B267" s="146" t="s">
        <v>5348</v>
      </c>
      <c r="C267" s="160"/>
      <c r="D267" s="156"/>
    </row>
    <row r="268" spans="1:4" x14ac:dyDescent="0.25">
      <c r="A268" s="144" t="s">
        <v>443</v>
      </c>
      <c r="B268" s="145" t="s">
        <v>5349</v>
      </c>
      <c r="C268" s="160"/>
      <c r="D268" s="156"/>
    </row>
    <row r="269" spans="1:4" x14ac:dyDescent="0.25">
      <c r="A269" s="144" t="s">
        <v>444</v>
      </c>
      <c r="B269" s="145" t="s">
        <v>5350</v>
      </c>
      <c r="C269" s="160"/>
      <c r="D269" s="156"/>
    </row>
    <row r="270" spans="1:4" x14ac:dyDescent="0.25">
      <c r="A270" s="196"/>
      <c r="B270" s="197"/>
      <c r="C270" s="198"/>
      <c r="D270" s="156"/>
    </row>
    <row r="271" spans="1:4" x14ac:dyDescent="0.25">
      <c r="A271" s="144" t="s">
        <v>446</v>
      </c>
      <c r="B271" s="145" t="s">
        <v>5351</v>
      </c>
      <c r="C271" s="160"/>
      <c r="D271" s="156"/>
    </row>
    <row r="272" spans="1:4" x14ac:dyDescent="0.25">
      <c r="A272" s="144" t="s">
        <v>449</v>
      </c>
      <c r="B272" s="145" t="s">
        <v>5352</v>
      </c>
      <c r="C272" s="160"/>
      <c r="D272" s="156"/>
    </row>
    <row r="273" spans="1:4" x14ac:dyDescent="0.25">
      <c r="A273" s="196"/>
      <c r="B273" s="197"/>
      <c r="C273" s="198"/>
      <c r="D273" s="156"/>
    </row>
    <row r="274" spans="1:4" x14ac:dyDescent="0.25">
      <c r="A274" s="144" t="s">
        <v>451</v>
      </c>
      <c r="B274" s="145" t="s">
        <v>5353</v>
      </c>
      <c r="C274" s="160"/>
      <c r="D274" s="156"/>
    </row>
    <row r="275" spans="1:4" x14ac:dyDescent="0.25">
      <c r="A275" s="144" t="s">
        <v>453</v>
      </c>
      <c r="B275" s="145" t="s">
        <v>5354</v>
      </c>
      <c r="C275" s="160"/>
      <c r="D275" s="156"/>
    </row>
    <row r="276" spans="1:4" x14ac:dyDescent="0.25">
      <c r="A276" s="196"/>
      <c r="B276" s="197"/>
      <c r="C276" s="198"/>
      <c r="D276" s="156"/>
    </row>
    <row r="277" spans="1:4" x14ac:dyDescent="0.25">
      <c r="A277" s="144" t="s">
        <v>455</v>
      </c>
      <c r="B277" s="145" t="s">
        <v>5355</v>
      </c>
      <c r="C277" s="160"/>
      <c r="D277" s="156"/>
    </row>
    <row r="278" spans="1:4" x14ac:dyDescent="0.25">
      <c r="A278" s="144" t="s">
        <v>457</v>
      </c>
      <c r="B278" s="145" t="s">
        <v>5356</v>
      </c>
      <c r="C278" s="160"/>
      <c r="D278" s="156"/>
    </row>
    <row r="279" spans="1:4" x14ac:dyDescent="0.25">
      <c r="A279" s="196"/>
      <c r="B279" s="197"/>
      <c r="C279" s="198"/>
      <c r="D279" s="156"/>
    </row>
    <row r="280" spans="1:4" x14ac:dyDescent="0.25">
      <c r="A280" s="144" t="s">
        <v>459</v>
      </c>
      <c r="B280" s="145" t="s">
        <v>5357</v>
      </c>
      <c r="C280" s="160"/>
      <c r="D280" s="156"/>
    </row>
    <row r="281" spans="1:4" x14ac:dyDescent="0.25">
      <c r="A281" s="144" t="s">
        <v>460</v>
      </c>
      <c r="B281" s="145" t="s">
        <v>5358</v>
      </c>
      <c r="C281" s="160"/>
      <c r="D281" s="156"/>
    </row>
    <row r="282" spans="1:4" x14ac:dyDescent="0.25">
      <c r="A282" s="196"/>
      <c r="B282" s="197"/>
      <c r="C282" s="198"/>
      <c r="D282" s="156"/>
    </row>
    <row r="283" spans="1:4" x14ac:dyDescent="0.25">
      <c r="A283" s="144" t="s">
        <v>461</v>
      </c>
      <c r="B283" s="145" t="s">
        <v>5359</v>
      </c>
      <c r="C283" s="160"/>
      <c r="D283" s="156"/>
    </row>
    <row r="284" spans="1:4" x14ac:dyDescent="0.25">
      <c r="A284" s="144" t="s">
        <v>462</v>
      </c>
      <c r="B284" s="145" t="s">
        <v>5360</v>
      </c>
      <c r="C284" s="160"/>
      <c r="D284" s="156"/>
    </row>
    <row r="285" spans="1:4" x14ac:dyDescent="0.25">
      <c r="A285" s="196"/>
      <c r="B285" s="197"/>
      <c r="C285" s="198"/>
      <c r="D285" s="156"/>
    </row>
    <row r="286" spans="1:4" x14ac:dyDescent="0.25">
      <c r="A286" s="144" t="s">
        <v>464</v>
      </c>
      <c r="B286" s="145" t="s">
        <v>5361</v>
      </c>
      <c r="C286" s="160"/>
      <c r="D286" s="156"/>
    </row>
    <row r="287" spans="1:4" x14ac:dyDescent="0.25">
      <c r="A287" s="144" t="s">
        <v>465</v>
      </c>
      <c r="B287" s="145" t="s">
        <v>5362</v>
      </c>
      <c r="C287" s="160"/>
      <c r="D287" s="156"/>
    </row>
    <row r="288" spans="1:4" x14ac:dyDescent="0.25">
      <c r="A288" s="196"/>
      <c r="B288" s="197"/>
      <c r="C288" s="198"/>
      <c r="D288" s="156"/>
    </row>
    <row r="289" spans="1:4" x14ac:dyDescent="0.25">
      <c r="A289" s="144" t="s">
        <v>466</v>
      </c>
      <c r="B289" s="145" t="s">
        <v>5363</v>
      </c>
      <c r="C289" s="160"/>
      <c r="D289" s="156"/>
    </row>
    <row r="290" spans="1:4" x14ac:dyDescent="0.25">
      <c r="A290" s="144" t="s">
        <v>467</v>
      </c>
      <c r="B290" s="145" t="s">
        <v>5364</v>
      </c>
      <c r="C290" s="160"/>
      <c r="D290" s="156"/>
    </row>
    <row r="291" spans="1:4" x14ac:dyDescent="0.25">
      <c r="A291" s="196"/>
      <c r="B291" s="197"/>
      <c r="C291" s="198"/>
      <c r="D291" s="156"/>
    </row>
    <row r="292" spans="1:4" x14ac:dyDescent="0.25">
      <c r="A292" s="144" t="s">
        <v>469</v>
      </c>
      <c r="B292" s="145" t="s">
        <v>5365</v>
      </c>
      <c r="C292" s="160"/>
      <c r="D292" s="156"/>
    </row>
    <row r="293" spans="1:4" x14ac:dyDescent="0.25">
      <c r="A293" s="144" t="s">
        <v>470</v>
      </c>
      <c r="B293" s="145" t="s">
        <v>5366</v>
      </c>
      <c r="C293" s="160"/>
      <c r="D293" s="156"/>
    </row>
    <row r="294" spans="1:4" x14ac:dyDescent="0.25">
      <c r="A294" s="196"/>
      <c r="B294" s="197"/>
      <c r="C294" s="198"/>
      <c r="D294" s="156"/>
    </row>
    <row r="295" spans="1:4" x14ac:dyDescent="0.25">
      <c r="A295" s="144" t="s">
        <v>471</v>
      </c>
      <c r="B295" s="145" t="s">
        <v>5367</v>
      </c>
      <c r="C295" s="160"/>
      <c r="D295" s="156"/>
    </row>
    <row r="296" spans="1:4" x14ac:dyDescent="0.25">
      <c r="A296" s="144" t="s">
        <v>472</v>
      </c>
      <c r="B296" s="145" t="s">
        <v>5368</v>
      </c>
      <c r="C296" s="160"/>
      <c r="D296" s="156"/>
    </row>
    <row r="297" spans="1:4" x14ac:dyDescent="0.25">
      <c r="A297" s="196"/>
      <c r="B297" s="197"/>
      <c r="C297" s="198"/>
      <c r="D297" s="156"/>
    </row>
    <row r="298" spans="1:4" ht="51" x14ac:dyDescent="0.25">
      <c r="A298" s="144"/>
      <c r="B298" s="146" t="s">
        <v>5369</v>
      </c>
      <c r="C298" s="32" t="s">
        <v>0</v>
      </c>
      <c r="D298" s="143"/>
    </row>
    <row r="299" spans="1:4" x14ac:dyDescent="0.25">
      <c r="A299" s="144"/>
      <c r="B299" s="145"/>
      <c r="C299" s="32" t="s">
        <v>0</v>
      </c>
      <c r="D299" s="143"/>
    </row>
    <row r="300" spans="1:4" x14ac:dyDescent="0.25">
      <c r="A300" s="144" t="s">
        <v>474</v>
      </c>
      <c r="B300" s="145" t="s">
        <v>440</v>
      </c>
      <c r="C300" s="113" t="s">
        <v>0</v>
      </c>
      <c r="D300" s="143" t="s">
        <v>0</v>
      </c>
    </row>
    <row r="301" spans="1:4" x14ac:dyDescent="0.25">
      <c r="A301" s="144"/>
      <c r="B301" s="145"/>
      <c r="C301" s="33" t="s">
        <v>0</v>
      </c>
      <c r="D301" s="143" t="s">
        <v>0</v>
      </c>
    </row>
    <row r="302" spans="1:4" x14ac:dyDescent="0.25">
      <c r="A302" s="144" t="s">
        <v>475</v>
      </c>
      <c r="B302" s="145" t="s">
        <v>442</v>
      </c>
      <c r="C302" s="112"/>
      <c r="D302" s="143"/>
    </row>
    <row r="303" spans="1:4" x14ac:dyDescent="0.25">
      <c r="A303" s="144"/>
      <c r="B303" s="145" t="s">
        <v>434</v>
      </c>
      <c r="C303" s="32" t="s">
        <v>0</v>
      </c>
      <c r="D303" s="143"/>
    </row>
    <row r="304" spans="1:4" x14ac:dyDescent="0.25">
      <c r="A304" s="144" t="s">
        <v>476</v>
      </c>
      <c r="B304" s="145" t="s">
        <v>5770</v>
      </c>
      <c r="C304" s="112"/>
      <c r="D304" s="143"/>
    </row>
    <row r="305" spans="1:4" x14ac:dyDescent="0.25">
      <c r="A305" s="144" t="s">
        <v>477</v>
      </c>
      <c r="B305" s="145" t="s">
        <v>445</v>
      </c>
      <c r="C305" s="112"/>
      <c r="D305" s="143"/>
    </row>
    <row r="306" spans="1:4" x14ac:dyDescent="0.25">
      <c r="A306" s="144"/>
      <c r="B306" s="145"/>
      <c r="C306" s="32" t="s">
        <v>0</v>
      </c>
      <c r="D306" s="143"/>
    </row>
    <row r="307" spans="1:4" x14ac:dyDescent="0.25">
      <c r="A307" s="144" t="s">
        <v>479</v>
      </c>
      <c r="B307" s="145" t="s">
        <v>447</v>
      </c>
      <c r="C307" s="114" t="s">
        <v>0</v>
      </c>
      <c r="D307" s="143"/>
    </row>
    <row r="308" spans="1:4" x14ac:dyDescent="0.25">
      <c r="A308" s="144"/>
      <c r="B308" s="145"/>
      <c r="C308" s="32" t="s">
        <v>0</v>
      </c>
      <c r="D308" s="143"/>
    </row>
    <row r="309" spans="1:4" ht="20.399999999999999" x14ac:dyDescent="0.25">
      <c r="A309" s="144"/>
      <c r="B309" s="145" t="s">
        <v>448</v>
      </c>
      <c r="C309" s="32" t="s">
        <v>0</v>
      </c>
      <c r="D309" s="143"/>
    </row>
    <row r="310" spans="1:4" x14ac:dyDescent="0.25">
      <c r="A310" s="144"/>
      <c r="B310" s="145"/>
      <c r="C310" s="32" t="s">
        <v>0</v>
      </c>
      <c r="D310" s="143"/>
    </row>
    <row r="311" spans="1:4" x14ac:dyDescent="0.25">
      <c r="A311" s="144" t="s">
        <v>480</v>
      </c>
      <c r="B311" s="145" t="s">
        <v>450</v>
      </c>
      <c r="C311" s="113" t="s">
        <v>0</v>
      </c>
      <c r="D311" s="143"/>
    </row>
    <row r="312" spans="1:4" x14ac:dyDescent="0.25">
      <c r="A312" s="144" t="s">
        <v>481</v>
      </c>
      <c r="B312" s="145" t="s">
        <v>452</v>
      </c>
      <c r="C312" s="115"/>
      <c r="D312" s="143" t="s">
        <v>0</v>
      </c>
    </row>
    <row r="313" spans="1:4" x14ac:dyDescent="0.25">
      <c r="A313" s="144" t="s">
        <v>482</v>
      </c>
      <c r="B313" s="145" t="s">
        <v>454</v>
      </c>
      <c r="C313" s="115"/>
      <c r="D313" s="143" t="s">
        <v>0</v>
      </c>
    </row>
    <row r="314" spans="1:4" x14ac:dyDescent="0.25">
      <c r="A314" s="144" t="s">
        <v>484</v>
      </c>
      <c r="B314" s="145" t="s">
        <v>456</v>
      </c>
      <c r="C314" s="115"/>
      <c r="D314" s="143" t="s">
        <v>0</v>
      </c>
    </row>
    <row r="315" spans="1:4" x14ac:dyDescent="0.25">
      <c r="A315" s="144"/>
      <c r="B315" s="145"/>
      <c r="C315" s="32" t="s">
        <v>0</v>
      </c>
      <c r="D315" s="143" t="s">
        <v>0</v>
      </c>
    </row>
    <row r="316" spans="1:4" x14ac:dyDescent="0.25">
      <c r="A316" s="144" t="s">
        <v>485</v>
      </c>
      <c r="B316" s="145" t="s">
        <v>458</v>
      </c>
      <c r="C316" s="114" t="s">
        <v>0</v>
      </c>
      <c r="D316" s="143" t="s">
        <v>0</v>
      </c>
    </row>
    <row r="317" spans="1:4" x14ac:dyDescent="0.25">
      <c r="A317" s="144" t="s">
        <v>486</v>
      </c>
      <c r="B317" s="145" t="s">
        <v>452</v>
      </c>
      <c r="C317" s="115"/>
      <c r="D317" s="143" t="s">
        <v>0</v>
      </c>
    </row>
    <row r="318" spans="1:4" x14ac:dyDescent="0.25">
      <c r="A318" s="144" t="s">
        <v>487</v>
      </c>
      <c r="B318" s="145" t="s">
        <v>454</v>
      </c>
      <c r="C318" s="115"/>
      <c r="D318" s="143" t="s">
        <v>0</v>
      </c>
    </row>
    <row r="319" spans="1:4" x14ac:dyDescent="0.25">
      <c r="A319" s="144" t="s">
        <v>489</v>
      </c>
      <c r="B319" s="145" t="s">
        <v>456</v>
      </c>
      <c r="C319" s="115"/>
      <c r="D319" s="143" t="s">
        <v>0</v>
      </c>
    </row>
    <row r="320" spans="1:4" x14ac:dyDescent="0.25">
      <c r="A320" s="144"/>
      <c r="B320" s="145"/>
      <c r="C320" s="32" t="s">
        <v>0</v>
      </c>
      <c r="D320" s="143" t="s">
        <v>0</v>
      </c>
    </row>
    <row r="321" spans="1:4" x14ac:dyDescent="0.25">
      <c r="A321" s="144" t="s">
        <v>490</v>
      </c>
      <c r="B321" s="145" t="s">
        <v>463</v>
      </c>
      <c r="C321" s="114" t="s">
        <v>0</v>
      </c>
      <c r="D321" s="143" t="s">
        <v>0</v>
      </c>
    </row>
    <row r="322" spans="1:4" x14ac:dyDescent="0.25">
      <c r="A322" s="144" t="s">
        <v>491</v>
      </c>
      <c r="B322" s="145" t="s">
        <v>452</v>
      </c>
      <c r="C322" s="115"/>
      <c r="D322" s="143" t="s">
        <v>0</v>
      </c>
    </row>
    <row r="323" spans="1:4" x14ac:dyDescent="0.25">
      <c r="A323" s="144" t="s">
        <v>492</v>
      </c>
      <c r="B323" s="145" t="s">
        <v>454</v>
      </c>
      <c r="C323" s="115"/>
      <c r="D323" s="143" t="s">
        <v>0</v>
      </c>
    </row>
    <row r="324" spans="1:4" x14ac:dyDescent="0.25">
      <c r="A324" s="144" t="s">
        <v>494</v>
      </c>
      <c r="B324" s="145" t="s">
        <v>456</v>
      </c>
      <c r="C324" s="115"/>
      <c r="D324" s="143" t="s">
        <v>0</v>
      </c>
    </row>
    <row r="325" spans="1:4" x14ac:dyDescent="0.25">
      <c r="A325" s="144"/>
      <c r="B325" s="145"/>
      <c r="C325" s="32" t="s">
        <v>0</v>
      </c>
      <c r="D325" s="143" t="s">
        <v>0</v>
      </c>
    </row>
    <row r="326" spans="1:4" x14ac:dyDescent="0.25">
      <c r="A326" s="144" t="s">
        <v>495</v>
      </c>
      <c r="B326" s="145" t="s">
        <v>468</v>
      </c>
      <c r="C326" s="113" t="s">
        <v>0</v>
      </c>
      <c r="D326" s="143"/>
    </row>
    <row r="327" spans="1:4" x14ac:dyDescent="0.25">
      <c r="A327" s="144" t="s">
        <v>496</v>
      </c>
      <c r="B327" s="145" t="s">
        <v>452</v>
      </c>
      <c r="C327" s="36"/>
      <c r="D327" s="143"/>
    </row>
    <row r="328" spans="1:4" x14ac:dyDescent="0.25">
      <c r="A328" s="144" t="s">
        <v>497</v>
      </c>
      <c r="B328" s="145" t="s">
        <v>454</v>
      </c>
      <c r="C328" s="36"/>
      <c r="D328" s="143"/>
    </row>
    <row r="329" spans="1:4" x14ac:dyDescent="0.25">
      <c r="A329" s="144" t="s">
        <v>499</v>
      </c>
      <c r="B329" s="145" t="s">
        <v>456</v>
      </c>
      <c r="C329" s="36"/>
      <c r="D329" s="143"/>
    </row>
    <row r="330" spans="1:4" x14ac:dyDescent="0.25">
      <c r="A330" s="144"/>
      <c r="B330" s="145"/>
      <c r="C330" s="32" t="s">
        <v>0</v>
      </c>
      <c r="D330" s="143" t="s">
        <v>0</v>
      </c>
    </row>
    <row r="331" spans="1:4" x14ac:dyDescent="0.25">
      <c r="A331" s="144" t="s">
        <v>500</v>
      </c>
      <c r="B331" s="145" t="s">
        <v>473</v>
      </c>
      <c r="C331" s="113" t="s">
        <v>0</v>
      </c>
      <c r="D331" s="143"/>
    </row>
    <row r="332" spans="1:4" x14ac:dyDescent="0.25">
      <c r="A332" s="144" t="s">
        <v>501</v>
      </c>
      <c r="B332" s="145" t="s">
        <v>452</v>
      </c>
      <c r="C332" s="36"/>
      <c r="D332" s="143"/>
    </row>
    <row r="333" spans="1:4" x14ac:dyDescent="0.25">
      <c r="A333" s="144" t="s">
        <v>502</v>
      </c>
      <c r="B333" s="145" t="s">
        <v>454</v>
      </c>
      <c r="C333" s="36"/>
      <c r="D333" s="143"/>
    </row>
    <row r="334" spans="1:4" x14ac:dyDescent="0.25">
      <c r="A334" s="144" t="s">
        <v>504</v>
      </c>
      <c r="B334" s="145" t="s">
        <v>456</v>
      </c>
      <c r="C334" s="36"/>
      <c r="D334" s="143"/>
    </row>
    <row r="335" spans="1:4" x14ac:dyDescent="0.25">
      <c r="A335" s="144"/>
      <c r="B335" s="145"/>
      <c r="C335" s="32" t="s">
        <v>0</v>
      </c>
      <c r="D335" s="143" t="s">
        <v>0</v>
      </c>
    </row>
    <row r="336" spans="1:4" x14ac:dyDescent="0.25">
      <c r="A336" s="144" t="s">
        <v>505</v>
      </c>
      <c r="B336" s="145" t="s">
        <v>478</v>
      </c>
      <c r="C336" s="114" t="s">
        <v>0</v>
      </c>
      <c r="D336" s="143" t="s">
        <v>0</v>
      </c>
    </row>
    <row r="337" spans="1:4" x14ac:dyDescent="0.25">
      <c r="A337" s="144" t="s">
        <v>506</v>
      </c>
      <c r="B337" s="145" t="s">
        <v>452</v>
      </c>
      <c r="C337" s="115"/>
      <c r="D337" s="143" t="s">
        <v>0</v>
      </c>
    </row>
    <row r="338" spans="1:4" x14ac:dyDescent="0.25">
      <c r="A338" s="144" t="s">
        <v>508</v>
      </c>
      <c r="B338" s="145" t="s">
        <v>454</v>
      </c>
      <c r="C338" s="115"/>
      <c r="D338" s="143" t="s">
        <v>0</v>
      </c>
    </row>
    <row r="339" spans="1:4" x14ac:dyDescent="0.25">
      <c r="A339" s="144" t="s">
        <v>511</v>
      </c>
      <c r="B339" s="145" t="s">
        <v>456</v>
      </c>
      <c r="C339" s="115"/>
      <c r="D339" s="143" t="s">
        <v>0</v>
      </c>
    </row>
    <row r="340" spans="1:4" x14ac:dyDescent="0.25">
      <c r="A340" s="144"/>
      <c r="B340" s="145"/>
      <c r="C340" s="32" t="s">
        <v>0</v>
      </c>
      <c r="D340" s="143" t="s">
        <v>0</v>
      </c>
    </row>
    <row r="341" spans="1:4" x14ac:dyDescent="0.25">
      <c r="A341" s="144" t="s">
        <v>512</v>
      </c>
      <c r="B341" s="145" t="s">
        <v>483</v>
      </c>
      <c r="C341" s="114" t="s">
        <v>0</v>
      </c>
      <c r="D341" s="143" t="s">
        <v>0</v>
      </c>
    </row>
    <row r="342" spans="1:4" x14ac:dyDescent="0.25">
      <c r="A342" s="144" t="s">
        <v>513</v>
      </c>
      <c r="B342" s="145" t="s">
        <v>452</v>
      </c>
      <c r="C342" s="115"/>
      <c r="D342" s="143" t="s">
        <v>0</v>
      </c>
    </row>
    <row r="343" spans="1:4" x14ac:dyDescent="0.25">
      <c r="A343" s="144" t="s">
        <v>514</v>
      </c>
      <c r="B343" s="145" t="s">
        <v>454</v>
      </c>
      <c r="C343" s="115"/>
      <c r="D343" s="143" t="s">
        <v>0</v>
      </c>
    </row>
    <row r="344" spans="1:4" x14ac:dyDescent="0.25">
      <c r="A344" s="144" t="s">
        <v>516</v>
      </c>
      <c r="B344" s="145" t="s">
        <v>456</v>
      </c>
      <c r="C344" s="115"/>
      <c r="D344" s="143" t="s">
        <v>0</v>
      </c>
    </row>
    <row r="345" spans="1:4" x14ac:dyDescent="0.25">
      <c r="A345" s="144"/>
      <c r="B345" s="145"/>
      <c r="C345" s="32" t="s">
        <v>0</v>
      </c>
      <c r="D345" s="143" t="s">
        <v>0</v>
      </c>
    </row>
    <row r="346" spans="1:4" x14ac:dyDescent="0.25">
      <c r="A346" s="144" t="s">
        <v>518</v>
      </c>
      <c r="B346" s="145" t="s">
        <v>488</v>
      </c>
      <c r="C346" s="114" t="s">
        <v>0</v>
      </c>
      <c r="D346" s="143" t="s">
        <v>0</v>
      </c>
    </row>
    <row r="347" spans="1:4" x14ac:dyDescent="0.25">
      <c r="A347" s="144" t="s">
        <v>520</v>
      </c>
      <c r="B347" s="145" t="s">
        <v>452</v>
      </c>
      <c r="C347" s="115"/>
      <c r="D347" s="143" t="s">
        <v>0</v>
      </c>
    </row>
    <row r="348" spans="1:4" x14ac:dyDescent="0.25">
      <c r="A348" s="144" t="s">
        <v>522</v>
      </c>
      <c r="B348" s="145" t="s">
        <v>454</v>
      </c>
      <c r="C348" s="115"/>
      <c r="D348" s="143" t="s">
        <v>0</v>
      </c>
    </row>
    <row r="349" spans="1:4" x14ac:dyDescent="0.25">
      <c r="A349" s="144" t="s">
        <v>524</v>
      </c>
      <c r="B349" s="145" t="s">
        <v>456</v>
      </c>
      <c r="C349" s="115"/>
      <c r="D349" s="143" t="s">
        <v>0</v>
      </c>
    </row>
    <row r="350" spans="1:4" x14ac:dyDescent="0.25">
      <c r="A350" s="144"/>
      <c r="B350" s="145"/>
      <c r="C350" s="32" t="s">
        <v>0</v>
      </c>
      <c r="D350" s="143" t="s">
        <v>0</v>
      </c>
    </row>
    <row r="351" spans="1:4" x14ac:dyDescent="0.25">
      <c r="A351" s="144" t="s">
        <v>527</v>
      </c>
      <c r="B351" s="145" t="s">
        <v>493</v>
      </c>
      <c r="C351" s="114" t="s">
        <v>0</v>
      </c>
      <c r="D351" s="143" t="s">
        <v>0</v>
      </c>
    </row>
    <row r="352" spans="1:4" x14ac:dyDescent="0.25">
      <c r="A352" s="144" t="s">
        <v>530</v>
      </c>
      <c r="B352" s="145" t="s">
        <v>452</v>
      </c>
      <c r="C352" s="115"/>
      <c r="D352" s="143" t="s">
        <v>0</v>
      </c>
    </row>
    <row r="353" spans="1:4" x14ac:dyDescent="0.25">
      <c r="A353" s="144" t="s">
        <v>532</v>
      </c>
      <c r="B353" s="145" t="s">
        <v>454</v>
      </c>
      <c r="C353" s="115"/>
      <c r="D353" s="143" t="s">
        <v>0</v>
      </c>
    </row>
    <row r="354" spans="1:4" x14ac:dyDescent="0.25">
      <c r="A354" s="144" t="s">
        <v>534</v>
      </c>
      <c r="B354" s="145" t="s">
        <v>456</v>
      </c>
      <c r="C354" s="115"/>
      <c r="D354" s="143" t="s">
        <v>0</v>
      </c>
    </row>
    <row r="355" spans="1:4" x14ac:dyDescent="0.25">
      <c r="A355" s="144"/>
      <c r="B355" s="145"/>
      <c r="C355" s="32" t="s">
        <v>0</v>
      </c>
      <c r="D355" s="143" t="s">
        <v>0</v>
      </c>
    </row>
    <row r="356" spans="1:4" x14ac:dyDescent="0.25">
      <c r="A356" s="144" t="s">
        <v>537</v>
      </c>
      <c r="B356" s="145" t="s">
        <v>498</v>
      </c>
      <c r="C356" s="114" t="s">
        <v>0</v>
      </c>
      <c r="D356" s="143" t="s">
        <v>0</v>
      </c>
    </row>
    <row r="357" spans="1:4" x14ac:dyDescent="0.25">
      <c r="A357" s="144" t="s">
        <v>539</v>
      </c>
      <c r="B357" s="145" t="s">
        <v>452</v>
      </c>
      <c r="C357" s="115"/>
      <c r="D357" s="143" t="s">
        <v>0</v>
      </c>
    </row>
    <row r="358" spans="1:4" x14ac:dyDescent="0.25">
      <c r="A358" s="144" t="s">
        <v>541</v>
      </c>
      <c r="B358" s="145" t="s">
        <v>454</v>
      </c>
      <c r="C358" s="115"/>
      <c r="D358" s="143" t="s">
        <v>0</v>
      </c>
    </row>
    <row r="359" spans="1:4" x14ac:dyDescent="0.25">
      <c r="A359" s="144" t="s">
        <v>545</v>
      </c>
      <c r="B359" s="145" t="s">
        <v>456</v>
      </c>
      <c r="C359" s="115"/>
      <c r="D359" s="143" t="s">
        <v>0</v>
      </c>
    </row>
    <row r="360" spans="1:4" x14ac:dyDescent="0.25">
      <c r="A360" s="144"/>
      <c r="B360" s="145"/>
      <c r="C360" s="32" t="s">
        <v>0</v>
      </c>
      <c r="D360" s="143" t="s">
        <v>0</v>
      </c>
    </row>
    <row r="361" spans="1:4" x14ac:dyDescent="0.25">
      <c r="A361" s="144" t="s">
        <v>546</v>
      </c>
      <c r="B361" s="145" t="s">
        <v>503</v>
      </c>
      <c r="C361" s="114" t="s">
        <v>0</v>
      </c>
      <c r="D361" s="143" t="s">
        <v>0</v>
      </c>
    </row>
    <row r="362" spans="1:4" x14ac:dyDescent="0.25">
      <c r="A362" s="144" t="s">
        <v>548</v>
      </c>
      <c r="B362" s="145" t="s">
        <v>452</v>
      </c>
      <c r="C362" s="115"/>
      <c r="D362" s="143" t="s">
        <v>0</v>
      </c>
    </row>
    <row r="363" spans="1:4" x14ac:dyDescent="0.25">
      <c r="A363" s="144" t="s">
        <v>550</v>
      </c>
      <c r="B363" s="145" t="s">
        <v>454</v>
      </c>
      <c r="C363" s="115"/>
      <c r="D363" s="143" t="s">
        <v>0</v>
      </c>
    </row>
    <row r="364" spans="1:4" x14ac:dyDescent="0.25">
      <c r="A364" s="144" t="s">
        <v>552</v>
      </c>
      <c r="B364" s="145" t="s">
        <v>456</v>
      </c>
      <c r="C364" s="115"/>
      <c r="D364" s="143" t="s">
        <v>0</v>
      </c>
    </row>
    <row r="365" spans="1:4" x14ac:dyDescent="0.25">
      <c r="A365" s="144"/>
      <c r="B365" s="145"/>
      <c r="C365" s="32" t="s">
        <v>0</v>
      </c>
      <c r="D365" s="143" t="s">
        <v>0</v>
      </c>
    </row>
    <row r="366" spans="1:4" x14ac:dyDescent="0.25">
      <c r="A366" s="144"/>
      <c r="B366" s="145" t="s">
        <v>507</v>
      </c>
      <c r="C366" s="32" t="s">
        <v>0</v>
      </c>
      <c r="D366" s="143" t="s">
        <v>0</v>
      </c>
    </row>
    <row r="367" spans="1:4" x14ac:dyDescent="0.25">
      <c r="A367" s="144" t="s">
        <v>553</v>
      </c>
      <c r="B367" s="145" t="s">
        <v>509</v>
      </c>
      <c r="C367" s="113" t="s">
        <v>0</v>
      </c>
      <c r="D367" s="143" t="s">
        <v>0</v>
      </c>
    </row>
    <row r="368" spans="1:4" x14ac:dyDescent="0.25">
      <c r="A368" s="144"/>
      <c r="B368" s="145"/>
      <c r="C368" s="33" t="s">
        <v>0</v>
      </c>
      <c r="D368" s="143" t="s">
        <v>0</v>
      </c>
    </row>
    <row r="369" spans="1:4" ht="20.399999999999999" x14ac:dyDescent="0.25">
      <c r="A369" s="144"/>
      <c r="B369" s="145" t="s">
        <v>510</v>
      </c>
      <c r="C369" s="33" t="s">
        <v>0</v>
      </c>
      <c r="D369" s="143" t="s">
        <v>0</v>
      </c>
    </row>
    <row r="370" spans="1:4" x14ac:dyDescent="0.25">
      <c r="A370" s="144"/>
      <c r="B370" s="145"/>
      <c r="C370" s="33" t="s">
        <v>0</v>
      </c>
      <c r="D370" s="143" t="s">
        <v>0</v>
      </c>
    </row>
    <row r="371" spans="1:4" ht="20.399999999999999" x14ac:dyDescent="0.25">
      <c r="A371" s="183" t="s">
        <v>557</v>
      </c>
      <c r="B371" s="189" t="s">
        <v>5370</v>
      </c>
      <c r="C371" s="113" t="s">
        <v>0</v>
      </c>
      <c r="D371" s="143" t="s">
        <v>0</v>
      </c>
    </row>
    <row r="372" spans="1:4" ht="20.399999999999999" x14ac:dyDescent="0.25">
      <c r="A372" s="183" t="s">
        <v>558</v>
      </c>
      <c r="B372" s="189" t="s">
        <v>5371</v>
      </c>
      <c r="C372" s="113" t="s">
        <v>0</v>
      </c>
      <c r="D372" s="143" t="s">
        <v>0</v>
      </c>
    </row>
    <row r="373" spans="1:4" ht="20.399999999999999" x14ac:dyDescent="0.25">
      <c r="A373" s="183" t="s">
        <v>560</v>
      </c>
      <c r="B373" s="189" t="s">
        <v>5372</v>
      </c>
      <c r="C373" s="113" t="s">
        <v>0</v>
      </c>
      <c r="D373" s="143" t="s">
        <v>0</v>
      </c>
    </row>
    <row r="374" spans="1:4" x14ac:dyDescent="0.25">
      <c r="A374" s="144"/>
      <c r="B374" s="145"/>
      <c r="C374" s="32" t="s">
        <v>0</v>
      </c>
      <c r="D374" s="143" t="s">
        <v>0</v>
      </c>
    </row>
    <row r="375" spans="1:4" x14ac:dyDescent="0.25">
      <c r="A375" s="161"/>
      <c r="B375" s="161"/>
      <c r="C375" s="34" t="s">
        <v>0</v>
      </c>
      <c r="D375" s="143" t="s">
        <v>0</v>
      </c>
    </row>
    <row r="376" spans="1:4" ht="20.399999999999999" x14ac:dyDescent="0.25">
      <c r="A376" s="144" t="s">
        <v>562</v>
      </c>
      <c r="B376" s="145" t="s">
        <v>515</v>
      </c>
      <c r="C376" s="111"/>
      <c r="D376" s="143"/>
    </row>
    <row r="377" spans="1:4" ht="20.399999999999999" x14ac:dyDescent="0.25">
      <c r="A377" s="144" t="s">
        <v>564</v>
      </c>
      <c r="B377" s="145" t="s">
        <v>517</v>
      </c>
      <c r="C377" s="112"/>
      <c r="D377" s="143"/>
    </row>
    <row r="378" spans="1:4" ht="20.399999999999999" x14ac:dyDescent="0.25">
      <c r="A378" s="144" t="s">
        <v>566</v>
      </c>
      <c r="B378" s="145" t="s">
        <v>519</v>
      </c>
      <c r="C378" s="112"/>
      <c r="D378" s="143"/>
    </row>
    <row r="379" spans="1:4" ht="20.399999999999999" x14ac:dyDescent="0.25">
      <c r="A379" s="144" t="s">
        <v>567</v>
      </c>
      <c r="B379" s="145" t="s">
        <v>517</v>
      </c>
      <c r="C379" s="112"/>
      <c r="D379" s="143"/>
    </row>
    <row r="380" spans="1:4" x14ac:dyDescent="0.25">
      <c r="A380" s="144"/>
      <c r="B380" s="145"/>
      <c r="C380" s="32" t="s">
        <v>0</v>
      </c>
      <c r="D380" s="143"/>
    </row>
    <row r="381" spans="1:4" x14ac:dyDescent="0.25">
      <c r="A381" s="144"/>
      <c r="B381" s="147" t="s">
        <v>521</v>
      </c>
      <c r="C381" s="32" t="s">
        <v>0</v>
      </c>
      <c r="D381" s="143"/>
    </row>
    <row r="382" spans="1:4" x14ac:dyDescent="0.25">
      <c r="A382" s="144"/>
      <c r="B382" s="145"/>
      <c r="C382" s="32" t="s">
        <v>0</v>
      </c>
      <c r="D382" s="143"/>
    </row>
    <row r="383" spans="1:4" ht="20.399999999999999" x14ac:dyDescent="0.25">
      <c r="A383" s="144" t="s">
        <v>569</v>
      </c>
      <c r="B383" s="145" t="s">
        <v>523</v>
      </c>
      <c r="C383" s="112"/>
      <c r="D383" s="143"/>
    </row>
    <row r="384" spans="1:4" ht="20.399999999999999" x14ac:dyDescent="0.25">
      <c r="A384" s="144" t="s">
        <v>571</v>
      </c>
      <c r="B384" s="145" t="s">
        <v>525</v>
      </c>
      <c r="C384" s="112"/>
      <c r="D384" s="143"/>
    </row>
    <row r="385" spans="1:4" x14ac:dyDescent="0.25">
      <c r="A385" s="144"/>
      <c r="B385" s="145"/>
      <c r="C385" s="32" t="s">
        <v>0</v>
      </c>
      <c r="D385" s="143"/>
    </row>
    <row r="386" spans="1:4" x14ac:dyDescent="0.25">
      <c r="A386" s="144"/>
      <c r="B386" s="147" t="s">
        <v>526</v>
      </c>
      <c r="C386" s="32" t="s">
        <v>0</v>
      </c>
      <c r="D386" s="143"/>
    </row>
    <row r="387" spans="1:4" x14ac:dyDescent="0.25">
      <c r="A387" s="144"/>
      <c r="B387" s="145"/>
      <c r="C387" s="32" t="s">
        <v>0</v>
      </c>
      <c r="D387" s="143"/>
    </row>
    <row r="388" spans="1:4" ht="40.799999999999997" x14ac:dyDescent="0.25">
      <c r="A388" s="144" t="s">
        <v>572</v>
      </c>
      <c r="B388" s="145" t="s">
        <v>528</v>
      </c>
      <c r="C388" s="112"/>
      <c r="D388" s="143"/>
    </row>
    <row r="389" spans="1:4" x14ac:dyDescent="0.25">
      <c r="A389" s="144"/>
      <c r="B389" s="145"/>
      <c r="C389" s="32" t="s">
        <v>0</v>
      </c>
      <c r="D389" s="143"/>
    </row>
    <row r="390" spans="1:4" x14ac:dyDescent="0.25">
      <c r="A390" s="144"/>
      <c r="B390" s="147" t="s">
        <v>529</v>
      </c>
      <c r="C390" s="32" t="s">
        <v>0</v>
      </c>
      <c r="D390" s="143"/>
    </row>
    <row r="391" spans="1:4" x14ac:dyDescent="0.25">
      <c r="A391" s="144"/>
      <c r="B391" s="145"/>
      <c r="C391" s="32" t="s">
        <v>0</v>
      </c>
      <c r="D391" s="143"/>
    </row>
    <row r="392" spans="1:4" ht="40.799999999999997" x14ac:dyDescent="0.25">
      <c r="A392" s="144" t="s">
        <v>573</v>
      </c>
      <c r="B392" s="145" t="s">
        <v>531</v>
      </c>
      <c r="C392" s="112"/>
      <c r="D392" s="143"/>
    </row>
    <row r="393" spans="1:4" ht="30.6" x14ac:dyDescent="0.25">
      <c r="A393" s="144" t="s">
        <v>574</v>
      </c>
      <c r="B393" s="145" t="s">
        <v>533</v>
      </c>
      <c r="C393" s="112"/>
      <c r="D393" s="143"/>
    </row>
    <row r="394" spans="1:4" x14ac:dyDescent="0.25">
      <c r="A394" s="144" t="s">
        <v>575</v>
      </c>
      <c r="B394" s="145" t="s">
        <v>535</v>
      </c>
      <c r="C394" s="112"/>
      <c r="D394" s="143"/>
    </row>
    <row r="395" spans="1:4" x14ac:dyDescent="0.25">
      <c r="A395" s="144"/>
      <c r="B395" s="145" t="s">
        <v>536</v>
      </c>
      <c r="C395" s="32" t="s">
        <v>0</v>
      </c>
      <c r="D395" s="143"/>
    </row>
    <row r="396" spans="1:4" ht="30.6" x14ac:dyDescent="0.25">
      <c r="A396" s="144" t="s">
        <v>577</v>
      </c>
      <c r="B396" s="145" t="s">
        <v>538</v>
      </c>
      <c r="C396" s="112"/>
      <c r="D396" s="143"/>
    </row>
    <row r="397" spans="1:4" ht="20.399999999999999" x14ac:dyDescent="0.25">
      <c r="A397" s="144" t="s">
        <v>580</v>
      </c>
      <c r="B397" s="145" t="s">
        <v>540</v>
      </c>
      <c r="C397" s="112"/>
      <c r="D397" s="143"/>
    </row>
    <row r="398" spans="1:4" ht="30.6" x14ac:dyDescent="0.25">
      <c r="A398" s="144" t="s">
        <v>581</v>
      </c>
      <c r="B398" s="145" t="s">
        <v>542</v>
      </c>
      <c r="C398" s="111"/>
      <c r="D398" s="143"/>
    </row>
    <row r="399" spans="1:4" x14ac:dyDescent="0.25">
      <c r="A399" s="144"/>
      <c r="B399" s="145"/>
      <c r="C399" s="32" t="s">
        <v>0</v>
      </c>
      <c r="D399" s="143"/>
    </row>
    <row r="400" spans="1:4" x14ac:dyDescent="0.25">
      <c r="A400" s="144"/>
      <c r="B400" s="147" t="s">
        <v>543</v>
      </c>
      <c r="C400" s="32" t="s">
        <v>0</v>
      </c>
      <c r="D400" s="143"/>
    </row>
    <row r="401" spans="1:4" x14ac:dyDescent="0.25">
      <c r="A401" s="144"/>
      <c r="B401" s="145"/>
      <c r="C401" s="32" t="s">
        <v>0</v>
      </c>
      <c r="D401" s="143"/>
    </row>
    <row r="402" spans="1:4" x14ac:dyDescent="0.25">
      <c r="A402" s="144"/>
      <c r="B402" s="148" t="s">
        <v>544</v>
      </c>
      <c r="C402" s="32" t="s">
        <v>0</v>
      </c>
      <c r="D402" s="143"/>
    </row>
    <row r="403" spans="1:4" x14ac:dyDescent="0.25">
      <c r="A403" s="144"/>
      <c r="B403" s="145"/>
      <c r="C403" s="33" t="s">
        <v>0</v>
      </c>
      <c r="D403" s="143" t="s">
        <v>0</v>
      </c>
    </row>
    <row r="404" spans="1:4" ht="91.8" x14ac:dyDescent="0.25">
      <c r="A404" s="144" t="s">
        <v>584</v>
      </c>
      <c r="B404" s="145" t="s">
        <v>5373</v>
      </c>
      <c r="C404" s="112"/>
      <c r="D404" s="143"/>
    </row>
    <row r="405" spans="1:4" ht="30.6" x14ac:dyDescent="0.25">
      <c r="A405" s="144" t="s">
        <v>5374</v>
      </c>
      <c r="B405" s="145" t="s">
        <v>547</v>
      </c>
      <c r="C405" s="112"/>
      <c r="D405" s="143"/>
    </row>
    <row r="406" spans="1:4" ht="81.599999999999994" x14ac:dyDescent="0.25">
      <c r="A406" s="144" t="s">
        <v>5375</v>
      </c>
      <c r="B406" s="145" t="s">
        <v>5376</v>
      </c>
      <c r="C406" s="112"/>
      <c r="D406" s="143"/>
    </row>
    <row r="407" spans="1:4" ht="20.399999999999999" x14ac:dyDescent="0.25">
      <c r="A407" s="144"/>
      <c r="B407" s="145" t="s">
        <v>549</v>
      </c>
      <c r="C407" s="32" t="s">
        <v>0</v>
      </c>
      <c r="D407" s="143"/>
    </row>
    <row r="408" spans="1:4" ht="30.6" x14ac:dyDescent="0.25">
      <c r="A408" s="144" t="s">
        <v>5377</v>
      </c>
      <c r="B408" s="145" t="s">
        <v>551</v>
      </c>
      <c r="C408" s="112"/>
      <c r="D408" s="143"/>
    </row>
    <row r="409" spans="1:4" ht="40.799999999999997" x14ac:dyDescent="0.25">
      <c r="A409" s="144" t="s">
        <v>5378</v>
      </c>
      <c r="B409" s="145" t="s">
        <v>5379</v>
      </c>
      <c r="C409" s="112"/>
      <c r="D409" s="143"/>
    </row>
    <row r="410" spans="1:4" x14ac:dyDescent="0.25">
      <c r="A410" s="144"/>
      <c r="B410" s="145"/>
      <c r="C410" s="32" t="s">
        <v>0</v>
      </c>
      <c r="D410" s="143"/>
    </row>
    <row r="411" spans="1:4" ht="51" x14ac:dyDescent="0.25">
      <c r="A411" s="144" t="s">
        <v>5380</v>
      </c>
      <c r="B411" s="145" t="s">
        <v>554</v>
      </c>
      <c r="C411" s="112"/>
      <c r="D411" s="143"/>
    </row>
    <row r="412" spans="1:4" x14ac:dyDescent="0.25">
      <c r="A412" s="144"/>
      <c r="B412" s="145"/>
      <c r="C412" s="32" t="s">
        <v>0</v>
      </c>
      <c r="D412" s="143"/>
    </row>
    <row r="413" spans="1:4" x14ac:dyDescent="0.25">
      <c r="A413" s="144"/>
      <c r="B413" s="148" t="s">
        <v>555</v>
      </c>
      <c r="C413" s="32" t="s">
        <v>0</v>
      </c>
      <c r="D413" s="143"/>
    </row>
    <row r="414" spans="1:4" x14ac:dyDescent="0.25">
      <c r="A414" s="144"/>
      <c r="B414" s="145"/>
      <c r="C414" s="33" t="s">
        <v>0</v>
      </c>
      <c r="D414" s="143" t="s">
        <v>0</v>
      </c>
    </row>
    <row r="415" spans="1:4" ht="20.399999999999999" x14ac:dyDescent="0.25">
      <c r="A415" s="144"/>
      <c r="B415" s="145" t="s">
        <v>556</v>
      </c>
      <c r="C415" s="33" t="s">
        <v>0</v>
      </c>
      <c r="D415" s="143"/>
    </row>
    <row r="416" spans="1:4" x14ac:dyDescent="0.25">
      <c r="A416" s="144"/>
      <c r="B416" s="145"/>
      <c r="C416" s="33" t="s">
        <v>0</v>
      </c>
      <c r="D416" s="143" t="s">
        <v>0</v>
      </c>
    </row>
    <row r="417" spans="1:4" ht="30.6" x14ac:dyDescent="0.25">
      <c r="A417" s="144" t="s">
        <v>5381</v>
      </c>
      <c r="B417" s="145" t="s">
        <v>5382</v>
      </c>
      <c r="C417" s="112"/>
      <c r="D417" s="143"/>
    </row>
    <row r="418" spans="1:4" ht="71.400000000000006" x14ac:dyDescent="0.25">
      <c r="A418" s="144" t="s">
        <v>5383</v>
      </c>
      <c r="B418" s="145" t="s">
        <v>559</v>
      </c>
      <c r="C418" s="112"/>
      <c r="D418" s="143"/>
    </row>
    <row r="419" spans="1:4" ht="30.6" x14ac:dyDescent="0.25">
      <c r="A419" s="144" t="s">
        <v>5384</v>
      </c>
      <c r="B419" s="145" t="s">
        <v>561</v>
      </c>
      <c r="C419" s="112"/>
      <c r="D419" s="143"/>
    </row>
    <row r="420" spans="1:4" ht="30.6" x14ac:dyDescent="0.25">
      <c r="A420" s="144" t="s">
        <v>5385</v>
      </c>
      <c r="B420" s="145" t="s">
        <v>563</v>
      </c>
      <c r="C420" s="112"/>
      <c r="D420" s="143"/>
    </row>
    <row r="421" spans="1:4" ht="51" x14ac:dyDescent="0.25">
      <c r="A421" s="144" t="s">
        <v>5386</v>
      </c>
      <c r="B421" s="145" t="s">
        <v>565</v>
      </c>
      <c r="C421" s="112"/>
      <c r="D421" s="143"/>
    </row>
    <row r="422" spans="1:4" ht="40.799999999999997" x14ac:dyDescent="0.25">
      <c r="A422" s="144" t="s">
        <v>5387</v>
      </c>
      <c r="B422" s="145" t="s">
        <v>5388</v>
      </c>
      <c r="C422" s="112"/>
      <c r="D422" s="143"/>
    </row>
    <row r="423" spans="1:4" ht="51" x14ac:dyDescent="0.25">
      <c r="A423" s="144" t="s">
        <v>5389</v>
      </c>
      <c r="B423" s="145" t="s">
        <v>568</v>
      </c>
      <c r="C423" s="112"/>
      <c r="D423" s="143"/>
    </row>
    <row r="424" spans="1:4" ht="40.799999999999997" x14ac:dyDescent="0.25">
      <c r="A424" s="144" t="s">
        <v>5390</v>
      </c>
      <c r="B424" s="145" t="s">
        <v>570</v>
      </c>
      <c r="C424" s="112"/>
      <c r="D424" s="143"/>
    </row>
    <row r="425" spans="1:4" ht="112.2" x14ac:dyDescent="0.25">
      <c r="A425" s="144" t="s">
        <v>5391</v>
      </c>
      <c r="B425" s="145" t="s">
        <v>5392</v>
      </c>
      <c r="C425" s="112"/>
      <c r="D425" s="143"/>
    </row>
    <row r="426" spans="1:4" ht="71.400000000000006" x14ac:dyDescent="0.25">
      <c r="A426" s="144" t="s">
        <v>5393</v>
      </c>
      <c r="B426" s="145" t="s">
        <v>5394</v>
      </c>
      <c r="C426" s="112"/>
      <c r="D426" s="143"/>
    </row>
    <row r="427" spans="1:4" ht="40.799999999999997" x14ac:dyDescent="0.25">
      <c r="A427" s="144" t="s">
        <v>5395</v>
      </c>
      <c r="B427" s="145" t="s">
        <v>5396</v>
      </c>
      <c r="C427" s="112"/>
      <c r="D427" s="143"/>
    </row>
    <row r="428" spans="1:4" ht="122.4" x14ac:dyDescent="0.25">
      <c r="A428" s="144" t="s">
        <v>5397</v>
      </c>
      <c r="B428" s="145" t="s">
        <v>5398</v>
      </c>
      <c r="C428" s="112"/>
      <c r="D428" s="143"/>
    </row>
    <row r="429" spans="1:4" ht="40.799999999999997" x14ac:dyDescent="0.25">
      <c r="A429" s="144" t="s">
        <v>5399</v>
      </c>
      <c r="B429" s="145" t="s">
        <v>576</v>
      </c>
      <c r="C429" s="112"/>
      <c r="D429" s="143"/>
    </row>
    <row r="430" spans="1:4" ht="30.6" x14ac:dyDescent="0.25">
      <c r="A430" s="144" t="s">
        <v>5400</v>
      </c>
      <c r="B430" s="145" t="s">
        <v>578</v>
      </c>
      <c r="C430" s="112"/>
      <c r="D430" s="143"/>
    </row>
    <row r="431" spans="1:4" x14ac:dyDescent="0.25">
      <c r="A431" s="144"/>
      <c r="B431" s="145"/>
      <c r="C431" s="32" t="s">
        <v>0</v>
      </c>
      <c r="D431" s="143"/>
    </row>
    <row r="432" spans="1:4" x14ac:dyDescent="0.25">
      <c r="A432" s="144"/>
      <c r="B432" s="147" t="s">
        <v>579</v>
      </c>
      <c r="C432" s="32" t="s">
        <v>0</v>
      </c>
      <c r="D432" s="143"/>
    </row>
    <row r="433" spans="1:4" x14ac:dyDescent="0.25">
      <c r="A433" s="144"/>
      <c r="B433" s="145"/>
      <c r="C433" s="32" t="s">
        <v>0</v>
      </c>
      <c r="D433" s="143"/>
    </row>
    <row r="434" spans="1:4" ht="30.6" x14ac:dyDescent="0.25">
      <c r="A434" s="144" t="s">
        <v>5401</v>
      </c>
      <c r="B434" s="145" t="s">
        <v>5402</v>
      </c>
      <c r="C434" s="112"/>
      <c r="D434" s="143"/>
    </row>
    <row r="435" spans="1:4" ht="30.6" x14ac:dyDescent="0.25">
      <c r="A435" s="144" t="s">
        <v>5403</v>
      </c>
      <c r="B435" s="145" t="s">
        <v>582</v>
      </c>
      <c r="C435" s="112"/>
      <c r="D435" s="143"/>
    </row>
    <row r="436" spans="1:4" x14ac:dyDescent="0.25">
      <c r="A436" s="144"/>
      <c r="B436" s="145"/>
      <c r="C436" s="32" t="s">
        <v>0</v>
      </c>
      <c r="D436" s="143"/>
    </row>
    <row r="437" spans="1:4" x14ac:dyDescent="0.25">
      <c r="A437" s="144"/>
      <c r="B437" s="147" t="s">
        <v>583</v>
      </c>
      <c r="C437" s="32" t="s">
        <v>0</v>
      </c>
      <c r="D437" s="143"/>
    </row>
    <row r="438" spans="1:4" x14ac:dyDescent="0.25">
      <c r="A438" s="144"/>
      <c r="B438" s="145"/>
      <c r="C438" s="32" t="s">
        <v>0</v>
      </c>
      <c r="D438" s="143"/>
    </row>
    <row r="439" spans="1:4" x14ac:dyDescent="0.25">
      <c r="A439" s="144" t="s">
        <v>5404</v>
      </c>
      <c r="B439" s="145" t="s">
        <v>585</v>
      </c>
      <c r="C439" s="112"/>
      <c r="D439" s="143"/>
    </row>
    <row r="440" spans="1:4" ht="8.1" customHeight="1" x14ac:dyDescent="0.25">
      <c r="A440" s="38" t="s">
        <v>0</v>
      </c>
      <c r="B440" s="157"/>
      <c r="C440" s="39"/>
      <c r="D440" s="143"/>
    </row>
  </sheetData>
  <sheetProtection password="C9D6" sheet="1" objects="1" scenarios="1"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xr:uid="{00000000-0002-0000-0400-000000000000}">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434:C435 C424:C430 C411 C408:C409 C405 C396:C398 C392:C394 C388 C383:C384 C304:C305 C260:C261 C255 C242:C253 C229:C238 C227 C222 C205:C214 C192:C201 C187 C166:C170 C138 C131:C132" xr:uid="{00000000-0002-0000-0400-000001000000}">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xr:uid="{00000000-0002-0000-0400-000002000000}">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xr:uid="{00000000-0002-0000-0400-000003000000}">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xr:uid="{00000000-0002-0000-0400-000004000000}">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xr:uid="{00000000-0002-0000-0400-000005000000}">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439 C417:C423 C406 C404 C376:C379 C302 C258 C254 C240:C241 C228 C223:C226 C221 C216 C191 C186 C180 C173:C176 C162 C160 C156 C148:C151 C139 C136 C134 C128:C129 C123:C126 C116:C121 C108:C109 C100:C101 C96:C98 C83 C71 C68 C64 C61:C62 C57:C59 C44 C23:C26 C15:C20 C9:C11" xr:uid="{00000000-0002-0000-0400-000006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xr:uid="{00000000-0002-0000-0400-000007000000}">
      <formula1>CATALOGCOLUMNFILTERED9</formula1>
    </dataValidation>
    <dataValidation type="list" allowBlank="1" showInputMessage="1" showErrorMessage="1" sqref="C7" xr:uid="{00000000-0002-0000-0400-000008000000}">
      <formula1>INDIRECT(IFERROR(VLOOKUP(C5,ADMIN_CAT,2,FALSE),""))</formula1>
    </dataValidation>
    <dataValidation type="list" allowBlank="1" showInputMessage="1" showErrorMessage="1" sqref="C5" xr:uid="{00000000-0002-0000-0400-000009000000}">
      <formula1>IF(X1=1,SEDE_GRANDES,IF(X1=2,CATALOGCOLUMN141,IF(X1=3,SEDE_HIDROCARBUROS)))</formula1>
    </dataValidation>
  </dataValidations>
  <pageMargins left="0.7" right="0.7" top="0.75" bottom="0.75" header="0.3" footer="0.3"/>
  <pageSetup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44"/>
  <sheetViews>
    <sheetView zoomScaleNormal="100" workbookViewId="0"/>
  </sheetViews>
  <sheetFormatPr defaultColWidth="11.5546875" defaultRowHeight="14.4" x14ac:dyDescent="0.3"/>
  <cols>
    <col min="1" max="1" width="14.33203125" style="107" customWidth="1"/>
    <col min="2" max="2" width="35.6640625" style="107" customWidth="1"/>
    <col min="3" max="13" width="18.6640625" style="107" customWidth="1"/>
    <col min="14" max="14" width="1.6640625" style="107" customWidth="1"/>
    <col min="15" max="16384" width="11.5546875" style="107"/>
  </cols>
  <sheetData>
    <row r="1" spans="1:14" ht="21.6" x14ac:dyDescent="0.3">
      <c r="A1" s="42" t="s">
        <v>0</v>
      </c>
      <c r="B1" s="41" t="s">
        <v>5602</v>
      </c>
      <c r="C1" s="41"/>
      <c r="D1" s="41"/>
      <c r="E1" s="41" t="s">
        <v>0</v>
      </c>
      <c r="F1" s="41" t="s">
        <v>0</v>
      </c>
      <c r="G1" s="41" t="s">
        <v>0</v>
      </c>
      <c r="H1" s="41" t="s">
        <v>0</v>
      </c>
      <c r="I1" s="41" t="s">
        <v>0</v>
      </c>
      <c r="J1" s="42" t="s">
        <v>0</v>
      </c>
      <c r="K1" s="42" t="s">
        <v>0</v>
      </c>
      <c r="L1" s="42" t="s">
        <v>0</v>
      </c>
      <c r="M1" s="42" t="s">
        <v>0</v>
      </c>
      <c r="N1" s="69" t="s">
        <v>0</v>
      </c>
    </row>
    <row r="2" spans="1:14" ht="81.599999999999994" x14ac:dyDescent="0.3">
      <c r="A2" s="121" t="s">
        <v>5597</v>
      </c>
      <c r="B2" s="121" t="s">
        <v>5598</v>
      </c>
      <c r="C2" s="45">
        <v>2017</v>
      </c>
      <c r="D2" s="45">
        <v>2016</v>
      </c>
      <c r="E2" s="44" t="s">
        <v>1208</v>
      </c>
      <c r="F2" s="44" t="s">
        <v>1209</v>
      </c>
      <c r="G2" s="44" t="s">
        <v>1210</v>
      </c>
      <c r="H2" s="44" t="s">
        <v>591</v>
      </c>
      <c r="I2" s="45" t="s">
        <v>1211</v>
      </c>
      <c r="J2" s="45" t="s">
        <v>5665</v>
      </c>
      <c r="K2" s="45" t="s">
        <v>5666</v>
      </c>
      <c r="L2" s="45" t="s">
        <v>5667</v>
      </c>
      <c r="M2" s="45" t="s">
        <v>5668</v>
      </c>
      <c r="N2" s="69" t="s">
        <v>0</v>
      </c>
    </row>
    <row r="3" spans="1:14" x14ac:dyDescent="0.3">
      <c r="A3" s="163"/>
      <c r="B3" s="160"/>
      <c r="C3" s="47"/>
      <c r="D3" s="47"/>
      <c r="E3" s="47"/>
      <c r="F3" s="47"/>
      <c r="G3" s="47"/>
      <c r="H3" s="47"/>
      <c r="I3" s="47"/>
      <c r="J3" s="47"/>
      <c r="K3" s="47"/>
      <c r="L3" s="47"/>
      <c r="M3" s="47"/>
      <c r="N3" s="69"/>
    </row>
    <row r="4" spans="1:14" x14ac:dyDescent="0.3">
      <c r="A4" s="163"/>
      <c r="B4" s="51" t="s">
        <v>5626</v>
      </c>
      <c r="C4" s="49"/>
      <c r="D4" s="49"/>
      <c r="E4" s="49"/>
      <c r="F4" s="49"/>
      <c r="G4" s="49"/>
      <c r="H4" s="49"/>
      <c r="I4" s="49"/>
      <c r="J4" s="47"/>
      <c r="K4" s="47"/>
      <c r="L4" s="47"/>
      <c r="M4" s="47"/>
      <c r="N4" s="69"/>
    </row>
    <row r="5" spans="1:14" x14ac:dyDescent="0.3">
      <c r="A5" s="163"/>
      <c r="B5" s="160"/>
      <c r="C5" s="47"/>
      <c r="D5" s="47"/>
      <c r="E5" s="71"/>
      <c r="F5" s="71"/>
      <c r="G5" s="71"/>
      <c r="H5" s="71"/>
      <c r="I5" s="47"/>
      <c r="J5" s="47"/>
      <c r="K5" s="47"/>
      <c r="L5" s="47"/>
      <c r="M5" s="47"/>
      <c r="N5" s="69"/>
    </row>
    <row r="6" spans="1:14" ht="20.399999999999999" x14ac:dyDescent="0.3">
      <c r="A6" s="162" t="s">
        <v>1212</v>
      </c>
      <c r="B6" s="153" t="s">
        <v>1213</v>
      </c>
      <c r="C6" s="116">
        <f>J6+K6</f>
        <v>0</v>
      </c>
      <c r="D6" s="116">
        <f>L6+M6</f>
        <v>0</v>
      </c>
      <c r="E6" s="59" t="str">
        <f>IFERROR(TRUNC(IF(C6&lt;&gt;0,C6/$C$43,"")*100,2),"")</f>
        <v/>
      </c>
      <c r="F6" s="59" t="str">
        <f>IFERROR(TRUNC(IF(D6&lt;&gt;0,D6/$D$43,"")*100,2),"")</f>
        <v/>
      </c>
      <c r="G6" s="60" t="str">
        <f>IF(OR(C6&lt;&gt;0,D6&lt;&gt;0),C6-D6,"")</f>
        <v/>
      </c>
      <c r="H6" s="59" t="str">
        <f>IFERROR(ABS(IF(G6&lt;&gt;0,IF(D6&lt;&gt;0,TRUNC(G6/D6*100,2),IF(C6&lt;&gt;0,TRUNC(G6/C6*100,2),"")),"")),"")</f>
        <v/>
      </c>
      <c r="I6" s="108" t="str">
        <f>IF(AND($C$43=0,$D$43=0),"",IF(OR(N(E6)&lt;&gt;0,N(F6)&lt;&gt;0),IF(OR(N(E6)&gt;4,N(F6)&gt;4),IF(N(H6)&gt;14,"SI","NO"),"NO"),"NO"))</f>
        <v/>
      </c>
      <c r="J6" s="116"/>
      <c r="K6" s="116"/>
      <c r="L6" s="116"/>
      <c r="M6" s="117"/>
      <c r="N6" s="69"/>
    </row>
    <row r="7" spans="1:14" ht="20.399999999999999" x14ac:dyDescent="0.3">
      <c r="A7" s="162" t="s">
        <v>1214</v>
      </c>
      <c r="B7" s="153" t="s">
        <v>5696</v>
      </c>
      <c r="C7" s="116">
        <f>J7+K7</f>
        <v>0</v>
      </c>
      <c r="D7" s="116">
        <f>L7+M7</f>
        <v>0</v>
      </c>
      <c r="E7" s="55" t="str">
        <f>IFERROR(TRUNC(IF(C7&lt;&gt;0,C7/$C$43,"")*100,2),"")</f>
        <v/>
      </c>
      <c r="F7" s="55" t="str">
        <f>IFERROR(TRUNC(IF(D7&lt;&gt;0,D7/$D$43,"")*100,2),"")</f>
        <v/>
      </c>
      <c r="G7" s="56" t="str">
        <f>IF(OR(C7&lt;&gt;0,D7&lt;&gt;0),C7-D7,"")</f>
        <v/>
      </c>
      <c r="H7" s="55" t="str">
        <f>IFERROR(ABS(IF(G7&lt;&gt;0,IF(D7&lt;&gt;0,TRUNC(G7/D7*100,2),IF(C7&lt;&gt;0,TRUNC(G7/C7*100,2),"")),"")),"")</f>
        <v/>
      </c>
      <c r="I7" s="108" t="str">
        <f>IF(AND($C$43=0,$D$43=0),"",IF(OR(N(E7)&lt;&gt;0,N(F7)&lt;&gt;0),IF(OR(N(E7)&gt;4,N(F7)&gt;4),IF(N(H7)&gt;14,"SI","NO"),"NO"),"NO"))</f>
        <v/>
      </c>
      <c r="J7" s="116"/>
      <c r="K7" s="116"/>
      <c r="L7" s="116"/>
      <c r="M7" s="117"/>
      <c r="N7" s="69"/>
    </row>
    <row r="8" spans="1:14" ht="20.399999999999999" x14ac:dyDescent="0.3">
      <c r="A8" s="162" t="s">
        <v>1215</v>
      </c>
      <c r="B8" s="153" t="s">
        <v>1216</v>
      </c>
      <c r="C8" s="54">
        <f>ROUND(SUM(C6:C7),0)</f>
        <v>0</v>
      </c>
      <c r="D8" s="54">
        <f>ROUND(SUM(D6:D7),0)</f>
        <v>0</v>
      </c>
      <c r="E8" s="29"/>
      <c r="F8" s="29"/>
      <c r="G8" s="29"/>
      <c r="H8" s="29"/>
      <c r="I8" s="29"/>
      <c r="J8" s="54">
        <f>ROUND(SUM(J6:J7),0)</f>
        <v>0</v>
      </c>
      <c r="K8" s="54">
        <f>ROUND(SUM(K6:K7),0)</f>
        <v>0</v>
      </c>
      <c r="L8" s="54">
        <f>ROUND(SUM(L6:L7),0)</f>
        <v>0</v>
      </c>
      <c r="M8" s="54">
        <f>ROUND(SUM(M6:M7),0)</f>
        <v>0</v>
      </c>
      <c r="N8" s="69"/>
    </row>
    <row r="9" spans="1:14" x14ac:dyDescent="0.3">
      <c r="A9" s="162"/>
      <c r="B9" s="153"/>
      <c r="C9" s="18"/>
      <c r="D9" s="18"/>
      <c r="E9" s="18"/>
      <c r="F9" s="18"/>
      <c r="G9" s="18"/>
      <c r="H9" s="18"/>
      <c r="I9" s="18"/>
      <c r="J9" s="18"/>
      <c r="K9" s="18"/>
      <c r="L9" s="18"/>
      <c r="M9" s="18"/>
      <c r="N9" s="69"/>
    </row>
    <row r="10" spans="1:14" ht="30.6" x14ac:dyDescent="0.3">
      <c r="A10" s="162" t="s">
        <v>1217</v>
      </c>
      <c r="B10" s="153" t="s">
        <v>1218</v>
      </c>
      <c r="C10" s="116">
        <f>J10+K10</f>
        <v>0</v>
      </c>
      <c r="D10" s="116">
        <f>L10+M10</f>
        <v>0</v>
      </c>
      <c r="E10" s="55" t="str">
        <f>IFERROR(TRUNC(IF(C10&lt;&gt;0,C10/$C$43,"")*100,2),"")</f>
        <v/>
      </c>
      <c r="F10" s="55" t="str">
        <f>IFERROR(TRUNC(IF(D10&lt;&gt;0,D10/$D$43,"")*100,2),"")</f>
        <v/>
      </c>
      <c r="G10" s="56" t="str">
        <f>IF(OR(C10&lt;&gt;0,D10&lt;&gt;0),C10-D10,"")</f>
        <v/>
      </c>
      <c r="H10" s="55" t="str">
        <f>IFERROR(ABS(IF(G10&lt;&gt;0,IF(D10&lt;&gt;0,TRUNC(G10/D10*100,2),IF(C10&lt;&gt;0,TRUNC(G10/C10*100,2),"")),"")),"")</f>
        <v/>
      </c>
      <c r="I10" s="108" t="str">
        <f>IF(AND($C$43=0,$D$43=0),"",IF(OR(N(E10)&lt;&gt;0,N(F10)&lt;&gt;0),IF(OR(N(E10)&gt;4,N(F10)&gt;4),IF(N(H10)&gt;14,"SI","NO"),"NO"),"NO"))</f>
        <v/>
      </c>
      <c r="J10" s="116"/>
      <c r="K10" s="116"/>
      <c r="L10" s="116"/>
      <c r="M10" s="117"/>
      <c r="N10" s="69"/>
    </row>
    <row r="11" spans="1:14" ht="30.6" x14ac:dyDescent="0.3">
      <c r="A11" s="162" t="s">
        <v>1219</v>
      </c>
      <c r="B11" s="153" t="s">
        <v>5697</v>
      </c>
      <c r="C11" s="116">
        <f>J11+K11</f>
        <v>0</v>
      </c>
      <c r="D11" s="116">
        <f>L11+M11</f>
        <v>0</v>
      </c>
      <c r="E11" s="55" t="str">
        <f>IFERROR(TRUNC(IF(C11&lt;&gt;0,C11/$C$43,"")*100,2),"")</f>
        <v/>
      </c>
      <c r="F11" s="55" t="str">
        <f>IFERROR(TRUNC(IF(D11&lt;&gt;0,D11/$D$43,"")*100,2),"")</f>
        <v/>
      </c>
      <c r="G11" s="56" t="str">
        <f>IF(OR(C11&lt;&gt;0,D11&lt;&gt;0),C11-D11,"")</f>
        <v/>
      </c>
      <c r="H11" s="55" t="str">
        <f>IFERROR(ABS(IF(G11&lt;&gt;0,IF(D11&lt;&gt;0,TRUNC(G11/D11*100,2),IF(C11&lt;&gt;0,TRUNC(G11/C11*100,2),"")),"")),"")</f>
        <v/>
      </c>
      <c r="I11" s="108" t="str">
        <f>IF(AND($C$43=0,$D$43=0),"",IF(OR(N(E11)&lt;&gt;0,N(F11)&lt;&gt;0),IF(OR(N(E11)&gt;4,N(F11)&gt;4),IF(N(H11)&gt;14,"SI","NO"),"NO"),"NO"))</f>
        <v/>
      </c>
      <c r="J11" s="116"/>
      <c r="K11" s="116"/>
      <c r="L11" s="116"/>
      <c r="M11" s="117"/>
      <c r="N11" s="69"/>
    </row>
    <row r="12" spans="1:14" ht="20.399999999999999" x14ac:dyDescent="0.3">
      <c r="A12" s="162" t="s">
        <v>1220</v>
      </c>
      <c r="B12" s="153" t="s">
        <v>1221</v>
      </c>
      <c r="C12" s="54">
        <f>ROUND(SUM(C10:C11),0)</f>
        <v>0</v>
      </c>
      <c r="D12" s="54">
        <f>ROUND(SUM(D10:D11),0)</f>
        <v>0</v>
      </c>
      <c r="E12" s="29"/>
      <c r="F12" s="29"/>
      <c r="G12" s="29"/>
      <c r="H12" s="29"/>
      <c r="I12" s="29"/>
      <c r="J12" s="54">
        <f>ROUND(SUM(J10:J11),0)</f>
        <v>0</v>
      </c>
      <c r="K12" s="54">
        <f>ROUND(SUM(K10:K11),0)</f>
        <v>0</v>
      </c>
      <c r="L12" s="54">
        <f>ROUND(SUM(L10:L11),0)</f>
        <v>0</v>
      </c>
      <c r="M12" s="54">
        <f>ROUND(SUM(M10:M11),0)</f>
        <v>0</v>
      </c>
      <c r="N12" s="69"/>
    </row>
    <row r="13" spans="1:14" x14ac:dyDescent="0.3">
      <c r="A13" s="162"/>
      <c r="B13" s="153"/>
      <c r="C13" s="18"/>
      <c r="D13" s="18"/>
      <c r="E13" s="18"/>
      <c r="F13" s="18"/>
      <c r="G13" s="18"/>
      <c r="H13" s="18"/>
      <c r="I13" s="18"/>
      <c r="J13" s="18"/>
      <c r="K13" s="18"/>
      <c r="L13" s="18"/>
      <c r="M13" s="18"/>
      <c r="N13" s="69"/>
    </row>
    <row r="14" spans="1:14" ht="20.399999999999999" x14ac:dyDescent="0.3">
      <c r="A14" s="164" t="s">
        <v>1222</v>
      </c>
      <c r="B14" s="153" t="s">
        <v>1223</v>
      </c>
      <c r="C14" s="116">
        <f>J14+K14</f>
        <v>0</v>
      </c>
      <c r="D14" s="116">
        <f>L14+M14</f>
        <v>0</v>
      </c>
      <c r="E14" s="55" t="str">
        <f>IFERROR(TRUNC(IF(C14&lt;&gt;0,C14/$C$43,"")*100,2),"")</f>
        <v/>
      </c>
      <c r="F14" s="55" t="str">
        <f>IFERROR(TRUNC(IF(D14&lt;&gt;0,D14/$D$43,"")*100,2),"")</f>
        <v/>
      </c>
      <c r="G14" s="56" t="str">
        <f>IF(OR(C14&lt;&gt;0,D14&lt;&gt;0),C14-D14,"")</f>
        <v/>
      </c>
      <c r="H14" s="55" t="str">
        <f>IFERROR(ABS(IF(G14&lt;&gt;0,IF(D14&lt;&gt;0,TRUNC(G14/D14*100,2),IF(C14&lt;&gt;0,TRUNC(G14/C14*100,2),"")),"")),"")</f>
        <v/>
      </c>
      <c r="I14" s="108" t="str">
        <f>IF(AND($C$43=0,$D$43=0),"",IF(OR(N(E14)&lt;&gt;0,N(F14)&lt;&gt;0),IF(OR(N(E14)&gt;4,N(F14)&gt;4),IF(N(H14)&gt;14,"SI","NO"),"NO"),"NO"))</f>
        <v/>
      </c>
      <c r="J14" s="116"/>
      <c r="K14" s="116"/>
      <c r="L14" s="116"/>
      <c r="M14" s="117"/>
      <c r="N14" s="69"/>
    </row>
    <row r="15" spans="1:14" ht="20.399999999999999" x14ac:dyDescent="0.3">
      <c r="A15" s="164" t="s">
        <v>1224</v>
      </c>
      <c r="B15" s="153" t="s">
        <v>1225</v>
      </c>
      <c r="C15" s="116">
        <f>J15+K15</f>
        <v>0</v>
      </c>
      <c r="D15" s="116">
        <f>L15+M15</f>
        <v>0</v>
      </c>
      <c r="E15" s="55" t="str">
        <f>IFERROR(TRUNC(IF(C15&lt;&gt;0,C15/$C$43,"")*100,2),"")</f>
        <v/>
      </c>
      <c r="F15" s="55" t="str">
        <f>IFERROR(TRUNC(IF(D15&lt;&gt;0,D15/$D$43,"")*100,2),"")</f>
        <v/>
      </c>
      <c r="G15" s="56" t="str">
        <f>IF(OR(C15&lt;&gt;0,D15&lt;&gt;0),C15-D15,"")</f>
        <v/>
      </c>
      <c r="H15" s="55" t="str">
        <f>IFERROR(ABS(IF(G15&lt;&gt;0,IF(D15&lt;&gt;0,TRUNC(G15/D15*100,2),IF(C15&lt;&gt;0,TRUNC(G15/C15*100,2),"")),"")),"")</f>
        <v/>
      </c>
      <c r="I15" s="108" t="str">
        <f>IF(AND($C$43=0,$D$43=0),"",IF(OR(N(E15)&lt;&gt;0,N(F15)&lt;&gt;0),IF(OR(N(E15)&gt;4,N(F15)&gt;4),IF(N(H15)&gt;14,"SI","NO"),"NO"),"NO"))</f>
        <v/>
      </c>
      <c r="J15" s="116"/>
      <c r="K15" s="116"/>
      <c r="L15" s="116"/>
      <c r="M15" s="117"/>
      <c r="N15" s="69"/>
    </row>
    <row r="16" spans="1:14" x14ac:dyDescent="0.3">
      <c r="A16" s="162"/>
      <c r="B16" s="153"/>
      <c r="C16" s="18"/>
      <c r="D16" s="18"/>
      <c r="E16" s="18"/>
      <c r="F16" s="18"/>
      <c r="G16" s="18"/>
      <c r="H16" s="18"/>
      <c r="I16" s="18"/>
      <c r="J16" s="18"/>
      <c r="K16" s="18"/>
      <c r="L16" s="18"/>
      <c r="M16" s="20"/>
      <c r="N16" s="69"/>
    </row>
    <row r="17" spans="1:14" x14ac:dyDescent="0.3">
      <c r="A17" s="162" t="s">
        <v>1226</v>
      </c>
      <c r="B17" s="153" t="s">
        <v>1227</v>
      </c>
      <c r="C17" s="116">
        <f>ROUND(C8+C12-C14-C15,0)</f>
        <v>0</v>
      </c>
      <c r="D17" s="116">
        <f>ROUND(D8+D12-D14-D15,0)</f>
        <v>0</v>
      </c>
      <c r="E17" s="29"/>
      <c r="F17" s="29"/>
      <c r="G17" s="29"/>
      <c r="H17" s="29"/>
      <c r="I17" s="29"/>
      <c r="J17" s="116">
        <f>ROUND(J8+J12-J14-J15,0)</f>
        <v>0</v>
      </c>
      <c r="K17" s="116">
        <f>ROUND(K8+K12-K14-K15,0)</f>
        <v>0</v>
      </c>
      <c r="L17" s="116">
        <f>ROUND(L8+L12-L14-L15,0)</f>
        <v>0</v>
      </c>
      <c r="M17" s="117">
        <f>ROUND(M8+M12-M14-M15,0)</f>
        <v>0</v>
      </c>
      <c r="N17" s="69"/>
    </row>
    <row r="18" spans="1:14" x14ac:dyDescent="0.3">
      <c r="A18" s="162"/>
      <c r="B18" s="154"/>
      <c r="C18" s="18"/>
      <c r="D18" s="18"/>
      <c r="E18" s="18"/>
      <c r="F18" s="18"/>
      <c r="G18" s="18"/>
      <c r="H18" s="18"/>
      <c r="I18" s="18"/>
      <c r="J18" s="18"/>
      <c r="K18" s="18"/>
      <c r="L18" s="18"/>
      <c r="M18" s="18"/>
      <c r="N18" s="69"/>
    </row>
    <row r="19" spans="1:14" x14ac:dyDescent="0.3">
      <c r="A19" s="162"/>
      <c r="B19" s="153" t="s">
        <v>1228</v>
      </c>
      <c r="C19" s="18"/>
      <c r="D19" s="18"/>
      <c r="E19" s="18"/>
      <c r="F19" s="18"/>
      <c r="G19" s="18"/>
      <c r="H19" s="18"/>
      <c r="I19" s="18"/>
      <c r="J19" s="18"/>
      <c r="K19" s="18"/>
      <c r="L19" s="18"/>
      <c r="M19" s="18"/>
      <c r="N19" s="69"/>
    </row>
    <row r="20" spans="1:14" x14ac:dyDescent="0.3">
      <c r="A20" s="162"/>
      <c r="B20" s="153"/>
      <c r="C20" s="18"/>
      <c r="D20" s="18"/>
      <c r="E20" s="18"/>
      <c r="F20" s="18"/>
      <c r="G20" s="18"/>
      <c r="H20" s="18"/>
      <c r="I20" s="18"/>
      <c r="J20" s="18"/>
      <c r="K20" s="18"/>
      <c r="L20" s="18"/>
      <c r="M20" s="18"/>
      <c r="N20" s="69"/>
    </row>
    <row r="21" spans="1:14" x14ac:dyDescent="0.3">
      <c r="A21" s="162" t="s">
        <v>1229</v>
      </c>
      <c r="B21" s="153" t="s">
        <v>1230</v>
      </c>
      <c r="C21" s="116">
        <f t="shared" ref="C21:C35" si="0">J21+K21</f>
        <v>0</v>
      </c>
      <c r="D21" s="116">
        <f t="shared" ref="D21:D35" si="1">L21+M21</f>
        <v>0</v>
      </c>
      <c r="E21" s="55" t="str">
        <f t="shared" ref="E21:E35" si="2">IFERROR(TRUNC(IF(C21&lt;&gt;0,C21/$C$43,"")*100,2),"")</f>
        <v/>
      </c>
      <c r="F21" s="55" t="str">
        <f t="shared" ref="F21:F35" si="3">IFERROR(TRUNC(IF(D21&lt;&gt;0,D21/$D$43,"")*100,2),"")</f>
        <v/>
      </c>
      <c r="G21" s="56" t="str">
        <f t="shared" ref="G21:G35" si="4">IF(OR(C21&lt;&gt;0,D21&lt;&gt;0),C21-D21,"")</f>
        <v/>
      </c>
      <c r="H21" s="55" t="str">
        <f t="shared" ref="H21:H35" si="5">IFERROR(ABS(IF(G21&lt;&gt;0,IF(D21&lt;&gt;0,TRUNC(G21/D21*100,2),IF(C21&lt;&gt;0,TRUNC(G21/C21*100,2),"")),"")),"")</f>
        <v/>
      </c>
      <c r="I21" s="108" t="str">
        <f t="shared" ref="I21:I35" si="6">IF(AND($C$43=0,$D$43=0),"",IF(OR(N(E21)&lt;&gt;0,N(F21)&lt;&gt;0),IF(OR(N(E21)&gt;4,N(F21)&gt;4),IF(N(H21)&gt;14,"SI","NO"),"NO"),"NO"))</f>
        <v/>
      </c>
      <c r="J21" s="116"/>
      <c r="K21" s="116"/>
      <c r="L21" s="116"/>
      <c r="M21" s="117"/>
      <c r="N21" s="69"/>
    </row>
    <row r="22" spans="1:14" x14ac:dyDescent="0.3">
      <c r="A22" s="162" t="s">
        <v>1231</v>
      </c>
      <c r="B22" s="153" t="s">
        <v>1232</v>
      </c>
      <c r="C22" s="116">
        <f t="shared" si="0"/>
        <v>0</v>
      </c>
      <c r="D22" s="116">
        <f t="shared" si="1"/>
        <v>0</v>
      </c>
      <c r="E22" s="55" t="str">
        <f t="shared" si="2"/>
        <v/>
      </c>
      <c r="F22" s="55" t="str">
        <f t="shared" si="3"/>
        <v/>
      </c>
      <c r="G22" s="56" t="str">
        <f t="shared" si="4"/>
        <v/>
      </c>
      <c r="H22" s="55" t="str">
        <f t="shared" si="5"/>
        <v/>
      </c>
      <c r="I22" s="108" t="str">
        <f t="shared" si="6"/>
        <v/>
      </c>
      <c r="J22" s="116"/>
      <c r="K22" s="116"/>
      <c r="L22" s="116"/>
      <c r="M22" s="117"/>
      <c r="N22" s="69"/>
    </row>
    <row r="23" spans="1:14" x14ac:dyDescent="0.3">
      <c r="A23" s="162" t="s">
        <v>1233</v>
      </c>
      <c r="B23" s="153" t="s">
        <v>1234</v>
      </c>
      <c r="C23" s="116">
        <f t="shared" si="0"/>
        <v>0</v>
      </c>
      <c r="D23" s="116">
        <f t="shared" si="1"/>
        <v>0</v>
      </c>
      <c r="E23" s="55" t="str">
        <f t="shared" si="2"/>
        <v/>
      </c>
      <c r="F23" s="55" t="str">
        <f t="shared" si="3"/>
        <v/>
      </c>
      <c r="G23" s="56" t="str">
        <f t="shared" si="4"/>
        <v/>
      </c>
      <c r="H23" s="55" t="str">
        <f t="shared" si="5"/>
        <v/>
      </c>
      <c r="I23" s="108" t="str">
        <f t="shared" si="6"/>
        <v/>
      </c>
      <c r="J23" s="116"/>
      <c r="K23" s="116"/>
      <c r="L23" s="116"/>
      <c r="M23" s="117"/>
      <c r="N23" s="69"/>
    </row>
    <row r="24" spans="1:14" x14ac:dyDescent="0.3">
      <c r="A24" s="162" t="s">
        <v>1235</v>
      </c>
      <c r="B24" s="153" t="s">
        <v>1236</v>
      </c>
      <c r="C24" s="116">
        <f t="shared" si="0"/>
        <v>0</v>
      </c>
      <c r="D24" s="116">
        <f t="shared" si="1"/>
        <v>0</v>
      </c>
      <c r="E24" s="55" t="str">
        <f t="shared" si="2"/>
        <v/>
      </c>
      <c r="F24" s="55" t="str">
        <f t="shared" si="3"/>
        <v/>
      </c>
      <c r="G24" s="56" t="str">
        <f t="shared" si="4"/>
        <v/>
      </c>
      <c r="H24" s="55" t="str">
        <f t="shared" si="5"/>
        <v/>
      </c>
      <c r="I24" s="108" t="str">
        <f t="shared" si="6"/>
        <v/>
      </c>
      <c r="J24" s="116"/>
      <c r="K24" s="116"/>
      <c r="L24" s="116"/>
      <c r="M24" s="117"/>
      <c r="N24" s="69"/>
    </row>
    <row r="25" spans="1:14" x14ac:dyDescent="0.3">
      <c r="A25" s="162" t="s">
        <v>1237</v>
      </c>
      <c r="B25" s="153" t="s">
        <v>1238</v>
      </c>
      <c r="C25" s="116">
        <f t="shared" si="0"/>
        <v>0</v>
      </c>
      <c r="D25" s="116">
        <f t="shared" si="1"/>
        <v>0</v>
      </c>
      <c r="E25" s="55" t="str">
        <f t="shared" si="2"/>
        <v/>
      </c>
      <c r="F25" s="55" t="str">
        <f t="shared" si="3"/>
        <v/>
      </c>
      <c r="G25" s="56" t="str">
        <f t="shared" si="4"/>
        <v/>
      </c>
      <c r="H25" s="55" t="str">
        <f t="shared" si="5"/>
        <v/>
      </c>
      <c r="I25" s="108" t="str">
        <f t="shared" si="6"/>
        <v/>
      </c>
      <c r="J25" s="116"/>
      <c r="K25" s="116"/>
      <c r="L25" s="116"/>
      <c r="M25" s="117"/>
      <c r="N25" s="69"/>
    </row>
    <row r="26" spans="1:14" x14ac:dyDescent="0.3">
      <c r="A26" s="162" t="s">
        <v>1239</v>
      </c>
      <c r="B26" s="153" t="s">
        <v>1240</v>
      </c>
      <c r="C26" s="116">
        <f t="shared" si="0"/>
        <v>0</v>
      </c>
      <c r="D26" s="116">
        <f t="shared" si="1"/>
        <v>0</v>
      </c>
      <c r="E26" s="55" t="str">
        <f t="shared" si="2"/>
        <v/>
      </c>
      <c r="F26" s="55" t="str">
        <f t="shared" si="3"/>
        <v/>
      </c>
      <c r="G26" s="56" t="str">
        <f t="shared" si="4"/>
        <v/>
      </c>
      <c r="H26" s="55" t="str">
        <f t="shared" si="5"/>
        <v/>
      </c>
      <c r="I26" s="108" t="str">
        <f t="shared" si="6"/>
        <v/>
      </c>
      <c r="J26" s="116"/>
      <c r="K26" s="116"/>
      <c r="L26" s="116"/>
      <c r="M26" s="117"/>
      <c r="N26" s="69"/>
    </row>
    <row r="27" spans="1:14" x14ac:dyDescent="0.3">
      <c r="A27" s="162" t="s">
        <v>1241</v>
      </c>
      <c r="B27" s="153" t="s">
        <v>1242</v>
      </c>
      <c r="C27" s="116">
        <f t="shared" si="0"/>
        <v>0</v>
      </c>
      <c r="D27" s="116">
        <f t="shared" si="1"/>
        <v>0</v>
      </c>
      <c r="E27" s="55" t="str">
        <f t="shared" si="2"/>
        <v/>
      </c>
      <c r="F27" s="55" t="str">
        <f t="shared" si="3"/>
        <v/>
      </c>
      <c r="G27" s="56" t="str">
        <f t="shared" si="4"/>
        <v/>
      </c>
      <c r="H27" s="55" t="str">
        <f t="shared" si="5"/>
        <v/>
      </c>
      <c r="I27" s="108" t="str">
        <f t="shared" si="6"/>
        <v/>
      </c>
      <c r="J27" s="116"/>
      <c r="K27" s="116"/>
      <c r="L27" s="116"/>
      <c r="M27" s="117"/>
      <c r="N27" s="69"/>
    </row>
    <row r="28" spans="1:14" x14ac:dyDescent="0.3">
      <c r="A28" s="162" t="s">
        <v>1243</v>
      </c>
      <c r="B28" s="153" t="s">
        <v>1244</v>
      </c>
      <c r="C28" s="116">
        <f t="shared" si="0"/>
        <v>0</v>
      </c>
      <c r="D28" s="116">
        <f t="shared" si="1"/>
        <v>0</v>
      </c>
      <c r="E28" s="55" t="str">
        <f t="shared" si="2"/>
        <v/>
      </c>
      <c r="F28" s="55" t="str">
        <f t="shared" si="3"/>
        <v/>
      </c>
      <c r="G28" s="56" t="str">
        <f t="shared" si="4"/>
        <v/>
      </c>
      <c r="H28" s="55" t="str">
        <f t="shared" si="5"/>
        <v/>
      </c>
      <c r="I28" s="108" t="str">
        <f t="shared" si="6"/>
        <v/>
      </c>
      <c r="J28" s="116"/>
      <c r="K28" s="116"/>
      <c r="L28" s="116"/>
      <c r="M28" s="117"/>
      <c r="N28" s="69"/>
    </row>
    <row r="29" spans="1:14" x14ac:dyDescent="0.3">
      <c r="A29" s="162" t="s">
        <v>1245</v>
      </c>
      <c r="B29" s="154" t="s">
        <v>1246</v>
      </c>
      <c r="C29" s="116">
        <f t="shared" si="0"/>
        <v>0</v>
      </c>
      <c r="D29" s="116">
        <f t="shared" si="1"/>
        <v>0</v>
      </c>
      <c r="E29" s="55" t="str">
        <f t="shared" si="2"/>
        <v/>
      </c>
      <c r="F29" s="55" t="str">
        <f t="shared" si="3"/>
        <v/>
      </c>
      <c r="G29" s="56" t="str">
        <f t="shared" si="4"/>
        <v/>
      </c>
      <c r="H29" s="55" t="str">
        <f t="shared" si="5"/>
        <v/>
      </c>
      <c r="I29" s="108" t="str">
        <f t="shared" si="6"/>
        <v/>
      </c>
      <c r="J29" s="116"/>
      <c r="K29" s="116"/>
      <c r="L29" s="116"/>
      <c r="M29" s="117"/>
      <c r="N29" s="69"/>
    </row>
    <row r="30" spans="1:14" x14ac:dyDescent="0.3">
      <c r="A30" s="162" t="s">
        <v>1247</v>
      </c>
      <c r="B30" s="153" t="s">
        <v>5698</v>
      </c>
      <c r="C30" s="116">
        <f t="shared" si="0"/>
        <v>0</v>
      </c>
      <c r="D30" s="116">
        <f t="shared" si="1"/>
        <v>0</v>
      </c>
      <c r="E30" s="55" t="str">
        <f t="shared" si="2"/>
        <v/>
      </c>
      <c r="F30" s="55" t="str">
        <f t="shared" si="3"/>
        <v/>
      </c>
      <c r="G30" s="56" t="str">
        <f t="shared" si="4"/>
        <v/>
      </c>
      <c r="H30" s="55" t="str">
        <f t="shared" si="5"/>
        <v/>
      </c>
      <c r="I30" s="108" t="str">
        <f t="shared" si="6"/>
        <v/>
      </c>
      <c r="J30" s="116"/>
      <c r="K30" s="116"/>
      <c r="L30" s="116"/>
      <c r="M30" s="117"/>
      <c r="N30" s="69"/>
    </row>
    <row r="31" spans="1:14" x14ac:dyDescent="0.3">
      <c r="A31" s="162" t="s">
        <v>1248</v>
      </c>
      <c r="B31" s="153" t="s">
        <v>5699</v>
      </c>
      <c r="C31" s="116">
        <f t="shared" si="0"/>
        <v>0</v>
      </c>
      <c r="D31" s="116">
        <f t="shared" si="1"/>
        <v>0</v>
      </c>
      <c r="E31" s="55" t="str">
        <f t="shared" si="2"/>
        <v/>
      </c>
      <c r="F31" s="55" t="str">
        <f t="shared" si="3"/>
        <v/>
      </c>
      <c r="G31" s="56" t="str">
        <f t="shared" si="4"/>
        <v/>
      </c>
      <c r="H31" s="55" t="str">
        <f t="shared" si="5"/>
        <v/>
      </c>
      <c r="I31" s="108" t="str">
        <f t="shared" si="6"/>
        <v/>
      </c>
      <c r="J31" s="116"/>
      <c r="K31" s="116"/>
      <c r="L31" s="116"/>
      <c r="M31" s="116"/>
      <c r="N31" s="69"/>
    </row>
    <row r="32" spans="1:14" x14ac:dyDescent="0.3">
      <c r="A32" s="162" t="s">
        <v>1249</v>
      </c>
      <c r="B32" s="153" t="s">
        <v>1250</v>
      </c>
      <c r="C32" s="116">
        <f t="shared" si="0"/>
        <v>0</v>
      </c>
      <c r="D32" s="116">
        <f t="shared" si="1"/>
        <v>0</v>
      </c>
      <c r="E32" s="55" t="str">
        <f t="shared" si="2"/>
        <v/>
      </c>
      <c r="F32" s="55" t="str">
        <f t="shared" si="3"/>
        <v/>
      </c>
      <c r="G32" s="56" t="str">
        <f t="shared" si="4"/>
        <v/>
      </c>
      <c r="H32" s="55" t="str">
        <f t="shared" si="5"/>
        <v/>
      </c>
      <c r="I32" s="108" t="str">
        <f t="shared" si="6"/>
        <v/>
      </c>
      <c r="J32" s="116"/>
      <c r="K32" s="116"/>
      <c r="L32" s="116"/>
      <c r="M32" s="117"/>
      <c r="N32" s="69"/>
    </row>
    <row r="33" spans="1:14" x14ac:dyDescent="0.3">
      <c r="A33" s="162" t="s">
        <v>1251</v>
      </c>
      <c r="B33" s="153" t="s">
        <v>1252</v>
      </c>
      <c r="C33" s="116">
        <f t="shared" si="0"/>
        <v>0</v>
      </c>
      <c r="D33" s="116">
        <f t="shared" si="1"/>
        <v>0</v>
      </c>
      <c r="E33" s="55" t="str">
        <f t="shared" si="2"/>
        <v/>
      </c>
      <c r="F33" s="55" t="str">
        <f t="shared" si="3"/>
        <v/>
      </c>
      <c r="G33" s="56" t="str">
        <f t="shared" si="4"/>
        <v/>
      </c>
      <c r="H33" s="55" t="str">
        <f t="shared" si="5"/>
        <v/>
      </c>
      <c r="I33" s="108" t="str">
        <f t="shared" si="6"/>
        <v/>
      </c>
      <c r="J33" s="116"/>
      <c r="K33" s="116"/>
      <c r="L33" s="116"/>
      <c r="M33" s="117"/>
      <c r="N33" s="69"/>
    </row>
    <row r="34" spans="1:14" ht="20.399999999999999" x14ac:dyDescent="0.3">
      <c r="A34" s="162" t="s">
        <v>1253</v>
      </c>
      <c r="B34" s="153" t="s">
        <v>1254</v>
      </c>
      <c r="C34" s="116">
        <f t="shared" si="0"/>
        <v>0</v>
      </c>
      <c r="D34" s="116">
        <f t="shared" si="1"/>
        <v>0</v>
      </c>
      <c r="E34" s="55" t="str">
        <f t="shared" si="2"/>
        <v/>
      </c>
      <c r="F34" s="55" t="str">
        <f t="shared" si="3"/>
        <v/>
      </c>
      <c r="G34" s="56" t="str">
        <f t="shared" si="4"/>
        <v/>
      </c>
      <c r="H34" s="55" t="str">
        <f t="shared" si="5"/>
        <v/>
      </c>
      <c r="I34" s="108" t="str">
        <f t="shared" si="6"/>
        <v/>
      </c>
      <c r="J34" s="116"/>
      <c r="K34" s="116"/>
      <c r="L34" s="116"/>
      <c r="M34" s="117"/>
      <c r="N34" s="69"/>
    </row>
    <row r="35" spans="1:14" ht="20.399999999999999" x14ac:dyDescent="0.3">
      <c r="A35" s="162" t="s">
        <v>1255</v>
      </c>
      <c r="B35" s="153" t="s">
        <v>1256</v>
      </c>
      <c r="C35" s="116">
        <f t="shared" si="0"/>
        <v>0</v>
      </c>
      <c r="D35" s="116">
        <f t="shared" si="1"/>
        <v>0</v>
      </c>
      <c r="E35" s="55" t="str">
        <f t="shared" si="2"/>
        <v/>
      </c>
      <c r="F35" s="55" t="str">
        <f t="shared" si="3"/>
        <v/>
      </c>
      <c r="G35" s="56" t="str">
        <f t="shared" si="4"/>
        <v/>
      </c>
      <c r="H35" s="55" t="str">
        <f t="shared" si="5"/>
        <v/>
      </c>
      <c r="I35" s="108" t="str">
        <f t="shared" si="6"/>
        <v/>
      </c>
      <c r="J35" s="116"/>
      <c r="K35" s="116"/>
      <c r="L35" s="116"/>
      <c r="M35" s="117"/>
      <c r="N35" s="69"/>
    </row>
    <row r="36" spans="1:14" x14ac:dyDescent="0.3">
      <c r="A36" s="162" t="s">
        <v>1257</v>
      </c>
      <c r="B36" s="153" t="s">
        <v>638</v>
      </c>
      <c r="C36" s="52"/>
      <c r="D36" s="52"/>
      <c r="E36" s="57"/>
      <c r="F36" s="57"/>
      <c r="G36" s="52"/>
      <c r="H36" s="57"/>
      <c r="I36" s="58"/>
      <c r="J36" s="52"/>
      <c r="K36" s="52"/>
      <c r="L36" s="52"/>
      <c r="M36" s="52"/>
      <c r="N36" s="69"/>
    </row>
    <row r="37" spans="1:14" x14ac:dyDescent="0.3">
      <c r="A37" s="162" t="s">
        <v>1258</v>
      </c>
      <c r="B37" s="153" t="s">
        <v>1259</v>
      </c>
      <c r="C37" s="54">
        <f>ROUND(SUM(C21:C35)+C36,0)</f>
        <v>0</v>
      </c>
      <c r="D37" s="54">
        <f>ROUND(SUM(D21:D35)+D36,0)</f>
        <v>0</v>
      </c>
      <c r="E37" s="29"/>
      <c r="F37" s="29"/>
      <c r="G37" s="29"/>
      <c r="H37" s="29"/>
      <c r="I37" s="29"/>
      <c r="J37" s="54">
        <f>ROUND(SUM(J21:J35)+J36,0)</f>
        <v>0</v>
      </c>
      <c r="K37" s="54">
        <f>ROUND(SUM(K21:K35)+K36,0)</f>
        <v>0</v>
      </c>
      <c r="L37" s="54">
        <f>ROUND(SUM(L21:L35)+L36,0)</f>
        <v>0</v>
      </c>
      <c r="M37" s="54">
        <f>ROUND(SUM(M21:M35)+M36,0)</f>
        <v>0</v>
      </c>
      <c r="N37" s="69"/>
    </row>
    <row r="38" spans="1:14" x14ac:dyDescent="0.3">
      <c r="A38" s="162"/>
      <c r="B38" s="153"/>
      <c r="C38" s="18"/>
      <c r="D38" s="18"/>
      <c r="E38" s="18"/>
      <c r="F38" s="18"/>
      <c r="G38" s="18"/>
      <c r="H38" s="18"/>
      <c r="I38" s="18"/>
      <c r="J38" s="18"/>
      <c r="K38" s="18"/>
      <c r="L38" s="18"/>
      <c r="M38" s="18"/>
      <c r="N38" s="69"/>
    </row>
    <row r="39" spans="1:14" x14ac:dyDescent="0.3">
      <c r="A39" s="162" t="s">
        <v>1260</v>
      </c>
      <c r="B39" s="153" t="s">
        <v>889</v>
      </c>
      <c r="C39" s="116">
        <f>ROUND(C17+C37,0)</f>
        <v>0</v>
      </c>
      <c r="D39" s="116">
        <f>ROUND(D17+D37,0)</f>
        <v>0</v>
      </c>
      <c r="E39" s="29"/>
      <c r="F39" s="29"/>
      <c r="G39" s="29"/>
      <c r="H39" s="29"/>
      <c r="I39" s="29"/>
      <c r="J39" s="116">
        <f>ROUND(J17+J37,0)</f>
        <v>0</v>
      </c>
      <c r="K39" s="116">
        <f>ROUND(K17+K37,0)</f>
        <v>0</v>
      </c>
      <c r="L39" s="116">
        <f>ROUND(L17+L37,0)</f>
        <v>0</v>
      </c>
      <c r="M39" s="117">
        <f>ROUND(M17+M37,0)</f>
        <v>0</v>
      </c>
      <c r="N39" s="69"/>
    </row>
    <row r="40" spans="1:14" x14ac:dyDescent="0.3">
      <c r="A40" s="162"/>
      <c r="B40" s="153"/>
      <c r="C40" s="18"/>
      <c r="D40" s="18"/>
      <c r="E40" s="18"/>
      <c r="F40" s="18"/>
      <c r="G40" s="18"/>
      <c r="H40" s="18"/>
      <c r="I40" s="18"/>
      <c r="J40" s="18"/>
      <c r="K40" s="18"/>
      <c r="L40" s="18"/>
      <c r="M40" s="20"/>
      <c r="N40" s="69"/>
    </row>
    <row r="41" spans="1:14" x14ac:dyDescent="0.3">
      <c r="A41" s="162" t="s">
        <v>1261</v>
      </c>
      <c r="B41" s="153" t="s">
        <v>1262</v>
      </c>
      <c r="C41" s="116">
        <f>J41+K41</f>
        <v>0</v>
      </c>
      <c r="D41" s="116">
        <f>L41+M41</f>
        <v>0</v>
      </c>
      <c r="E41" s="29"/>
      <c r="F41" s="29"/>
      <c r="G41" s="29"/>
      <c r="H41" s="29"/>
      <c r="I41" s="29"/>
      <c r="J41" s="116"/>
      <c r="K41" s="116"/>
      <c r="L41" s="116"/>
      <c r="M41" s="117"/>
      <c r="N41" s="69"/>
    </row>
    <row r="42" spans="1:14" x14ac:dyDescent="0.3">
      <c r="A42" s="162"/>
      <c r="B42" s="153"/>
      <c r="C42" s="18"/>
      <c r="D42" s="18"/>
      <c r="E42" s="18"/>
      <c r="F42" s="18"/>
      <c r="G42" s="18"/>
      <c r="H42" s="18"/>
      <c r="I42" s="18"/>
      <c r="J42" s="18"/>
      <c r="K42" s="18"/>
      <c r="L42" s="18"/>
      <c r="M42" s="20"/>
      <c r="N42" s="69"/>
    </row>
    <row r="43" spans="1:14" ht="20.399999999999999" x14ac:dyDescent="0.3">
      <c r="A43" s="162" t="s">
        <v>1263</v>
      </c>
      <c r="B43" s="153" t="s">
        <v>1264</v>
      </c>
      <c r="C43" s="73">
        <f>ROUND(C39+C41,0)</f>
        <v>0</v>
      </c>
      <c r="D43" s="117">
        <f>ROUND(D39+D41,0)</f>
        <v>0</v>
      </c>
      <c r="E43" s="29"/>
      <c r="F43" s="29"/>
      <c r="G43" s="29"/>
      <c r="H43" s="29"/>
      <c r="I43" s="29"/>
      <c r="J43" s="117">
        <f>ROUND(J39+J41,0)</f>
        <v>0</v>
      </c>
      <c r="K43" s="117">
        <f>ROUND(K39+K41,0)</f>
        <v>0</v>
      </c>
      <c r="L43" s="117">
        <f>ROUND(L39+L41,0)</f>
        <v>0</v>
      </c>
      <c r="M43" s="117">
        <f>ROUND(M39+M41,0)</f>
        <v>0</v>
      </c>
      <c r="N43" s="69"/>
    </row>
    <row r="44" spans="1:14" ht="8.1" customHeight="1" x14ac:dyDescent="0.3">
      <c r="A44" s="70" t="s">
        <v>0</v>
      </c>
      <c r="B44" s="152"/>
      <c r="C44" s="70"/>
      <c r="D44" s="70"/>
      <c r="E44" s="70"/>
      <c r="F44" s="70"/>
      <c r="G44" s="70"/>
      <c r="H44" s="70"/>
      <c r="I44" s="70"/>
      <c r="J44" s="70"/>
      <c r="K44" s="70"/>
      <c r="L44" s="70"/>
      <c r="M44" s="70"/>
      <c r="N4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K123"/>
  <sheetViews>
    <sheetView zoomScaleNormal="100" workbookViewId="0"/>
  </sheetViews>
  <sheetFormatPr defaultColWidth="11.5546875" defaultRowHeight="14.4" x14ac:dyDescent="0.3"/>
  <cols>
    <col min="1" max="1" width="14.33203125" style="167" customWidth="1"/>
    <col min="2" max="2" width="35.6640625" style="107" customWidth="1"/>
    <col min="3" max="36" width="18.6640625" style="107" customWidth="1"/>
    <col min="37" max="37" width="1.6640625" style="107" customWidth="1"/>
    <col min="38" max="16384" width="11.5546875" style="107"/>
  </cols>
  <sheetData>
    <row r="1" spans="1:37" ht="21.6" x14ac:dyDescent="0.3">
      <c r="A1" s="165" t="s">
        <v>0</v>
      </c>
      <c r="B1" s="41" t="s">
        <v>5603</v>
      </c>
      <c r="C1" s="41"/>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42" t="s">
        <v>0</v>
      </c>
      <c r="Z1" s="42" t="s">
        <v>0</v>
      </c>
      <c r="AA1" s="42" t="s">
        <v>0</v>
      </c>
      <c r="AB1" s="42" t="s">
        <v>0</v>
      </c>
      <c r="AC1" s="42" t="s">
        <v>0</v>
      </c>
      <c r="AD1" s="42" t="s">
        <v>0</v>
      </c>
      <c r="AE1" s="42" t="s">
        <v>0</v>
      </c>
      <c r="AF1" s="42" t="s">
        <v>0</v>
      </c>
      <c r="AG1" s="42" t="s">
        <v>0</v>
      </c>
      <c r="AH1" s="42" t="s">
        <v>0</v>
      </c>
      <c r="AI1" s="42" t="s">
        <v>0</v>
      </c>
      <c r="AJ1" s="42" t="s">
        <v>0</v>
      </c>
      <c r="AK1" s="69" t="s">
        <v>0</v>
      </c>
    </row>
    <row r="2" spans="1:37" ht="81.599999999999994" x14ac:dyDescent="0.3">
      <c r="A2" s="121" t="s">
        <v>5597</v>
      </c>
      <c r="B2" s="121" t="s">
        <v>5598</v>
      </c>
      <c r="C2" s="45" t="s">
        <v>5669</v>
      </c>
      <c r="D2" s="45" t="s">
        <v>5676</v>
      </c>
      <c r="E2" s="45" t="s">
        <v>1337</v>
      </c>
      <c r="F2" s="45" t="s">
        <v>1338</v>
      </c>
      <c r="G2" s="44" t="s">
        <v>1339</v>
      </c>
      <c r="H2" s="44" t="s">
        <v>1340</v>
      </c>
      <c r="I2" s="45" t="s">
        <v>1341</v>
      </c>
      <c r="J2" s="45" t="s">
        <v>5670</v>
      </c>
      <c r="K2" s="45" t="s">
        <v>5677</v>
      </c>
      <c r="L2" s="45" t="s">
        <v>1342</v>
      </c>
      <c r="M2" s="45" t="s">
        <v>1343</v>
      </c>
      <c r="N2" s="44" t="s">
        <v>1344</v>
      </c>
      <c r="O2" s="44" t="s">
        <v>1345</v>
      </c>
      <c r="P2" s="45" t="s">
        <v>1346</v>
      </c>
      <c r="Q2" s="45" t="s">
        <v>5671</v>
      </c>
      <c r="R2" s="45" t="s">
        <v>5678</v>
      </c>
      <c r="S2" s="45" t="s">
        <v>1347</v>
      </c>
      <c r="T2" s="45" t="s">
        <v>1348</v>
      </c>
      <c r="U2" s="44" t="s">
        <v>1349</v>
      </c>
      <c r="V2" s="44" t="s">
        <v>1350</v>
      </c>
      <c r="W2" s="45" t="s">
        <v>1351</v>
      </c>
      <c r="X2" s="45" t="s">
        <v>5672</v>
      </c>
      <c r="Y2" s="45" t="s">
        <v>5679</v>
      </c>
      <c r="Z2" s="45" t="s">
        <v>1352</v>
      </c>
      <c r="AA2" s="45" t="s">
        <v>1353</v>
      </c>
      <c r="AB2" s="44" t="s">
        <v>1354</v>
      </c>
      <c r="AC2" s="44" t="s">
        <v>1355</v>
      </c>
      <c r="AD2" s="45" t="s">
        <v>1356</v>
      </c>
      <c r="AE2" s="45" t="s">
        <v>5673</v>
      </c>
      <c r="AF2" s="45" t="s">
        <v>1357</v>
      </c>
      <c r="AG2" s="45" t="s">
        <v>5674</v>
      </c>
      <c r="AH2" s="45" t="s">
        <v>5680</v>
      </c>
      <c r="AI2" s="45" t="s">
        <v>5675</v>
      </c>
      <c r="AJ2" s="45" t="s">
        <v>5681</v>
      </c>
      <c r="AK2" s="69" t="s">
        <v>0</v>
      </c>
    </row>
    <row r="3" spans="1:37" x14ac:dyDescent="0.3">
      <c r="A3" s="163"/>
      <c r="B3" s="160"/>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71"/>
      <c r="AG3" s="47"/>
      <c r="AH3" s="47"/>
      <c r="AI3" s="47"/>
      <c r="AJ3" s="47"/>
      <c r="AK3" s="69"/>
    </row>
    <row r="4" spans="1:37" x14ac:dyDescent="0.3">
      <c r="A4" s="163"/>
      <c r="B4" s="51" t="s">
        <v>5626</v>
      </c>
      <c r="C4" s="49"/>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69"/>
    </row>
    <row r="5" spans="1:37" x14ac:dyDescent="0.3">
      <c r="A5" s="163"/>
      <c r="B5" s="51" t="s">
        <v>0</v>
      </c>
      <c r="C5" s="49"/>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69"/>
    </row>
    <row r="6" spans="1:37" x14ac:dyDescent="0.3">
      <c r="A6" s="163"/>
      <c r="B6" s="49" t="s">
        <v>5627</v>
      </c>
      <c r="C6" s="49"/>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69"/>
    </row>
    <row r="7" spans="1:37" x14ac:dyDescent="0.3">
      <c r="A7" s="163"/>
      <c r="B7" s="160"/>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69"/>
    </row>
    <row r="8" spans="1:37" x14ac:dyDescent="0.3">
      <c r="A8" s="162" t="s">
        <v>1358</v>
      </c>
      <c r="B8" s="153" t="s">
        <v>1359</v>
      </c>
      <c r="C8" s="116"/>
      <c r="D8" s="116"/>
      <c r="E8" s="55" t="str">
        <f t="shared" ref="E8:E16" si="0">IFERROR(TRUNC(IF(C8&lt;&gt;0,C8/$C$121,"")*100,2),"")</f>
        <v/>
      </c>
      <c r="F8" s="55" t="str">
        <f t="shared" ref="F8:F16" si="1">IFERROR(TRUNC(IF(D8&lt;&gt;0,D8/$D$121,"")*100,2),"")</f>
        <v/>
      </c>
      <c r="G8" s="56" t="str">
        <f t="shared" ref="G8:G16" si="2">IF(OR(C8&lt;&gt;0,D8&lt;&gt;0),C8-D8,"")</f>
        <v/>
      </c>
      <c r="H8" s="55" t="str">
        <f t="shared" ref="H8:H16" si="3">IFERROR(ABS(IF(G8&lt;&gt;0,IF(D8&lt;&gt;0,TRUNC(G8/D8*100,2),IF(C8&lt;&gt;0,TRUNC(G8/C8*100,2),"")),"")),"")</f>
        <v/>
      </c>
      <c r="I8" s="108" t="str">
        <f t="shared" ref="I8:I16" si="4">IF(AND(AE$121=0,AF$121=0),"",IF(OR(N(E8)&lt;&gt;0,N(F8)&lt;&gt;0),IF(OR(N(E8)&gt;4,N(F8)&gt;4),IF(N(H8)&gt;14,"SI","NO"),"NO"),"NO"))</f>
        <v/>
      </c>
      <c r="J8" s="116"/>
      <c r="K8" s="116"/>
      <c r="L8" s="55" t="str">
        <f t="shared" ref="L8:L16" si="5">IFERROR(TRUNC(IF(J8&lt;&gt;0,J8/$J$121,"")*100,2),"")</f>
        <v/>
      </c>
      <c r="M8" s="55" t="str">
        <f t="shared" ref="M8:M16" si="6">IFERROR(TRUNC(IF(K8&lt;&gt;0,K8/$K$121,"")*100,2),"")</f>
        <v/>
      </c>
      <c r="N8" s="56" t="str">
        <f t="shared" ref="N8:N16" si="7">IF(OR(J8&lt;&gt;0,K8&lt;&gt;0),J8-K8,"")</f>
        <v/>
      </c>
      <c r="O8" s="55" t="str">
        <f t="shared" ref="O8:O16" si="8">IFERROR(ABS(IF(N8&lt;&gt;0,IF(K8&lt;&gt;0,TRUNC(N8/K8*100,2),IF(J8&lt;&gt;0,TRUNC(N8/J8*100,2),"")),"")),"")</f>
        <v/>
      </c>
      <c r="P8" s="108" t="str">
        <f t="shared" ref="P8:P16" si="9">IF(AND(AE$121=0,AF$121=0),"",IF(OR(N(L8)&lt;&gt;0,N(M8)&lt;&gt;0),IF(OR(N(L8)&gt;4,N(M8)&gt;4),IF(N(O8)&gt;14,"SI","NO"),"NO"),"NO"))</f>
        <v/>
      </c>
      <c r="Q8" s="116"/>
      <c r="R8" s="116"/>
      <c r="S8" s="55" t="str">
        <f t="shared" ref="S8:S16" si="10">IFERROR(TRUNC(IF(Q8&lt;&gt;0,Q8/$Q$121,"")*100,2),"")</f>
        <v/>
      </c>
      <c r="T8" s="55" t="str">
        <f t="shared" ref="T8:T16" si="11">IFERROR(TRUNC(IF(R8&lt;&gt;0,R8/$R$121,"")*100,2),"")</f>
        <v/>
      </c>
      <c r="U8" s="56" t="str">
        <f t="shared" ref="U8:U16" si="12">IF(OR(Q8&lt;&gt;0,R8&lt;&gt;0),Q8-R8,"")</f>
        <v/>
      </c>
      <c r="V8" s="55" t="str">
        <f t="shared" ref="V8:V16" si="13">IFERROR(ABS(IF(U8&lt;&gt;0,IF(R8&lt;&gt;0,TRUNC(U8/R8*100,2),IF(Q8&lt;&gt;0,TRUNC(U8/Q8*100,2),"")),"")),"")</f>
        <v/>
      </c>
      <c r="W8" s="108" t="str">
        <f t="shared" ref="W8:W16" si="14">IF(AND(AE$121=0,AF$121=0),"",IF(OR(N(S8)&lt;&gt;0,N(T8)&lt;&gt;0),IF(OR(N(S8)&gt;4,N(T8)&gt;4),IF(N(V8)&gt;14,"SI","NO"),"NO"),"NO"))</f>
        <v/>
      </c>
      <c r="X8" s="116"/>
      <c r="Y8" s="116"/>
      <c r="Z8" s="55" t="str">
        <f t="shared" ref="Z8:Z16" si="15">IFERROR(TRUNC(IF(X8&lt;&gt;0,X8/$X$121,"")*100,2),"")</f>
        <v/>
      </c>
      <c r="AA8" s="55" t="str">
        <f t="shared" ref="AA8:AA16" si="16">IFERROR(TRUNC(IF(Y8&lt;&gt;0,Y8/$Y$121,"")*100,2),"")</f>
        <v/>
      </c>
      <c r="AB8" s="56" t="str">
        <f t="shared" ref="AB8:AB16" si="17">IF(OR(X8&lt;&gt;0,Y8&lt;&gt;0),X8-Y8,"")</f>
        <v/>
      </c>
      <c r="AC8" s="55" t="str">
        <f t="shared" ref="AC8:AC16" si="18">IFERROR(ABS(IF(AB8&lt;&gt;0,IF(Y8&lt;&gt;0,TRUNC(AB8/Y8*100,2),IF(X8&lt;&gt;0,TRUNC(AB8/X8*100,2),"")),"")),"")</f>
        <v/>
      </c>
      <c r="AD8" s="108" t="str">
        <f t="shared" ref="AD8:AD16" si="19">IF(AND(AE$121=0,AF$121=0),"",IF(OR(N(Z8)&lt;&gt;0,N(AA8)&lt;&gt;0),IF(OR(N(Z8)&gt;4,N(AA8)&gt;4),IF(N(AC8)&gt;14,"SI","NO"),"NO"),"NO"))</f>
        <v/>
      </c>
      <c r="AE8" s="116">
        <f t="shared" ref="AE8:AE16" si="20">ROUND(C8+J8+Q8+X8,0)</f>
        <v>0</v>
      </c>
      <c r="AF8" s="117">
        <f t="shared" ref="AF8:AF16" si="21">ROUND(D8+K8+R8+Y8,0)</f>
        <v>0</v>
      </c>
      <c r="AG8" s="117">
        <f t="shared" ref="AG8:AH14" si="22">AE8-AI8</f>
        <v>0</v>
      </c>
      <c r="AH8" s="116">
        <f t="shared" si="22"/>
        <v>0</v>
      </c>
      <c r="AI8" s="116"/>
      <c r="AJ8" s="116"/>
      <c r="AK8" s="69"/>
    </row>
    <row r="9" spans="1:37" x14ac:dyDescent="0.3">
      <c r="A9" s="162" t="s">
        <v>1360</v>
      </c>
      <c r="B9" s="153" t="s">
        <v>1361</v>
      </c>
      <c r="C9" s="116"/>
      <c r="D9" s="116"/>
      <c r="E9" s="55" t="str">
        <f t="shared" si="0"/>
        <v/>
      </c>
      <c r="F9" s="55" t="str">
        <f t="shared" si="1"/>
        <v/>
      </c>
      <c r="G9" s="56" t="str">
        <f t="shared" si="2"/>
        <v/>
      </c>
      <c r="H9" s="55" t="str">
        <f t="shared" si="3"/>
        <v/>
      </c>
      <c r="I9" s="108" t="str">
        <f t="shared" si="4"/>
        <v/>
      </c>
      <c r="J9" s="116"/>
      <c r="K9" s="116"/>
      <c r="L9" s="55" t="str">
        <f t="shared" si="5"/>
        <v/>
      </c>
      <c r="M9" s="55" t="str">
        <f t="shared" si="6"/>
        <v/>
      </c>
      <c r="N9" s="56" t="str">
        <f t="shared" si="7"/>
        <v/>
      </c>
      <c r="O9" s="55" t="str">
        <f t="shared" si="8"/>
        <v/>
      </c>
      <c r="P9" s="108" t="str">
        <f t="shared" si="9"/>
        <v/>
      </c>
      <c r="Q9" s="116"/>
      <c r="R9" s="116"/>
      <c r="S9" s="55" t="str">
        <f t="shared" si="10"/>
        <v/>
      </c>
      <c r="T9" s="55" t="str">
        <f t="shared" si="11"/>
        <v/>
      </c>
      <c r="U9" s="56" t="str">
        <f t="shared" si="12"/>
        <v/>
      </c>
      <c r="V9" s="55" t="str">
        <f t="shared" si="13"/>
        <v/>
      </c>
      <c r="W9" s="108" t="str">
        <f t="shared" si="14"/>
        <v/>
      </c>
      <c r="X9" s="116"/>
      <c r="Y9" s="116"/>
      <c r="Z9" s="55" t="str">
        <f t="shared" si="15"/>
        <v/>
      </c>
      <c r="AA9" s="55" t="str">
        <f t="shared" si="16"/>
        <v/>
      </c>
      <c r="AB9" s="56" t="str">
        <f t="shared" si="17"/>
        <v/>
      </c>
      <c r="AC9" s="55" t="str">
        <f t="shared" si="18"/>
        <v/>
      </c>
      <c r="AD9" s="108" t="str">
        <f t="shared" si="19"/>
        <v/>
      </c>
      <c r="AE9" s="116">
        <f t="shared" si="20"/>
        <v>0</v>
      </c>
      <c r="AF9" s="117">
        <f t="shared" si="21"/>
        <v>0</v>
      </c>
      <c r="AG9" s="117">
        <f t="shared" si="22"/>
        <v>0</v>
      </c>
      <c r="AH9" s="116">
        <f t="shared" si="22"/>
        <v>0</v>
      </c>
      <c r="AI9" s="116"/>
      <c r="AJ9" s="116"/>
      <c r="AK9" s="69"/>
    </row>
    <row r="10" spans="1:37" x14ac:dyDescent="0.3">
      <c r="A10" s="162" t="s">
        <v>1362</v>
      </c>
      <c r="B10" s="153" t="s">
        <v>1363</v>
      </c>
      <c r="C10" s="116"/>
      <c r="D10" s="116"/>
      <c r="E10" s="55" t="str">
        <f t="shared" si="0"/>
        <v/>
      </c>
      <c r="F10" s="55" t="str">
        <f t="shared" si="1"/>
        <v/>
      </c>
      <c r="G10" s="56" t="str">
        <f t="shared" si="2"/>
        <v/>
      </c>
      <c r="H10" s="55" t="str">
        <f t="shared" si="3"/>
        <v/>
      </c>
      <c r="I10" s="108" t="str">
        <f t="shared" si="4"/>
        <v/>
      </c>
      <c r="J10" s="116"/>
      <c r="K10" s="116"/>
      <c r="L10" s="55" t="str">
        <f t="shared" si="5"/>
        <v/>
      </c>
      <c r="M10" s="55" t="str">
        <f t="shared" si="6"/>
        <v/>
      </c>
      <c r="N10" s="56" t="str">
        <f t="shared" si="7"/>
        <v/>
      </c>
      <c r="O10" s="55" t="str">
        <f t="shared" si="8"/>
        <v/>
      </c>
      <c r="P10" s="108" t="str">
        <f t="shared" si="9"/>
        <v/>
      </c>
      <c r="Q10" s="116"/>
      <c r="R10" s="116"/>
      <c r="S10" s="55" t="str">
        <f t="shared" si="10"/>
        <v/>
      </c>
      <c r="T10" s="55" t="str">
        <f t="shared" si="11"/>
        <v/>
      </c>
      <c r="U10" s="56" t="str">
        <f t="shared" si="12"/>
        <v/>
      </c>
      <c r="V10" s="55" t="str">
        <f t="shared" si="13"/>
        <v/>
      </c>
      <c r="W10" s="108" t="str">
        <f t="shared" si="14"/>
        <v/>
      </c>
      <c r="X10" s="116"/>
      <c r="Y10" s="116"/>
      <c r="Z10" s="55" t="str">
        <f t="shared" si="15"/>
        <v/>
      </c>
      <c r="AA10" s="55" t="str">
        <f t="shared" si="16"/>
        <v/>
      </c>
      <c r="AB10" s="56" t="str">
        <f t="shared" si="17"/>
        <v/>
      </c>
      <c r="AC10" s="55" t="str">
        <f t="shared" si="18"/>
        <v/>
      </c>
      <c r="AD10" s="108" t="str">
        <f t="shared" si="19"/>
        <v/>
      </c>
      <c r="AE10" s="116">
        <f t="shared" si="20"/>
        <v>0</v>
      </c>
      <c r="AF10" s="117">
        <f t="shared" si="21"/>
        <v>0</v>
      </c>
      <c r="AG10" s="117">
        <f t="shared" si="22"/>
        <v>0</v>
      </c>
      <c r="AH10" s="116">
        <f t="shared" si="22"/>
        <v>0</v>
      </c>
      <c r="AI10" s="116"/>
      <c r="AJ10" s="116"/>
      <c r="AK10" s="69"/>
    </row>
    <row r="11" spans="1:37" x14ac:dyDescent="0.3">
      <c r="A11" s="162" t="s">
        <v>1364</v>
      </c>
      <c r="B11" s="153" t="s">
        <v>1365</v>
      </c>
      <c r="C11" s="116"/>
      <c r="D11" s="116"/>
      <c r="E11" s="55" t="str">
        <f t="shared" si="0"/>
        <v/>
      </c>
      <c r="F11" s="55" t="str">
        <f t="shared" si="1"/>
        <v/>
      </c>
      <c r="G11" s="56" t="str">
        <f t="shared" si="2"/>
        <v/>
      </c>
      <c r="H11" s="55" t="str">
        <f t="shared" si="3"/>
        <v/>
      </c>
      <c r="I11" s="108" t="str">
        <f t="shared" si="4"/>
        <v/>
      </c>
      <c r="J11" s="116"/>
      <c r="K11" s="116"/>
      <c r="L11" s="55" t="str">
        <f t="shared" si="5"/>
        <v/>
      </c>
      <c r="M11" s="55" t="str">
        <f t="shared" si="6"/>
        <v/>
      </c>
      <c r="N11" s="56" t="str">
        <f t="shared" si="7"/>
        <v/>
      </c>
      <c r="O11" s="55" t="str">
        <f t="shared" si="8"/>
        <v/>
      </c>
      <c r="P11" s="108" t="str">
        <f t="shared" si="9"/>
        <v/>
      </c>
      <c r="Q11" s="116"/>
      <c r="R11" s="116"/>
      <c r="S11" s="55" t="str">
        <f t="shared" si="10"/>
        <v/>
      </c>
      <c r="T11" s="55" t="str">
        <f t="shared" si="11"/>
        <v/>
      </c>
      <c r="U11" s="56" t="str">
        <f t="shared" si="12"/>
        <v/>
      </c>
      <c r="V11" s="55" t="str">
        <f t="shared" si="13"/>
        <v/>
      </c>
      <c r="W11" s="108" t="str">
        <f t="shared" si="14"/>
        <v/>
      </c>
      <c r="X11" s="116"/>
      <c r="Y11" s="116"/>
      <c r="Z11" s="55" t="str">
        <f t="shared" si="15"/>
        <v/>
      </c>
      <c r="AA11" s="55" t="str">
        <f t="shared" si="16"/>
        <v/>
      </c>
      <c r="AB11" s="56" t="str">
        <f t="shared" si="17"/>
        <v/>
      </c>
      <c r="AC11" s="55" t="str">
        <f t="shared" si="18"/>
        <v/>
      </c>
      <c r="AD11" s="108" t="str">
        <f t="shared" si="19"/>
        <v/>
      </c>
      <c r="AE11" s="116">
        <f t="shared" si="20"/>
        <v>0</v>
      </c>
      <c r="AF11" s="117">
        <f t="shared" si="21"/>
        <v>0</v>
      </c>
      <c r="AG11" s="117">
        <f t="shared" si="22"/>
        <v>0</v>
      </c>
      <c r="AH11" s="116">
        <f t="shared" si="22"/>
        <v>0</v>
      </c>
      <c r="AI11" s="116"/>
      <c r="AJ11" s="116"/>
      <c r="AK11" s="69"/>
    </row>
    <row r="12" spans="1:37" x14ac:dyDescent="0.3">
      <c r="A12" s="162" t="s">
        <v>1366</v>
      </c>
      <c r="B12" s="153" t="s">
        <v>1367</v>
      </c>
      <c r="C12" s="116"/>
      <c r="D12" s="116"/>
      <c r="E12" s="55" t="str">
        <f t="shared" si="0"/>
        <v/>
      </c>
      <c r="F12" s="55" t="str">
        <f t="shared" si="1"/>
        <v/>
      </c>
      <c r="G12" s="56" t="str">
        <f t="shared" si="2"/>
        <v/>
      </c>
      <c r="H12" s="55" t="str">
        <f t="shared" si="3"/>
        <v/>
      </c>
      <c r="I12" s="108" t="str">
        <f t="shared" si="4"/>
        <v/>
      </c>
      <c r="J12" s="116"/>
      <c r="K12" s="116"/>
      <c r="L12" s="55" t="str">
        <f t="shared" si="5"/>
        <v/>
      </c>
      <c r="M12" s="55" t="str">
        <f t="shared" si="6"/>
        <v/>
      </c>
      <c r="N12" s="56" t="str">
        <f t="shared" si="7"/>
        <v/>
      </c>
      <c r="O12" s="55" t="str">
        <f t="shared" si="8"/>
        <v/>
      </c>
      <c r="P12" s="108" t="str">
        <f t="shared" si="9"/>
        <v/>
      </c>
      <c r="Q12" s="116"/>
      <c r="R12" s="116"/>
      <c r="S12" s="55" t="str">
        <f t="shared" si="10"/>
        <v/>
      </c>
      <c r="T12" s="55" t="str">
        <f t="shared" si="11"/>
        <v/>
      </c>
      <c r="U12" s="56" t="str">
        <f t="shared" si="12"/>
        <v/>
      </c>
      <c r="V12" s="55" t="str">
        <f t="shared" si="13"/>
        <v/>
      </c>
      <c r="W12" s="108" t="str">
        <f t="shared" si="14"/>
        <v/>
      </c>
      <c r="X12" s="116"/>
      <c r="Y12" s="116"/>
      <c r="Z12" s="55" t="str">
        <f t="shared" si="15"/>
        <v/>
      </c>
      <c r="AA12" s="55" t="str">
        <f t="shared" si="16"/>
        <v/>
      </c>
      <c r="AB12" s="56" t="str">
        <f t="shared" si="17"/>
        <v/>
      </c>
      <c r="AC12" s="55" t="str">
        <f t="shared" si="18"/>
        <v/>
      </c>
      <c r="AD12" s="108" t="str">
        <f t="shared" si="19"/>
        <v/>
      </c>
      <c r="AE12" s="116">
        <f t="shared" si="20"/>
        <v>0</v>
      </c>
      <c r="AF12" s="117">
        <f t="shared" si="21"/>
        <v>0</v>
      </c>
      <c r="AG12" s="117">
        <f t="shared" si="22"/>
        <v>0</v>
      </c>
      <c r="AH12" s="116">
        <f t="shared" si="22"/>
        <v>0</v>
      </c>
      <c r="AI12" s="116"/>
      <c r="AJ12" s="116"/>
      <c r="AK12" s="69"/>
    </row>
    <row r="13" spans="1:37" x14ac:dyDescent="0.3">
      <c r="A13" s="162" t="s">
        <v>1368</v>
      </c>
      <c r="B13" s="153" t="s">
        <v>1369</v>
      </c>
      <c r="C13" s="116"/>
      <c r="D13" s="116"/>
      <c r="E13" s="55" t="str">
        <f t="shared" si="0"/>
        <v/>
      </c>
      <c r="F13" s="55" t="str">
        <f t="shared" si="1"/>
        <v/>
      </c>
      <c r="G13" s="56" t="str">
        <f t="shared" si="2"/>
        <v/>
      </c>
      <c r="H13" s="55" t="str">
        <f t="shared" si="3"/>
        <v/>
      </c>
      <c r="I13" s="108" t="str">
        <f t="shared" si="4"/>
        <v/>
      </c>
      <c r="J13" s="116"/>
      <c r="K13" s="116"/>
      <c r="L13" s="55" t="str">
        <f t="shared" si="5"/>
        <v/>
      </c>
      <c r="M13" s="55" t="str">
        <f t="shared" si="6"/>
        <v/>
      </c>
      <c r="N13" s="56" t="str">
        <f t="shared" si="7"/>
        <v/>
      </c>
      <c r="O13" s="55" t="str">
        <f t="shared" si="8"/>
        <v/>
      </c>
      <c r="P13" s="108" t="str">
        <f t="shared" si="9"/>
        <v/>
      </c>
      <c r="Q13" s="116"/>
      <c r="R13" s="116"/>
      <c r="S13" s="55" t="str">
        <f t="shared" si="10"/>
        <v/>
      </c>
      <c r="T13" s="55" t="str">
        <f t="shared" si="11"/>
        <v/>
      </c>
      <c r="U13" s="56" t="str">
        <f t="shared" si="12"/>
        <v/>
      </c>
      <c r="V13" s="55" t="str">
        <f t="shared" si="13"/>
        <v/>
      </c>
      <c r="W13" s="108" t="str">
        <f t="shared" si="14"/>
        <v/>
      </c>
      <c r="X13" s="116"/>
      <c r="Y13" s="116"/>
      <c r="Z13" s="55" t="str">
        <f t="shared" si="15"/>
        <v/>
      </c>
      <c r="AA13" s="55" t="str">
        <f t="shared" si="16"/>
        <v/>
      </c>
      <c r="AB13" s="56" t="str">
        <f t="shared" si="17"/>
        <v/>
      </c>
      <c r="AC13" s="55" t="str">
        <f t="shared" si="18"/>
        <v/>
      </c>
      <c r="AD13" s="108" t="str">
        <f t="shared" si="19"/>
        <v/>
      </c>
      <c r="AE13" s="116">
        <f t="shared" si="20"/>
        <v>0</v>
      </c>
      <c r="AF13" s="117">
        <f t="shared" si="21"/>
        <v>0</v>
      </c>
      <c r="AG13" s="117">
        <f t="shared" si="22"/>
        <v>0</v>
      </c>
      <c r="AH13" s="116">
        <f t="shared" si="22"/>
        <v>0</v>
      </c>
      <c r="AI13" s="116"/>
      <c r="AJ13" s="116"/>
      <c r="AK13" s="69"/>
    </row>
    <row r="14" spans="1:37" x14ac:dyDescent="0.3">
      <c r="A14" s="162" t="s">
        <v>1370</v>
      </c>
      <c r="B14" s="153" t="s">
        <v>1371</v>
      </c>
      <c r="C14" s="116"/>
      <c r="D14" s="116"/>
      <c r="E14" s="55" t="str">
        <f t="shared" si="0"/>
        <v/>
      </c>
      <c r="F14" s="55" t="str">
        <f t="shared" si="1"/>
        <v/>
      </c>
      <c r="G14" s="56" t="str">
        <f t="shared" si="2"/>
        <v/>
      </c>
      <c r="H14" s="55" t="str">
        <f t="shared" si="3"/>
        <v/>
      </c>
      <c r="I14" s="108" t="str">
        <f t="shared" si="4"/>
        <v/>
      </c>
      <c r="J14" s="116"/>
      <c r="K14" s="116"/>
      <c r="L14" s="55" t="str">
        <f t="shared" si="5"/>
        <v/>
      </c>
      <c r="M14" s="55" t="str">
        <f t="shared" si="6"/>
        <v/>
      </c>
      <c r="N14" s="56" t="str">
        <f t="shared" si="7"/>
        <v/>
      </c>
      <c r="O14" s="55" t="str">
        <f t="shared" si="8"/>
        <v/>
      </c>
      <c r="P14" s="108" t="str">
        <f t="shared" si="9"/>
        <v/>
      </c>
      <c r="Q14" s="116"/>
      <c r="R14" s="116"/>
      <c r="S14" s="55" t="str">
        <f t="shared" si="10"/>
        <v/>
      </c>
      <c r="T14" s="55" t="str">
        <f t="shared" si="11"/>
        <v/>
      </c>
      <c r="U14" s="56" t="str">
        <f t="shared" si="12"/>
        <v/>
      </c>
      <c r="V14" s="55" t="str">
        <f t="shared" si="13"/>
        <v/>
      </c>
      <c r="W14" s="108" t="str">
        <f t="shared" si="14"/>
        <v/>
      </c>
      <c r="X14" s="116"/>
      <c r="Y14" s="116"/>
      <c r="Z14" s="55" t="str">
        <f t="shared" si="15"/>
        <v/>
      </c>
      <c r="AA14" s="55" t="str">
        <f t="shared" si="16"/>
        <v/>
      </c>
      <c r="AB14" s="56" t="str">
        <f t="shared" si="17"/>
        <v/>
      </c>
      <c r="AC14" s="55" t="str">
        <f t="shared" si="18"/>
        <v/>
      </c>
      <c r="AD14" s="108" t="str">
        <f t="shared" si="19"/>
        <v/>
      </c>
      <c r="AE14" s="116">
        <f t="shared" si="20"/>
        <v>0</v>
      </c>
      <c r="AF14" s="117">
        <f t="shared" si="21"/>
        <v>0</v>
      </c>
      <c r="AG14" s="117">
        <f t="shared" si="22"/>
        <v>0</v>
      </c>
      <c r="AH14" s="116">
        <f t="shared" si="22"/>
        <v>0</v>
      </c>
      <c r="AI14" s="116"/>
      <c r="AJ14" s="116"/>
      <c r="AK14" s="69"/>
    </row>
    <row r="15" spans="1:37" ht="20.399999999999999" x14ac:dyDescent="0.3">
      <c r="A15" s="162" t="s">
        <v>1372</v>
      </c>
      <c r="B15" s="153" t="s">
        <v>1373</v>
      </c>
      <c r="C15" s="116"/>
      <c r="D15" s="116"/>
      <c r="E15" s="55" t="str">
        <f t="shared" si="0"/>
        <v/>
      </c>
      <c r="F15" s="55" t="str">
        <f t="shared" si="1"/>
        <v/>
      </c>
      <c r="G15" s="56" t="str">
        <f t="shared" si="2"/>
        <v/>
      </c>
      <c r="H15" s="55" t="str">
        <f t="shared" si="3"/>
        <v/>
      </c>
      <c r="I15" s="108" t="str">
        <f t="shared" si="4"/>
        <v/>
      </c>
      <c r="J15" s="116"/>
      <c r="K15" s="116"/>
      <c r="L15" s="55" t="str">
        <f t="shared" si="5"/>
        <v/>
      </c>
      <c r="M15" s="55" t="str">
        <f t="shared" si="6"/>
        <v/>
      </c>
      <c r="N15" s="56" t="str">
        <f t="shared" si="7"/>
        <v/>
      </c>
      <c r="O15" s="55" t="str">
        <f t="shared" si="8"/>
        <v/>
      </c>
      <c r="P15" s="108" t="str">
        <f t="shared" si="9"/>
        <v/>
      </c>
      <c r="Q15" s="116"/>
      <c r="R15" s="116"/>
      <c r="S15" s="55" t="str">
        <f t="shared" si="10"/>
        <v/>
      </c>
      <c r="T15" s="55" t="str">
        <f t="shared" si="11"/>
        <v/>
      </c>
      <c r="U15" s="56" t="str">
        <f t="shared" si="12"/>
        <v/>
      </c>
      <c r="V15" s="55" t="str">
        <f t="shared" si="13"/>
        <v/>
      </c>
      <c r="W15" s="108" t="str">
        <f t="shared" si="14"/>
        <v/>
      </c>
      <c r="X15" s="116"/>
      <c r="Y15" s="116"/>
      <c r="Z15" s="55" t="str">
        <f t="shared" si="15"/>
        <v/>
      </c>
      <c r="AA15" s="55" t="str">
        <f t="shared" si="16"/>
        <v/>
      </c>
      <c r="AB15" s="56" t="str">
        <f t="shared" si="17"/>
        <v/>
      </c>
      <c r="AC15" s="55" t="str">
        <f t="shared" si="18"/>
        <v/>
      </c>
      <c r="AD15" s="108" t="str">
        <f t="shared" si="19"/>
        <v/>
      </c>
      <c r="AE15" s="116">
        <f t="shared" si="20"/>
        <v>0</v>
      </c>
      <c r="AF15" s="116">
        <f t="shared" si="21"/>
        <v>0</v>
      </c>
      <c r="AG15" s="116"/>
      <c r="AH15" s="116"/>
      <c r="AI15" s="116">
        <f>AE15-AG15</f>
        <v>0</v>
      </c>
      <c r="AJ15" s="116">
        <f>AF15-AH15</f>
        <v>0</v>
      </c>
      <c r="AK15" s="69"/>
    </row>
    <row r="16" spans="1:37" ht="20.399999999999999" x14ac:dyDescent="0.3">
      <c r="A16" s="162" t="s">
        <v>1374</v>
      </c>
      <c r="B16" s="153" t="s">
        <v>739</v>
      </c>
      <c r="C16" s="116"/>
      <c r="D16" s="116"/>
      <c r="E16" s="55" t="str">
        <f t="shared" si="0"/>
        <v/>
      </c>
      <c r="F16" s="55" t="str">
        <f t="shared" si="1"/>
        <v/>
      </c>
      <c r="G16" s="56" t="str">
        <f t="shared" si="2"/>
        <v/>
      </c>
      <c r="H16" s="55" t="str">
        <f t="shared" si="3"/>
        <v/>
      </c>
      <c r="I16" s="108" t="str">
        <f t="shared" si="4"/>
        <v/>
      </c>
      <c r="J16" s="116"/>
      <c r="K16" s="116"/>
      <c r="L16" s="55" t="str">
        <f t="shared" si="5"/>
        <v/>
      </c>
      <c r="M16" s="55" t="str">
        <f t="shared" si="6"/>
        <v/>
      </c>
      <c r="N16" s="56" t="str">
        <f t="shared" si="7"/>
        <v/>
      </c>
      <c r="O16" s="55" t="str">
        <f t="shared" si="8"/>
        <v/>
      </c>
      <c r="P16" s="108" t="str">
        <f t="shared" si="9"/>
        <v/>
      </c>
      <c r="Q16" s="116"/>
      <c r="R16" s="116"/>
      <c r="S16" s="55" t="str">
        <f t="shared" si="10"/>
        <v/>
      </c>
      <c r="T16" s="55" t="str">
        <f t="shared" si="11"/>
        <v/>
      </c>
      <c r="U16" s="56" t="str">
        <f t="shared" si="12"/>
        <v/>
      </c>
      <c r="V16" s="55" t="str">
        <f t="shared" si="13"/>
        <v/>
      </c>
      <c r="W16" s="108" t="str">
        <f t="shared" si="14"/>
        <v/>
      </c>
      <c r="X16" s="116"/>
      <c r="Y16" s="116"/>
      <c r="Z16" s="55" t="str">
        <f t="shared" si="15"/>
        <v/>
      </c>
      <c r="AA16" s="55" t="str">
        <f t="shared" si="16"/>
        <v/>
      </c>
      <c r="AB16" s="56" t="str">
        <f t="shared" si="17"/>
        <v/>
      </c>
      <c r="AC16" s="55" t="str">
        <f t="shared" si="18"/>
        <v/>
      </c>
      <c r="AD16" s="108" t="str">
        <f t="shared" si="19"/>
        <v/>
      </c>
      <c r="AE16" s="116">
        <f t="shared" si="20"/>
        <v>0</v>
      </c>
      <c r="AF16" s="116">
        <f t="shared" si="21"/>
        <v>0</v>
      </c>
      <c r="AG16" s="116"/>
      <c r="AH16" s="116"/>
      <c r="AI16" s="116">
        <f>AE16-AG16</f>
        <v>0</v>
      </c>
      <c r="AJ16" s="116">
        <f>AF16-AH16</f>
        <v>0</v>
      </c>
      <c r="AK16" s="69"/>
    </row>
    <row r="17" spans="1:37" x14ac:dyDescent="0.3">
      <c r="A17" s="162" t="s">
        <v>1375</v>
      </c>
      <c r="B17" s="153" t="s">
        <v>1376</v>
      </c>
      <c r="C17" s="52"/>
      <c r="D17" s="52"/>
      <c r="E17" s="57"/>
      <c r="F17" s="57"/>
      <c r="G17" s="52"/>
      <c r="H17" s="57"/>
      <c r="I17" s="58"/>
      <c r="J17" s="52"/>
      <c r="K17" s="52"/>
      <c r="L17" s="57"/>
      <c r="M17" s="57"/>
      <c r="N17" s="52"/>
      <c r="O17" s="57"/>
      <c r="P17" s="58"/>
      <c r="Q17" s="52"/>
      <c r="R17" s="52"/>
      <c r="S17" s="57"/>
      <c r="T17" s="57"/>
      <c r="U17" s="52"/>
      <c r="V17" s="57"/>
      <c r="W17" s="58"/>
      <c r="X17" s="52"/>
      <c r="Y17" s="52"/>
      <c r="Z17" s="57"/>
      <c r="AA17" s="57"/>
      <c r="AB17" s="52"/>
      <c r="AC17" s="57"/>
      <c r="AD17" s="58"/>
      <c r="AE17" s="52"/>
      <c r="AF17" s="52"/>
      <c r="AG17" s="52"/>
      <c r="AH17" s="52"/>
      <c r="AI17" s="52"/>
      <c r="AJ17" s="52"/>
      <c r="AK17" s="69"/>
    </row>
    <row r="18" spans="1:37" x14ac:dyDescent="0.3">
      <c r="A18" s="162"/>
      <c r="B18" s="153"/>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69"/>
    </row>
    <row r="19" spans="1:37" x14ac:dyDescent="0.3">
      <c r="A19" s="162" t="s">
        <v>1377</v>
      </c>
      <c r="B19" s="153" t="s">
        <v>1378</v>
      </c>
      <c r="C19" s="54">
        <f>ROUND(SUM(C8:C16)+C17,0)</f>
        <v>0</v>
      </c>
      <c r="D19" s="54">
        <f>ROUND(SUM(D8:D16)+D17,0)</f>
        <v>0</v>
      </c>
      <c r="E19" s="29"/>
      <c r="F19" s="29"/>
      <c r="G19" s="29"/>
      <c r="H19" s="29"/>
      <c r="I19" s="29"/>
      <c r="J19" s="54">
        <f>ROUND(SUM(J8:J16)+J17,0)</f>
        <v>0</v>
      </c>
      <c r="K19" s="54">
        <f>ROUND(SUM(K8:K16)+K17,0)</f>
        <v>0</v>
      </c>
      <c r="L19" s="29"/>
      <c r="M19" s="29"/>
      <c r="N19" s="29"/>
      <c r="O19" s="29"/>
      <c r="P19" s="29"/>
      <c r="Q19" s="54">
        <f>ROUND(SUM(Q8:Q16)+Q17,0)</f>
        <v>0</v>
      </c>
      <c r="R19" s="54">
        <f>ROUND(SUM(R8:R16)+R17,0)</f>
        <v>0</v>
      </c>
      <c r="S19" s="29"/>
      <c r="T19" s="29"/>
      <c r="U19" s="29"/>
      <c r="V19" s="29"/>
      <c r="W19" s="29"/>
      <c r="X19" s="54">
        <f>ROUND(SUM(X8:X16)+X17,0)</f>
        <v>0</v>
      </c>
      <c r="Y19" s="54">
        <f>ROUND(SUM(Y8:Y16)+Y17,0)</f>
        <v>0</v>
      </c>
      <c r="Z19" s="29"/>
      <c r="AA19" s="29"/>
      <c r="AB19" s="29"/>
      <c r="AC19" s="29"/>
      <c r="AD19" s="29"/>
      <c r="AE19" s="54">
        <f t="shared" ref="AE19:AJ19" si="23">ROUND(SUM(AE8:AE16)+AE17,0)</f>
        <v>0</v>
      </c>
      <c r="AF19" s="54">
        <f t="shared" si="23"/>
        <v>0</v>
      </c>
      <c r="AG19" s="54">
        <f t="shared" si="23"/>
        <v>0</v>
      </c>
      <c r="AH19" s="54">
        <f t="shared" si="23"/>
        <v>0</v>
      </c>
      <c r="AI19" s="54">
        <f t="shared" si="23"/>
        <v>0</v>
      </c>
      <c r="AJ19" s="54">
        <f t="shared" si="23"/>
        <v>0</v>
      </c>
      <c r="AK19" s="69"/>
    </row>
    <row r="20" spans="1:37" x14ac:dyDescent="0.3">
      <c r="A20" s="162"/>
      <c r="B20" s="153" t="s">
        <v>1379</v>
      </c>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69"/>
    </row>
    <row r="21" spans="1:37" x14ac:dyDescent="0.3">
      <c r="A21" s="162"/>
      <c r="B21" s="153" t="s">
        <v>1380</v>
      </c>
      <c r="C21" s="51"/>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69"/>
    </row>
    <row r="22" spans="1:37" x14ac:dyDescent="0.3">
      <c r="A22" s="162"/>
      <c r="B22" s="153" t="s">
        <v>1379</v>
      </c>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69"/>
    </row>
    <row r="23" spans="1:37" x14ac:dyDescent="0.3">
      <c r="A23" s="162" t="s">
        <v>1381</v>
      </c>
      <c r="B23" s="153" t="s">
        <v>1382</v>
      </c>
      <c r="C23" s="116"/>
      <c r="D23" s="116"/>
      <c r="E23" s="55" t="str">
        <f>IFERROR(TRUNC(IF(C23&lt;&gt;0,C23/$C$121,"")*100,2),"")</f>
        <v/>
      </c>
      <c r="F23" s="55" t="str">
        <f>IFERROR(TRUNC(IF(D23&lt;&gt;0,D23/$D$121,"")*100,2),"")</f>
        <v/>
      </c>
      <c r="G23" s="56" t="str">
        <f>IF(OR(C23&lt;&gt;0,D23&lt;&gt;0),C23-D23,"")</f>
        <v/>
      </c>
      <c r="H23" s="55" t="str">
        <f>IFERROR(ABS(IF(G23&lt;&gt;0,IF(D23&lt;&gt;0,TRUNC(G23/D23*100,2),IF(C23&lt;&gt;0,TRUNC(G23/C23*100,2),"")),"")),"")</f>
        <v/>
      </c>
      <c r="I23" s="108" t="str">
        <f>IF(AND(AE$121=0,AF$121=0),"",IF(OR(N(E23)&lt;&gt;0,N(F23)&lt;&gt;0),IF(OR(N(E23)&gt;4,N(F23)&gt;4),IF(N(H23)&gt;14,"SI","NO"),"NO"),"NO"))</f>
        <v/>
      </c>
      <c r="J23" s="116"/>
      <c r="K23" s="116"/>
      <c r="L23" s="55" t="str">
        <f>IFERROR(TRUNC(IF(J23&lt;&gt;0,J23/$J$121,"")*100,2),"")</f>
        <v/>
      </c>
      <c r="M23" s="55" t="str">
        <f>IFERROR(TRUNC(IF(K23&lt;&gt;0,K23/$K$121,"")*100,2),"")</f>
        <v/>
      </c>
      <c r="N23" s="56" t="str">
        <f>IF(OR(J23&lt;&gt;0,K23&lt;&gt;0),J23-K23,"")</f>
        <v/>
      </c>
      <c r="O23" s="55" t="str">
        <f>IFERROR(ABS(IF(N23&lt;&gt;0,IF(K23&lt;&gt;0,TRUNC(N23/K23*100,2),IF(J23&lt;&gt;0,TRUNC(N23/J23*100,2),"")),"")),"")</f>
        <v/>
      </c>
      <c r="P23" s="108" t="str">
        <f>IF(AND(AE$121=0,AF$121=0),"",IF(OR(N(L23)&lt;&gt;0,N(M23)&lt;&gt;0),IF(OR(N(L23)&gt;4,N(M23)&gt;4),IF(N(O23)&gt;14,"SI","NO"),"NO"),"NO"))</f>
        <v/>
      </c>
      <c r="Q23" s="116"/>
      <c r="R23" s="116"/>
      <c r="S23" s="55" t="str">
        <f>IFERROR(TRUNC(IF(Q23&lt;&gt;0,Q23/$Q$121,"")*100,2),"")</f>
        <v/>
      </c>
      <c r="T23" s="55" t="str">
        <f>IFERROR(TRUNC(IF(R23&lt;&gt;0,R23/$R$121,"")*100,2),"")</f>
        <v/>
      </c>
      <c r="U23" s="56" t="str">
        <f>IF(OR(Q23&lt;&gt;0,R23&lt;&gt;0),Q23-R23,"")</f>
        <v/>
      </c>
      <c r="V23" s="55" t="str">
        <f>IFERROR(ABS(IF(U23&lt;&gt;0,IF(R23&lt;&gt;0,TRUNC(U23/R23*100,2),IF(Q23&lt;&gt;0,TRUNC(U23/Q23*100,2),"")),"")),"")</f>
        <v/>
      </c>
      <c r="W23" s="108" t="str">
        <f>IF(AND(AE$121=0,AF$121=0),"",IF(OR(N(S23)&lt;&gt;0,N(T23)&lt;&gt;0),IF(OR(N(S23)&gt;4,N(T23)&gt;4),IF(N(V23)&gt;14,"SI","NO"),"NO"),"NO"))</f>
        <v/>
      </c>
      <c r="X23" s="116"/>
      <c r="Y23" s="116"/>
      <c r="Z23" s="55" t="str">
        <f>IFERROR(TRUNC(IF(X23&lt;&gt;0,X23/$X$121,"")*100,2),"")</f>
        <v/>
      </c>
      <c r="AA23" s="55" t="str">
        <f>IFERROR(TRUNC(IF(Y23&lt;&gt;0,Y23/$Y$121,"")*100,2),"")</f>
        <v/>
      </c>
      <c r="AB23" s="56" t="str">
        <f>IF(OR(X23&lt;&gt;0,Y23&lt;&gt;0),X23-Y23,"")</f>
        <v/>
      </c>
      <c r="AC23" s="55" t="str">
        <f>IFERROR(ABS(IF(AB23&lt;&gt;0,IF(Y23&lt;&gt;0,TRUNC(AB23/Y23*100,2),IF(X23&lt;&gt;0,TRUNC(AB23/X23*100,2),"")),"")),"")</f>
        <v/>
      </c>
      <c r="AD23" s="108" t="str">
        <f>IF(AND(AE$121=0,AF$121=0),"",IF(OR(N(Z23)&lt;&gt;0,N(AA23)&lt;&gt;0),IF(OR(N(Z23)&gt;4,N(AA23)&gt;4),IF(N(AC23)&gt;14,"SI","NO"),"NO"),"NO"))</f>
        <v/>
      </c>
      <c r="AE23" s="116">
        <f t="shared" ref="AE23:AF26" si="24">ROUND(C23+J23+Q23+X23,0)</f>
        <v>0</v>
      </c>
      <c r="AF23" s="117">
        <f t="shared" si="24"/>
        <v>0</v>
      </c>
      <c r="AG23" s="117">
        <f t="shared" ref="AG23:AH26" si="25">AE23-AI23</f>
        <v>0</v>
      </c>
      <c r="AH23" s="116">
        <f t="shared" si="25"/>
        <v>0</v>
      </c>
      <c r="AI23" s="116"/>
      <c r="AJ23" s="116"/>
      <c r="AK23" s="69"/>
    </row>
    <row r="24" spans="1:37" x14ac:dyDescent="0.3">
      <c r="A24" s="162" t="s">
        <v>1383</v>
      </c>
      <c r="B24" s="153" t="s">
        <v>1384</v>
      </c>
      <c r="C24" s="116"/>
      <c r="D24" s="116"/>
      <c r="E24" s="55" t="str">
        <f>IFERROR(TRUNC(IF(C24&lt;&gt;0,C24/$C$121,"")*100,2),"")</f>
        <v/>
      </c>
      <c r="F24" s="55" t="str">
        <f>IFERROR(TRUNC(IF(D24&lt;&gt;0,D24/$D$121,"")*100,2),"")</f>
        <v/>
      </c>
      <c r="G24" s="56" t="str">
        <f>IF(OR(C24&lt;&gt;0,D24&lt;&gt;0),C24-D24,"")</f>
        <v/>
      </c>
      <c r="H24" s="55" t="str">
        <f>IFERROR(ABS(IF(G24&lt;&gt;0,IF(D24&lt;&gt;0,TRUNC(G24/D24*100,2),IF(C24&lt;&gt;0,TRUNC(G24/C24*100,2),"")),"")),"")</f>
        <v/>
      </c>
      <c r="I24" s="108" t="str">
        <f>IF(AND(AE$121=0,AF$121=0),"",IF(OR(N(E24)&lt;&gt;0,N(F24)&lt;&gt;0),IF(OR(N(E24)&gt;4,N(F24)&gt;4),IF(N(H24)&gt;14,"SI","NO"),"NO"),"NO"))</f>
        <v/>
      </c>
      <c r="J24" s="116"/>
      <c r="K24" s="116"/>
      <c r="L24" s="55" t="str">
        <f>IFERROR(TRUNC(IF(J24&lt;&gt;0,J24/$J$121,"")*100,2),"")</f>
        <v/>
      </c>
      <c r="M24" s="55" t="str">
        <f>IFERROR(TRUNC(IF(K24&lt;&gt;0,K24/$K$121,"")*100,2),"")</f>
        <v/>
      </c>
      <c r="N24" s="56" t="str">
        <f>IF(OR(J24&lt;&gt;0,K24&lt;&gt;0),J24-K24,"")</f>
        <v/>
      </c>
      <c r="O24" s="55" t="str">
        <f>IFERROR(ABS(IF(N24&lt;&gt;0,IF(K24&lt;&gt;0,TRUNC(N24/K24*100,2),IF(J24&lt;&gt;0,TRUNC(N24/J24*100,2),"")),"")),"")</f>
        <v/>
      </c>
      <c r="P24" s="108" t="str">
        <f>IF(AND(AE$121=0,AF$121=0),"",IF(OR(N(L24)&lt;&gt;0,N(M24)&lt;&gt;0),IF(OR(N(L24)&gt;4,N(M24)&gt;4),IF(N(O24)&gt;14,"SI","NO"),"NO"),"NO"))</f>
        <v/>
      </c>
      <c r="Q24" s="116"/>
      <c r="R24" s="116"/>
      <c r="S24" s="55" t="str">
        <f>IFERROR(TRUNC(IF(Q24&lt;&gt;0,Q24/$Q$121,"")*100,2),"")</f>
        <v/>
      </c>
      <c r="T24" s="55" t="str">
        <f>IFERROR(TRUNC(IF(R24&lt;&gt;0,R24/$R$121,"")*100,2),"")</f>
        <v/>
      </c>
      <c r="U24" s="56" t="str">
        <f>IF(OR(Q24&lt;&gt;0,R24&lt;&gt;0),Q24-R24,"")</f>
        <v/>
      </c>
      <c r="V24" s="55" t="str">
        <f>IFERROR(ABS(IF(U24&lt;&gt;0,IF(R24&lt;&gt;0,TRUNC(U24/R24*100,2),IF(Q24&lt;&gt;0,TRUNC(U24/Q24*100,2),"")),"")),"")</f>
        <v/>
      </c>
      <c r="W24" s="108" t="str">
        <f>IF(AND(AE$121=0,AF$121=0),"",IF(OR(N(S24)&lt;&gt;0,N(T24)&lt;&gt;0),IF(OR(N(S24)&gt;4,N(T24)&gt;4),IF(N(V24)&gt;14,"SI","NO"),"NO"),"NO"))</f>
        <v/>
      </c>
      <c r="X24" s="116"/>
      <c r="Y24" s="116"/>
      <c r="Z24" s="55" t="str">
        <f>IFERROR(TRUNC(IF(X24&lt;&gt;0,X24/$X$121,"")*100,2),"")</f>
        <v/>
      </c>
      <c r="AA24" s="55" t="str">
        <f>IFERROR(TRUNC(IF(Y24&lt;&gt;0,Y24/$Y$121,"")*100,2),"")</f>
        <v/>
      </c>
      <c r="AB24" s="56" t="str">
        <f>IF(OR(X24&lt;&gt;0,Y24&lt;&gt;0),X24-Y24,"")</f>
        <v/>
      </c>
      <c r="AC24" s="55" t="str">
        <f>IFERROR(ABS(IF(AB24&lt;&gt;0,IF(Y24&lt;&gt;0,TRUNC(AB24/Y24*100,2),IF(X24&lt;&gt;0,TRUNC(AB24/X24*100,2),"")),"")),"")</f>
        <v/>
      </c>
      <c r="AD24" s="108" t="str">
        <f>IF(AND(AE$121=0,AF$121=0),"",IF(OR(N(Z24)&lt;&gt;0,N(AA24)&lt;&gt;0),IF(OR(N(Z24)&gt;4,N(AA24)&gt;4),IF(N(AC24)&gt;14,"SI","NO"),"NO"),"NO"))</f>
        <v/>
      </c>
      <c r="AE24" s="116">
        <f t="shared" si="24"/>
        <v>0</v>
      </c>
      <c r="AF24" s="117">
        <f t="shared" si="24"/>
        <v>0</v>
      </c>
      <c r="AG24" s="117">
        <f t="shared" si="25"/>
        <v>0</v>
      </c>
      <c r="AH24" s="116">
        <f t="shared" si="25"/>
        <v>0</v>
      </c>
      <c r="AI24" s="116"/>
      <c r="AJ24" s="116"/>
      <c r="AK24" s="69"/>
    </row>
    <row r="25" spans="1:37" x14ac:dyDescent="0.3">
      <c r="A25" s="162" t="s">
        <v>1385</v>
      </c>
      <c r="B25" s="153" t="s">
        <v>1386</v>
      </c>
      <c r="C25" s="116"/>
      <c r="D25" s="116"/>
      <c r="E25" s="55" t="str">
        <f>IFERROR(TRUNC(IF(C25&lt;&gt;0,C25/$C$121,"")*100,2),"")</f>
        <v/>
      </c>
      <c r="F25" s="55" t="str">
        <f>IFERROR(TRUNC(IF(D25&lt;&gt;0,D25/$D$121,"")*100,2),"")</f>
        <v/>
      </c>
      <c r="G25" s="56" t="str">
        <f>IF(OR(C25&lt;&gt;0,D25&lt;&gt;0),C25-D25,"")</f>
        <v/>
      </c>
      <c r="H25" s="55" t="str">
        <f>IFERROR(ABS(IF(G25&lt;&gt;0,IF(D25&lt;&gt;0,TRUNC(G25/D25*100,2),IF(C25&lt;&gt;0,TRUNC(G25/C25*100,2),"")),"")),"")</f>
        <v/>
      </c>
      <c r="I25" s="108" t="str">
        <f>IF(AND(AE$121=0,AF$121=0),"",IF(OR(N(E25)&lt;&gt;0,N(F25)&lt;&gt;0),IF(OR(N(E25)&gt;4,N(F25)&gt;4),IF(N(H25)&gt;14,"SI","NO"),"NO"),"NO"))</f>
        <v/>
      </c>
      <c r="J25" s="116"/>
      <c r="K25" s="116"/>
      <c r="L25" s="55" t="str">
        <f>IFERROR(TRUNC(IF(J25&lt;&gt;0,J25/$J$121,"")*100,2),"")</f>
        <v/>
      </c>
      <c r="M25" s="55" t="str">
        <f>IFERROR(TRUNC(IF(K25&lt;&gt;0,K25/$K$121,"")*100,2),"")</f>
        <v/>
      </c>
      <c r="N25" s="56" t="str">
        <f>IF(OR(J25&lt;&gt;0,K25&lt;&gt;0),J25-K25,"")</f>
        <v/>
      </c>
      <c r="O25" s="55" t="str">
        <f>IFERROR(ABS(IF(N25&lt;&gt;0,IF(K25&lt;&gt;0,TRUNC(N25/K25*100,2),IF(J25&lt;&gt;0,TRUNC(N25/J25*100,2),"")),"")),"")</f>
        <v/>
      </c>
      <c r="P25" s="108" t="str">
        <f>IF(AND(AE$121=0,AF$121=0),"",IF(OR(N(L25)&lt;&gt;0,N(M25)&lt;&gt;0),IF(OR(N(L25)&gt;4,N(M25)&gt;4),IF(N(O25)&gt;14,"SI","NO"),"NO"),"NO"))</f>
        <v/>
      </c>
      <c r="Q25" s="116"/>
      <c r="R25" s="116"/>
      <c r="S25" s="55" t="str">
        <f>IFERROR(TRUNC(IF(Q25&lt;&gt;0,Q25/$Q$121,"")*100,2),"")</f>
        <v/>
      </c>
      <c r="T25" s="55" t="str">
        <f>IFERROR(TRUNC(IF(R25&lt;&gt;0,R25/$R$121,"")*100,2),"")</f>
        <v/>
      </c>
      <c r="U25" s="56" t="str">
        <f>IF(OR(Q25&lt;&gt;0,R25&lt;&gt;0),Q25-R25,"")</f>
        <v/>
      </c>
      <c r="V25" s="55" t="str">
        <f>IFERROR(ABS(IF(U25&lt;&gt;0,IF(R25&lt;&gt;0,TRUNC(U25/R25*100,2),IF(Q25&lt;&gt;0,TRUNC(U25/Q25*100,2),"")),"")),"")</f>
        <v/>
      </c>
      <c r="W25" s="108" t="str">
        <f>IF(AND(AE$121=0,AF$121=0),"",IF(OR(N(S25)&lt;&gt;0,N(T25)&lt;&gt;0),IF(OR(N(S25)&gt;4,N(T25)&gt;4),IF(N(V25)&gt;14,"SI","NO"),"NO"),"NO"))</f>
        <v/>
      </c>
      <c r="X25" s="116"/>
      <c r="Y25" s="116"/>
      <c r="Z25" s="55" t="str">
        <f>IFERROR(TRUNC(IF(X25&lt;&gt;0,X25/$X$121,"")*100,2),"")</f>
        <v/>
      </c>
      <c r="AA25" s="55" t="str">
        <f>IFERROR(TRUNC(IF(Y25&lt;&gt;0,Y25/$Y$121,"")*100,2),"")</f>
        <v/>
      </c>
      <c r="AB25" s="56" t="str">
        <f>IF(OR(X25&lt;&gt;0,Y25&lt;&gt;0),X25-Y25,"")</f>
        <v/>
      </c>
      <c r="AC25" s="55" t="str">
        <f>IFERROR(ABS(IF(AB25&lt;&gt;0,IF(Y25&lt;&gt;0,TRUNC(AB25/Y25*100,2),IF(X25&lt;&gt;0,TRUNC(AB25/X25*100,2),"")),"")),"")</f>
        <v/>
      </c>
      <c r="AD25" s="108" t="str">
        <f>IF(AND(AE$121=0,AF$121=0),"",IF(OR(N(Z25)&lt;&gt;0,N(AA25)&lt;&gt;0),IF(OR(N(Z25)&gt;4,N(AA25)&gt;4),IF(N(AC25)&gt;14,"SI","NO"),"NO"),"NO"))</f>
        <v/>
      </c>
      <c r="AE25" s="116">
        <f t="shared" si="24"/>
        <v>0</v>
      </c>
      <c r="AF25" s="117">
        <f t="shared" si="24"/>
        <v>0</v>
      </c>
      <c r="AG25" s="117">
        <f t="shared" si="25"/>
        <v>0</v>
      </c>
      <c r="AH25" s="116">
        <f t="shared" si="25"/>
        <v>0</v>
      </c>
      <c r="AI25" s="116"/>
      <c r="AJ25" s="116"/>
      <c r="AK25" s="69"/>
    </row>
    <row r="26" spans="1:37" x14ac:dyDescent="0.3">
      <c r="A26" s="162" t="s">
        <v>1387</v>
      </c>
      <c r="B26" s="153" t="s">
        <v>1388</v>
      </c>
      <c r="C26" s="116"/>
      <c r="D26" s="116"/>
      <c r="E26" s="55" t="str">
        <f>IFERROR(TRUNC(IF(C26&lt;&gt;0,C26/$C$121,"")*100,2),"")</f>
        <v/>
      </c>
      <c r="F26" s="55" t="str">
        <f>IFERROR(TRUNC(IF(D26&lt;&gt;0,D26/$D$121,"")*100,2),"")</f>
        <v/>
      </c>
      <c r="G26" s="56" t="str">
        <f>IF(OR(C26&lt;&gt;0,D26&lt;&gt;0),C26-D26,"")</f>
        <v/>
      </c>
      <c r="H26" s="55" t="str">
        <f>IFERROR(ABS(IF(G26&lt;&gt;0,IF(D26&lt;&gt;0,TRUNC(G26/D26*100,2),IF(C26&lt;&gt;0,TRUNC(G26/C26*100,2),"")),"")),"")</f>
        <v/>
      </c>
      <c r="I26" s="108" t="str">
        <f>IF(AND(AE$121=0,AF$121=0),"",IF(OR(N(E26)&lt;&gt;0,N(F26)&lt;&gt;0),IF(OR(N(E26)&gt;4,N(F26)&gt;4),IF(N(H26)&gt;14,"SI","NO"),"NO"),"NO"))</f>
        <v/>
      </c>
      <c r="J26" s="116"/>
      <c r="K26" s="116"/>
      <c r="L26" s="55" t="str">
        <f>IFERROR(TRUNC(IF(J26&lt;&gt;0,J26/$J$121,"")*100,2),"")</f>
        <v/>
      </c>
      <c r="M26" s="55" t="str">
        <f>IFERROR(TRUNC(IF(K26&lt;&gt;0,K26/$K$121,"")*100,2),"")</f>
        <v/>
      </c>
      <c r="N26" s="56" t="str">
        <f>IF(OR(J26&lt;&gt;0,K26&lt;&gt;0),J26-K26,"")</f>
        <v/>
      </c>
      <c r="O26" s="55" t="str">
        <f>IFERROR(ABS(IF(N26&lt;&gt;0,IF(K26&lt;&gt;0,TRUNC(N26/K26*100,2),IF(J26&lt;&gt;0,TRUNC(N26/J26*100,2),"")),"")),"")</f>
        <v/>
      </c>
      <c r="P26" s="108" t="str">
        <f>IF(AND(AE$121=0,AF$121=0),"",IF(OR(N(L26)&lt;&gt;0,N(M26)&lt;&gt;0),IF(OR(N(L26)&gt;4,N(M26)&gt;4),IF(N(O26)&gt;14,"SI","NO"),"NO"),"NO"))</f>
        <v/>
      </c>
      <c r="Q26" s="116"/>
      <c r="R26" s="116"/>
      <c r="S26" s="55" t="str">
        <f>IFERROR(TRUNC(IF(Q26&lt;&gt;0,Q26/$Q$121,"")*100,2),"")</f>
        <v/>
      </c>
      <c r="T26" s="55" t="str">
        <f>IFERROR(TRUNC(IF(R26&lt;&gt;0,R26/$R$121,"")*100,2),"")</f>
        <v/>
      </c>
      <c r="U26" s="56" t="str">
        <f>IF(OR(Q26&lt;&gt;0,R26&lt;&gt;0),Q26-R26,"")</f>
        <v/>
      </c>
      <c r="V26" s="55" t="str">
        <f>IFERROR(ABS(IF(U26&lt;&gt;0,IF(R26&lt;&gt;0,TRUNC(U26/R26*100,2),IF(Q26&lt;&gt;0,TRUNC(U26/Q26*100,2),"")),"")),"")</f>
        <v/>
      </c>
      <c r="W26" s="108" t="str">
        <f>IF(AND(AE$121=0,AF$121=0),"",IF(OR(N(S26)&lt;&gt;0,N(T26)&lt;&gt;0),IF(OR(N(S26)&gt;4,N(T26)&gt;4),IF(N(V26)&gt;14,"SI","NO"),"NO"),"NO"))</f>
        <v/>
      </c>
      <c r="X26" s="116"/>
      <c r="Y26" s="116"/>
      <c r="Z26" s="55" t="str">
        <f>IFERROR(TRUNC(IF(X26&lt;&gt;0,X26/$X$121,"")*100,2),"")</f>
        <v/>
      </c>
      <c r="AA26" s="55" t="str">
        <f>IFERROR(TRUNC(IF(Y26&lt;&gt;0,Y26/$Y$121,"")*100,2),"")</f>
        <v/>
      </c>
      <c r="AB26" s="56" t="str">
        <f>IF(OR(X26&lt;&gt;0,Y26&lt;&gt;0),X26-Y26,"")</f>
        <v/>
      </c>
      <c r="AC26" s="55" t="str">
        <f>IFERROR(ABS(IF(AB26&lt;&gt;0,IF(Y26&lt;&gt;0,TRUNC(AB26/Y26*100,2),IF(X26&lt;&gt;0,TRUNC(AB26/X26*100,2),"")),"")),"")</f>
        <v/>
      </c>
      <c r="AD26" s="108" t="str">
        <f>IF(AND(AE$121=0,AF$121=0),"",IF(OR(N(Z26)&lt;&gt;0,N(AA26)&lt;&gt;0),IF(OR(N(Z26)&gt;4,N(AA26)&gt;4),IF(N(AC26)&gt;14,"SI","NO"),"NO"),"NO"))</f>
        <v/>
      </c>
      <c r="AE26" s="116">
        <f t="shared" si="24"/>
        <v>0</v>
      </c>
      <c r="AF26" s="117">
        <f t="shared" si="24"/>
        <v>0</v>
      </c>
      <c r="AG26" s="117">
        <f t="shared" si="25"/>
        <v>0</v>
      </c>
      <c r="AH26" s="116">
        <f t="shared" si="25"/>
        <v>0</v>
      </c>
      <c r="AI26" s="116"/>
      <c r="AJ26" s="116"/>
      <c r="AK26" s="69"/>
    </row>
    <row r="27" spans="1:37" x14ac:dyDescent="0.3">
      <c r="A27" s="162" t="s">
        <v>1389</v>
      </c>
      <c r="B27" s="153" t="s">
        <v>1390</v>
      </c>
      <c r="C27" s="52"/>
      <c r="D27" s="52"/>
      <c r="E27" s="57"/>
      <c r="F27" s="57"/>
      <c r="G27" s="52"/>
      <c r="H27" s="57"/>
      <c r="I27" s="58"/>
      <c r="J27" s="52"/>
      <c r="K27" s="52"/>
      <c r="L27" s="57"/>
      <c r="M27" s="57"/>
      <c r="N27" s="52"/>
      <c r="O27" s="57"/>
      <c r="P27" s="58"/>
      <c r="Q27" s="52"/>
      <c r="R27" s="52"/>
      <c r="S27" s="57"/>
      <c r="T27" s="57"/>
      <c r="U27" s="52"/>
      <c r="V27" s="57"/>
      <c r="W27" s="58"/>
      <c r="X27" s="52"/>
      <c r="Y27" s="52"/>
      <c r="Z27" s="57"/>
      <c r="AA27" s="57"/>
      <c r="AB27" s="52"/>
      <c r="AC27" s="57"/>
      <c r="AD27" s="58"/>
      <c r="AE27" s="52"/>
      <c r="AF27" s="52"/>
      <c r="AG27" s="52"/>
      <c r="AH27" s="52"/>
      <c r="AI27" s="52"/>
      <c r="AJ27" s="52"/>
      <c r="AK27" s="69"/>
    </row>
    <row r="28" spans="1:37" x14ac:dyDescent="0.3">
      <c r="A28" s="162"/>
      <c r="B28" s="153"/>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69"/>
    </row>
    <row r="29" spans="1:37" x14ac:dyDescent="0.3">
      <c r="A29" s="162" t="s">
        <v>1391</v>
      </c>
      <c r="B29" s="153" t="s">
        <v>1392</v>
      </c>
      <c r="C29" s="54">
        <f>ROUND(SUM(C23:C26)+C27,0)</f>
        <v>0</v>
      </c>
      <c r="D29" s="54">
        <f>ROUND(SUM(D23:D26)+D27,0)</f>
        <v>0</v>
      </c>
      <c r="E29" s="29"/>
      <c r="F29" s="29"/>
      <c r="G29" s="29"/>
      <c r="H29" s="29"/>
      <c r="I29" s="29"/>
      <c r="J29" s="54">
        <f>ROUND(SUM(J23:J26)+J27,0)</f>
        <v>0</v>
      </c>
      <c r="K29" s="54">
        <f>ROUND(SUM(K23:K26)+K27,0)</f>
        <v>0</v>
      </c>
      <c r="L29" s="29"/>
      <c r="M29" s="29"/>
      <c r="N29" s="29"/>
      <c r="O29" s="29"/>
      <c r="P29" s="29"/>
      <c r="Q29" s="54">
        <f>ROUND(SUM(Q23:Q26)+Q27,0)</f>
        <v>0</v>
      </c>
      <c r="R29" s="54">
        <f>ROUND(SUM(R23:R26)+R27,0)</f>
        <v>0</v>
      </c>
      <c r="S29" s="29"/>
      <c r="T29" s="29"/>
      <c r="U29" s="29"/>
      <c r="V29" s="29"/>
      <c r="W29" s="29"/>
      <c r="X29" s="54">
        <f>ROUND(SUM(X23:X26)+X27,0)</f>
        <v>0</v>
      </c>
      <c r="Y29" s="54">
        <f>ROUND(SUM(Y23:Y26)+Y27,0)</f>
        <v>0</v>
      </c>
      <c r="Z29" s="29"/>
      <c r="AA29" s="29"/>
      <c r="AB29" s="29"/>
      <c r="AC29" s="29"/>
      <c r="AD29" s="29"/>
      <c r="AE29" s="54">
        <f t="shared" ref="AE29:AJ29" si="26">ROUND(SUM(AE23:AE26)+AE27,0)</f>
        <v>0</v>
      </c>
      <c r="AF29" s="54">
        <f t="shared" si="26"/>
        <v>0</v>
      </c>
      <c r="AG29" s="54">
        <f t="shared" si="26"/>
        <v>0</v>
      </c>
      <c r="AH29" s="54">
        <f t="shared" si="26"/>
        <v>0</v>
      </c>
      <c r="AI29" s="54">
        <f t="shared" si="26"/>
        <v>0</v>
      </c>
      <c r="AJ29" s="54">
        <f t="shared" si="26"/>
        <v>0</v>
      </c>
      <c r="AK29" s="69"/>
    </row>
    <row r="30" spans="1:37" x14ac:dyDescent="0.3">
      <c r="A30" s="162"/>
      <c r="B30" s="153"/>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69"/>
    </row>
    <row r="31" spans="1:37" ht="20.399999999999999" x14ac:dyDescent="0.3">
      <c r="A31" s="162"/>
      <c r="B31" s="153" t="s">
        <v>1393</v>
      </c>
      <c r="C31" s="51"/>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69"/>
    </row>
    <row r="32" spans="1:37" x14ac:dyDescent="0.3">
      <c r="A32" s="162"/>
      <c r="B32" s="153"/>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69"/>
    </row>
    <row r="33" spans="1:37" x14ac:dyDescent="0.3">
      <c r="A33" s="162" t="s">
        <v>1394</v>
      </c>
      <c r="B33" s="153" t="s">
        <v>1395</v>
      </c>
      <c r="C33" s="116"/>
      <c r="D33" s="116"/>
      <c r="E33" s="55" t="str">
        <f>IFERROR(TRUNC(IF(C33&lt;&gt;0,C33/$C$121,"")*100,2),"")</f>
        <v/>
      </c>
      <c r="F33" s="55" t="str">
        <f>IFERROR(TRUNC(IF(D33&lt;&gt;0,D33/$D$121,"")*100,2),"")</f>
        <v/>
      </c>
      <c r="G33" s="56" t="str">
        <f>IF(OR(C33&lt;&gt;0,D33&lt;&gt;0),C33-D33,"")</f>
        <v/>
      </c>
      <c r="H33" s="55" t="str">
        <f>IFERROR(ABS(IF(G33&lt;&gt;0,IF(D33&lt;&gt;0,TRUNC(G33/D33*100,2),IF(C33&lt;&gt;0,TRUNC(G33/C33*100,2),"")),"")),"")</f>
        <v/>
      </c>
      <c r="I33" s="108" t="str">
        <f>IF(AND(AE$121=0,AF$121=0),"",IF(OR(N(E33)&lt;&gt;0,N(F33)&lt;&gt;0),IF(OR(N(E33)&gt;4,N(F33)&gt;4),IF(N(H33)&gt;14,"SI","NO"),"NO"),"NO"))</f>
        <v/>
      </c>
      <c r="J33" s="116"/>
      <c r="K33" s="116"/>
      <c r="L33" s="55" t="str">
        <f>IFERROR(TRUNC(IF(J33&lt;&gt;0,J33/$J$121,"")*100,2),"")</f>
        <v/>
      </c>
      <c r="M33" s="55" t="str">
        <f>IFERROR(TRUNC(IF(K33&lt;&gt;0,K33/$K$121,"")*100,2),"")</f>
        <v/>
      </c>
      <c r="N33" s="56" t="str">
        <f>IF(OR(J33&lt;&gt;0,K33&lt;&gt;0),J33-K33,"")</f>
        <v/>
      </c>
      <c r="O33" s="55" t="str">
        <f>IFERROR(ABS(IF(N33&lt;&gt;0,IF(K33&lt;&gt;0,TRUNC(N33/K33*100,2),IF(J33&lt;&gt;0,TRUNC(N33/J33*100,2),"")),"")),"")</f>
        <v/>
      </c>
      <c r="P33" s="108" t="str">
        <f>IF(AND(AE$121=0,AF$121=0),"",IF(OR(N(L33)&lt;&gt;0,N(M33)&lt;&gt;0),IF(OR(N(L33)&gt;4,N(M33)&gt;4),IF(N(O33)&gt;14,"SI","NO"),"NO"),"NO"))</f>
        <v/>
      </c>
      <c r="Q33" s="116"/>
      <c r="R33" s="116"/>
      <c r="S33" s="55" t="str">
        <f>IFERROR(TRUNC(IF(Q33&lt;&gt;0,Q33/$Q$121,"")*100,2),"")</f>
        <v/>
      </c>
      <c r="T33" s="55" t="str">
        <f>IFERROR(TRUNC(IF(R33&lt;&gt;0,R33/$R$121,"")*100,2),"")</f>
        <v/>
      </c>
      <c r="U33" s="56" t="str">
        <f>IF(OR(Q33&lt;&gt;0,R33&lt;&gt;0),Q33-R33,"")</f>
        <v/>
      </c>
      <c r="V33" s="55" t="str">
        <f>IFERROR(ABS(IF(U33&lt;&gt;0,IF(R33&lt;&gt;0,TRUNC(U33/R33*100,2),IF(Q33&lt;&gt;0,TRUNC(U33/Q33*100,2),"")),"")),"")</f>
        <v/>
      </c>
      <c r="W33" s="108" t="str">
        <f>IF(AND(AE$121=0,AF$121=0),"",IF(OR(N(S33)&lt;&gt;0,N(T33)&lt;&gt;0),IF(OR(N(S33)&gt;4,N(T33)&gt;4),IF(N(V33)&gt;14,"SI","NO"),"NO"),"NO"))</f>
        <v/>
      </c>
      <c r="X33" s="116"/>
      <c r="Y33" s="116"/>
      <c r="Z33" s="55" t="str">
        <f>IFERROR(TRUNC(IF(X33&lt;&gt;0,X33/$X$121,"")*100,2),"")</f>
        <v/>
      </c>
      <c r="AA33" s="55" t="str">
        <f>IFERROR(TRUNC(IF(Y33&lt;&gt;0,Y33/$Y$121,"")*100,2),"")</f>
        <v/>
      </c>
      <c r="AB33" s="56" t="str">
        <f>IF(OR(X33&lt;&gt;0,Y33&lt;&gt;0),X33-Y33,"")</f>
        <v/>
      </c>
      <c r="AC33" s="55" t="str">
        <f>IFERROR(ABS(IF(AB33&lt;&gt;0,IF(Y33&lt;&gt;0,TRUNC(AB33/Y33*100,2),IF(X33&lt;&gt;0,TRUNC(AB33/X33*100,2),"")),"")),"")</f>
        <v/>
      </c>
      <c r="AD33" s="108" t="str">
        <f>IF(AND(AE$121=0,AF$121=0),"",IF(OR(N(Z33)&lt;&gt;0,N(AA33)&lt;&gt;0),IF(OR(N(Z33)&gt;4,N(AA33)&gt;4),IF(N(AC33)&gt;14,"SI","NO"),"NO"),"NO"))</f>
        <v/>
      </c>
      <c r="AE33" s="116">
        <f t="shared" ref="AE33:AF36" si="27">ROUND(C33+J33+Q33+X33,0)</f>
        <v>0</v>
      </c>
      <c r="AF33" s="117">
        <f t="shared" si="27"/>
        <v>0</v>
      </c>
      <c r="AG33" s="117">
        <f t="shared" ref="AG33:AH36" si="28">AE33-AI33</f>
        <v>0</v>
      </c>
      <c r="AH33" s="116">
        <f t="shared" si="28"/>
        <v>0</v>
      </c>
      <c r="AI33" s="116"/>
      <c r="AJ33" s="116"/>
      <c r="AK33" s="69"/>
    </row>
    <row r="34" spans="1:37" x14ac:dyDescent="0.3">
      <c r="A34" s="162" t="s">
        <v>1396</v>
      </c>
      <c r="B34" s="153" t="s">
        <v>792</v>
      </c>
      <c r="C34" s="116"/>
      <c r="D34" s="116"/>
      <c r="E34" s="55" t="str">
        <f>IFERROR(TRUNC(IF(C34&lt;&gt;0,C34/$C$121,"")*100,2),"")</f>
        <v/>
      </c>
      <c r="F34" s="55" t="str">
        <f>IFERROR(TRUNC(IF(D34&lt;&gt;0,D34/$D$121,"")*100,2),"")</f>
        <v/>
      </c>
      <c r="G34" s="56" t="str">
        <f>IF(OR(C34&lt;&gt;0,D34&lt;&gt;0),C34-D34,"")</f>
        <v/>
      </c>
      <c r="H34" s="55" t="str">
        <f>IFERROR(ABS(IF(G34&lt;&gt;0,IF(D34&lt;&gt;0,TRUNC(G34/D34*100,2),IF(C34&lt;&gt;0,TRUNC(G34/C34*100,2),"")),"")),"")</f>
        <v/>
      </c>
      <c r="I34" s="108" t="str">
        <f>IF(AND(AE$121=0,AF$121=0),"",IF(OR(N(E34)&lt;&gt;0,N(F34)&lt;&gt;0),IF(OR(N(E34)&gt;4,N(F34)&gt;4),IF(N(H34)&gt;14,"SI","NO"),"NO"),"NO"))</f>
        <v/>
      </c>
      <c r="J34" s="116"/>
      <c r="K34" s="116"/>
      <c r="L34" s="55" t="str">
        <f>IFERROR(TRUNC(IF(J34&lt;&gt;0,J34/$J$121,"")*100,2),"")</f>
        <v/>
      </c>
      <c r="M34" s="55" t="str">
        <f>IFERROR(TRUNC(IF(K34&lt;&gt;0,K34/$K$121,"")*100,2),"")</f>
        <v/>
      </c>
      <c r="N34" s="56" t="str">
        <f>IF(OR(J34&lt;&gt;0,K34&lt;&gt;0),J34-K34,"")</f>
        <v/>
      </c>
      <c r="O34" s="55" t="str">
        <f>IFERROR(ABS(IF(N34&lt;&gt;0,IF(K34&lt;&gt;0,TRUNC(N34/K34*100,2),IF(J34&lt;&gt;0,TRUNC(N34/J34*100,2),"")),"")),"")</f>
        <v/>
      </c>
      <c r="P34" s="108" t="str">
        <f>IF(AND(AE$121=0,AF$121=0),"",IF(OR(N(L34)&lt;&gt;0,N(M34)&lt;&gt;0),IF(OR(N(L34)&gt;4,N(M34)&gt;4),IF(N(O34)&gt;14,"SI","NO"),"NO"),"NO"))</f>
        <v/>
      </c>
      <c r="Q34" s="116"/>
      <c r="R34" s="116"/>
      <c r="S34" s="55" t="str">
        <f>IFERROR(TRUNC(IF(Q34&lt;&gt;0,Q34/$Q$121,"")*100,2),"")</f>
        <v/>
      </c>
      <c r="T34" s="55" t="str">
        <f>IFERROR(TRUNC(IF(R34&lt;&gt;0,R34/$R$121,"")*100,2),"")</f>
        <v/>
      </c>
      <c r="U34" s="56" t="str">
        <f>IF(OR(Q34&lt;&gt;0,R34&lt;&gt;0),Q34-R34,"")</f>
        <v/>
      </c>
      <c r="V34" s="55" t="str">
        <f>IFERROR(ABS(IF(U34&lt;&gt;0,IF(R34&lt;&gt;0,TRUNC(U34/R34*100,2),IF(Q34&lt;&gt;0,TRUNC(U34/Q34*100,2),"")),"")),"")</f>
        <v/>
      </c>
      <c r="W34" s="108" t="str">
        <f>IF(AND(AE$121=0,AF$121=0),"",IF(OR(N(S34)&lt;&gt;0,N(T34)&lt;&gt;0),IF(OR(N(S34)&gt;4,N(T34)&gt;4),IF(N(V34)&gt;14,"SI","NO"),"NO"),"NO"))</f>
        <v/>
      </c>
      <c r="X34" s="116"/>
      <c r="Y34" s="116"/>
      <c r="Z34" s="55" t="str">
        <f>IFERROR(TRUNC(IF(X34&lt;&gt;0,X34/$X$121,"")*100,2),"")</f>
        <v/>
      </c>
      <c r="AA34" s="55" t="str">
        <f>IFERROR(TRUNC(IF(Y34&lt;&gt;0,Y34/$Y$121,"")*100,2),"")</f>
        <v/>
      </c>
      <c r="AB34" s="56" t="str">
        <f>IF(OR(X34&lt;&gt;0,Y34&lt;&gt;0),X34-Y34,"")</f>
        <v/>
      </c>
      <c r="AC34" s="55" t="str">
        <f>IFERROR(ABS(IF(AB34&lt;&gt;0,IF(Y34&lt;&gt;0,TRUNC(AB34/Y34*100,2),IF(X34&lt;&gt;0,TRUNC(AB34/X34*100,2),"")),"")),"")</f>
        <v/>
      </c>
      <c r="AD34" s="108" t="str">
        <f>IF(AND(AE$121=0,AF$121=0),"",IF(OR(N(Z34)&lt;&gt;0,N(AA34)&lt;&gt;0),IF(OR(N(Z34)&gt;4,N(AA34)&gt;4),IF(N(AC34)&gt;14,"SI","NO"),"NO"),"NO"))</f>
        <v/>
      </c>
      <c r="AE34" s="116">
        <f t="shared" si="27"/>
        <v>0</v>
      </c>
      <c r="AF34" s="117">
        <f t="shared" si="27"/>
        <v>0</v>
      </c>
      <c r="AG34" s="117">
        <f t="shared" si="28"/>
        <v>0</v>
      </c>
      <c r="AH34" s="116">
        <f t="shared" si="28"/>
        <v>0</v>
      </c>
      <c r="AI34" s="116"/>
      <c r="AJ34" s="116"/>
      <c r="AK34" s="69"/>
    </row>
    <row r="35" spans="1:37" x14ac:dyDescent="0.3">
      <c r="A35" s="162" t="s">
        <v>1397</v>
      </c>
      <c r="B35" s="153" t="s">
        <v>1398</v>
      </c>
      <c r="C35" s="116"/>
      <c r="D35" s="116"/>
      <c r="E35" s="55" t="str">
        <f>IFERROR(TRUNC(IF(C35&lt;&gt;0,C35/$C$121,"")*100,2),"")</f>
        <v/>
      </c>
      <c r="F35" s="55" t="str">
        <f>IFERROR(TRUNC(IF(D35&lt;&gt;0,D35/$D$121,"")*100,2),"")</f>
        <v/>
      </c>
      <c r="G35" s="56" t="str">
        <f>IF(OR(C35&lt;&gt;0,D35&lt;&gt;0),C35-D35,"")</f>
        <v/>
      </c>
      <c r="H35" s="55" t="str">
        <f>IFERROR(ABS(IF(G35&lt;&gt;0,IF(D35&lt;&gt;0,TRUNC(G35/D35*100,2),IF(C35&lt;&gt;0,TRUNC(G35/C35*100,2),"")),"")),"")</f>
        <v/>
      </c>
      <c r="I35" s="108" t="str">
        <f>IF(AND(AE$121=0,AF$121=0),"",IF(OR(N(E35)&lt;&gt;0,N(F35)&lt;&gt;0),IF(OR(N(E35)&gt;4,N(F35)&gt;4),IF(N(H35)&gt;14,"SI","NO"),"NO"),"NO"))</f>
        <v/>
      </c>
      <c r="J35" s="116"/>
      <c r="K35" s="116"/>
      <c r="L35" s="55" t="str">
        <f>IFERROR(TRUNC(IF(J35&lt;&gt;0,J35/$J$121,"")*100,2),"")</f>
        <v/>
      </c>
      <c r="M35" s="55" t="str">
        <f>IFERROR(TRUNC(IF(K35&lt;&gt;0,K35/$K$121,"")*100,2),"")</f>
        <v/>
      </c>
      <c r="N35" s="56" t="str">
        <f>IF(OR(J35&lt;&gt;0,K35&lt;&gt;0),J35-K35,"")</f>
        <v/>
      </c>
      <c r="O35" s="55" t="str">
        <f>IFERROR(ABS(IF(N35&lt;&gt;0,IF(K35&lt;&gt;0,TRUNC(N35/K35*100,2),IF(J35&lt;&gt;0,TRUNC(N35/J35*100,2),"")),"")),"")</f>
        <v/>
      </c>
      <c r="P35" s="108" t="str">
        <f>IF(AND(AE$121=0,AF$121=0),"",IF(OR(N(L35)&lt;&gt;0,N(M35)&lt;&gt;0),IF(OR(N(L35)&gt;4,N(M35)&gt;4),IF(N(O35)&gt;14,"SI","NO"),"NO"),"NO"))</f>
        <v/>
      </c>
      <c r="Q35" s="116"/>
      <c r="R35" s="116"/>
      <c r="S35" s="55" t="str">
        <f>IFERROR(TRUNC(IF(Q35&lt;&gt;0,Q35/$Q$121,"")*100,2),"")</f>
        <v/>
      </c>
      <c r="T35" s="55" t="str">
        <f>IFERROR(TRUNC(IF(R35&lt;&gt;0,R35/$R$121,"")*100,2),"")</f>
        <v/>
      </c>
      <c r="U35" s="56" t="str">
        <f>IF(OR(Q35&lt;&gt;0,R35&lt;&gt;0),Q35-R35,"")</f>
        <v/>
      </c>
      <c r="V35" s="55" t="str">
        <f>IFERROR(ABS(IF(U35&lt;&gt;0,IF(R35&lt;&gt;0,TRUNC(U35/R35*100,2),IF(Q35&lt;&gt;0,TRUNC(U35/Q35*100,2),"")),"")),"")</f>
        <v/>
      </c>
      <c r="W35" s="108" t="str">
        <f>IF(AND(AE$121=0,AF$121=0),"",IF(OR(N(S35)&lt;&gt;0,N(T35)&lt;&gt;0),IF(OR(N(S35)&gt;4,N(T35)&gt;4),IF(N(V35)&gt;14,"SI","NO"),"NO"),"NO"))</f>
        <v/>
      </c>
      <c r="X35" s="116"/>
      <c r="Y35" s="116"/>
      <c r="Z35" s="55" t="str">
        <f>IFERROR(TRUNC(IF(X35&lt;&gt;0,X35/$X$121,"")*100,2),"")</f>
        <v/>
      </c>
      <c r="AA35" s="55" t="str">
        <f>IFERROR(TRUNC(IF(Y35&lt;&gt;0,Y35/$Y$121,"")*100,2),"")</f>
        <v/>
      </c>
      <c r="AB35" s="56" t="str">
        <f>IF(OR(X35&lt;&gt;0,Y35&lt;&gt;0),X35-Y35,"")</f>
        <v/>
      </c>
      <c r="AC35" s="55" t="str">
        <f>IFERROR(ABS(IF(AB35&lt;&gt;0,IF(Y35&lt;&gt;0,TRUNC(AB35/Y35*100,2),IF(X35&lt;&gt;0,TRUNC(AB35/X35*100,2),"")),"")),"")</f>
        <v/>
      </c>
      <c r="AD35" s="108" t="str">
        <f>IF(AND(AE$121=0,AF$121=0),"",IF(OR(N(Z35)&lt;&gt;0,N(AA35)&lt;&gt;0),IF(OR(N(Z35)&gt;4,N(AA35)&gt;4),IF(N(AC35)&gt;14,"SI","NO"),"NO"),"NO"))</f>
        <v/>
      </c>
      <c r="AE35" s="116">
        <f t="shared" si="27"/>
        <v>0</v>
      </c>
      <c r="AF35" s="117">
        <f t="shared" si="27"/>
        <v>0</v>
      </c>
      <c r="AG35" s="117">
        <f t="shared" si="28"/>
        <v>0</v>
      </c>
      <c r="AH35" s="116">
        <f t="shared" si="28"/>
        <v>0</v>
      </c>
      <c r="AI35" s="116"/>
      <c r="AJ35" s="116"/>
      <c r="AK35" s="69"/>
    </row>
    <row r="36" spans="1:37" x14ac:dyDescent="0.3">
      <c r="A36" s="162" t="s">
        <v>1399</v>
      </c>
      <c r="B36" s="153" t="s">
        <v>1400</v>
      </c>
      <c r="C36" s="116"/>
      <c r="D36" s="116"/>
      <c r="E36" s="55" t="str">
        <f>IFERROR(TRUNC(IF(C36&lt;&gt;0,C36/$C$121,"")*100,2),"")</f>
        <v/>
      </c>
      <c r="F36" s="55" t="str">
        <f>IFERROR(TRUNC(IF(D36&lt;&gt;0,D36/$D$121,"")*100,2),"")</f>
        <v/>
      </c>
      <c r="G36" s="56" t="str">
        <f>IF(OR(C36&lt;&gt;0,D36&lt;&gt;0),C36-D36,"")</f>
        <v/>
      </c>
      <c r="H36" s="55" t="str">
        <f>IFERROR(ABS(IF(G36&lt;&gt;0,IF(D36&lt;&gt;0,TRUNC(G36/D36*100,2),IF(C36&lt;&gt;0,TRUNC(G36/C36*100,2),"")),"")),"")</f>
        <v/>
      </c>
      <c r="I36" s="108" t="str">
        <f>IF(AND(AE$121=0,AF$121=0),"",IF(OR(N(E36)&lt;&gt;0,N(F36)&lt;&gt;0),IF(OR(N(E36)&gt;4,N(F36)&gt;4),IF(N(H36)&gt;14,"SI","NO"),"NO"),"NO"))</f>
        <v/>
      </c>
      <c r="J36" s="116"/>
      <c r="K36" s="116"/>
      <c r="L36" s="55" t="str">
        <f>IFERROR(TRUNC(IF(J36&lt;&gt;0,J36/$J$121,"")*100,2),"")</f>
        <v/>
      </c>
      <c r="M36" s="55" t="str">
        <f>IFERROR(TRUNC(IF(K36&lt;&gt;0,K36/$K$121,"")*100,2),"")</f>
        <v/>
      </c>
      <c r="N36" s="56" t="str">
        <f>IF(OR(J36&lt;&gt;0,K36&lt;&gt;0),J36-K36,"")</f>
        <v/>
      </c>
      <c r="O36" s="55" t="str">
        <f>IFERROR(ABS(IF(N36&lt;&gt;0,IF(K36&lt;&gt;0,TRUNC(N36/K36*100,2),IF(J36&lt;&gt;0,TRUNC(N36/J36*100,2),"")),"")),"")</f>
        <v/>
      </c>
      <c r="P36" s="108" t="str">
        <f>IF(AND(AE$121=0,AF$121=0),"",IF(OR(N(L36)&lt;&gt;0,N(M36)&lt;&gt;0),IF(OR(N(L36)&gt;4,N(M36)&gt;4),IF(N(O36)&gt;14,"SI","NO"),"NO"),"NO"))</f>
        <v/>
      </c>
      <c r="Q36" s="116"/>
      <c r="R36" s="116"/>
      <c r="S36" s="55" t="str">
        <f>IFERROR(TRUNC(IF(Q36&lt;&gt;0,Q36/$Q$121,"")*100,2),"")</f>
        <v/>
      </c>
      <c r="T36" s="55" t="str">
        <f>IFERROR(TRUNC(IF(R36&lt;&gt;0,R36/$R$121,"")*100,2),"")</f>
        <v/>
      </c>
      <c r="U36" s="56" t="str">
        <f>IF(OR(Q36&lt;&gt;0,R36&lt;&gt;0),Q36-R36,"")</f>
        <v/>
      </c>
      <c r="V36" s="55" t="str">
        <f>IFERROR(ABS(IF(U36&lt;&gt;0,IF(R36&lt;&gt;0,TRUNC(U36/R36*100,2),IF(Q36&lt;&gt;0,TRUNC(U36/Q36*100,2),"")),"")),"")</f>
        <v/>
      </c>
      <c r="W36" s="108" t="str">
        <f>IF(AND(AE$121=0,AF$121=0),"",IF(OR(N(S36)&lt;&gt;0,N(T36)&lt;&gt;0),IF(OR(N(S36)&gt;4,N(T36)&gt;4),IF(N(V36)&gt;14,"SI","NO"),"NO"),"NO"))</f>
        <v/>
      </c>
      <c r="X36" s="116"/>
      <c r="Y36" s="116"/>
      <c r="Z36" s="55" t="str">
        <f>IFERROR(TRUNC(IF(X36&lt;&gt;0,X36/$X$121,"")*100,2),"")</f>
        <v/>
      </c>
      <c r="AA36" s="55" t="str">
        <f>IFERROR(TRUNC(IF(Y36&lt;&gt;0,Y36/$Y$121,"")*100,2),"")</f>
        <v/>
      </c>
      <c r="AB36" s="56" t="str">
        <f>IF(OR(X36&lt;&gt;0,Y36&lt;&gt;0),X36-Y36,"")</f>
        <v/>
      </c>
      <c r="AC36" s="55" t="str">
        <f>IFERROR(ABS(IF(AB36&lt;&gt;0,IF(Y36&lt;&gt;0,TRUNC(AB36/Y36*100,2),IF(X36&lt;&gt;0,TRUNC(AB36/X36*100,2),"")),"")),"")</f>
        <v/>
      </c>
      <c r="AD36" s="108" t="str">
        <f>IF(AND(AE$121=0,AF$121=0),"",IF(OR(N(Z36)&lt;&gt;0,N(AA36)&lt;&gt;0),IF(OR(N(Z36)&gt;4,N(AA36)&gt;4),IF(N(AC36)&gt;14,"SI","NO"),"NO"),"NO"))</f>
        <v/>
      </c>
      <c r="AE36" s="116">
        <f t="shared" si="27"/>
        <v>0</v>
      </c>
      <c r="AF36" s="117">
        <f t="shared" si="27"/>
        <v>0</v>
      </c>
      <c r="AG36" s="117">
        <f t="shared" si="28"/>
        <v>0</v>
      </c>
      <c r="AH36" s="116">
        <f t="shared" si="28"/>
        <v>0</v>
      </c>
      <c r="AI36" s="116"/>
      <c r="AJ36" s="116"/>
      <c r="AK36" s="69"/>
    </row>
    <row r="37" spans="1:37" x14ac:dyDescent="0.3">
      <c r="A37" s="162" t="s">
        <v>1401</v>
      </c>
      <c r="B37" s="153" t="s">
        <v>1402</v>
      </c>
      <c r="C37" s="52"/>
      <c r="D37" s="52"/>
      <c r="E37" s="57"/>
      <c r="F37" s="57"/>
      <c r="G37" s="52"/>
      <c r="H37" s="57"/>
      <c r="I37" s="58"/>
      <c r="J37" s="52"/>
      <c r="K37" s="52"/>
      <c r="L37" s="57"/>
      <c r="M37" s="57"/>
      <c r="N37" s="52"/>
      <c r="O37" s="57"/>
      <c r="P37" s="58"/>
      <c r="Q37" s="52"/>
      <c r="R37" s="52"/>
      <c r="S37" s="57"/>
      <c r="T37" s="57"/>
      <c r="U37" s="52"/>
      <c r="V37" s="57"/>
      <c r="W37" s="58"/>
      <c r="X37" s="52"/>
      <c r="Y37" s="52"/>
      <c r="Z37" s="57"/>
      <c r="AA37" s="57"/>
      <c r="AB37" s="52"/>
      <c r="AC37" s="57"/>
      <c r="AD37" s="58"/>
      <c r="AE37" s="52"/>
      <c r="AF37" s="52"/>
      <c r="AG37" s="52"/>
      <c r="AH37" s="52"/>
      <c r="AI37" s="52"/>
      <c r="AJ37" s="52"/>
      <c r="AK37" s="69"/>
    </row>
    <row r="38" spans="1:37" x14ac:dyDescent="0.3">
      <c r="A38" s="162"/>
      <c r="B38" s="153"/>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69"/>
    </row>
    <row r="39" spans="1:37" ht="20.399999999999999" x14ac:dyDescent="0.3">
      <c r="A39" s="162" t="s">
        <v>1403</v>
      </c>
      <c r="B39" s="153" t="s">
        <v>1404</v>
      </c>
      <c r="C39" s="54">
        <f>ROUND(SUM(C33:C36)+C37,0)</f>
        <v>0</v>
      </c>
      <c r="D39" s="54">
        <f>ROUND(SUM(D33:D36)+D37,0)</f>
        <v>0</v>
      </c>
      <c r="E39" s="29"/>
      <c r="F39" s="29"/>
      <c r="G39" s="29"/>
      <c r="H39" s="29"/>
      <c r="I39" s="29"/>
      <c r="J39" s="54">
        <f>ROUND(SUM(J33:J36)+J37,0)</f>
        <v>0</v>
      </c>
      <c r="K39" s="54">
        <f>ROUND(SUM(K33:K36)+K37,0)</f>
        <v>0</v>
      </c>
      <c r="L39" s="29"/>
      <c r="M39" s="29"/>
      <c r="N39" s="29"/>
      <c r="O39" s="29"/>
      <c r="P39" s="29"/>
      <c r="Q39" s="54">
        <f>ROUND(SUM(Q33:Q36)+Q37,0)</f>
        <v>0</v>
      </c>
      <c r="R39" s="54">
        <f>ROUND(SUM(R33:R36)+R37,0)</f>
        <v>0</v>
      </c>
      <c r="S39" s="29"/>
      <c r="T39" s="29"/>
      <c r="U39" s="29"/>
      <c r="V39" s="29"/>
      <c r="W39" s="29"/>
      <c r="X39" s="54">
        <f>ROUND(SUM(X33:X36)+X37,0)</f>
        <v>0</v>
      </c>
      <c r="Y39" s="54">
        <f>ROUND(SUM(Y33:Y36)+Y37,0)</f>
        <v>0</v>
      </c>
      <c r="Z39" s="29"/>
      <c r="AA39" s="29"/>
      <c r="AB39" s="29"/>
      <c r="AC39" s="29"/>
      <c r="AD39" s="29"/>
      <c r="AE39" s="54">
        <f t="shared" ref="AE39:AJ39" si="29">ROUND(SUM(AE33:AE36)+AE37,0)</f>
        <v>0</v>
      </c>
      <c r="AF39" s="54">
        <f t="shared" si="29"/>
        <v>0</v>
      </c>
      <c r="AG39" s="54">
        <f t="shared" si="29"/>
        <v>0</v>
      </c>
      <c r="AH39" s="54">
        <f t="shared" si="29"/>
        <v>0</v>
      </c>
      <c r="AI39" s="54">
        <f t="shared" si="29"/>
        <v>0</v>
      </c>
      <c r="AJ39" s="54">
        <f t="shared" si="29"/>
        <v>0</v>
      </c>
      <c r="AK39" s="69"/>
    </row>
    <row r="40" spans="1:37" x14ac:dyDescent="0.3">
      <c r="A40" s="162"/>
      <c r="B40" s="153" t="s">
        <v>1379</v>
      </c>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69"/>
    </row>
    <row r="41" spans="1:37" x14ac:dyDescent="0.3">
      <c r="A41" s="162"/>
      <c r="B41" s="153" t="s">
        <v>1405</v>
      </c>
      <c r="C41" s="51"/>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69"/>
    </row>
    <row r="42" spans="1:37" x14ac:dyDescent="0.3">
      <c r="A42" s="162"/>
      <c r="B42" s="153" t="s">
        <v>1379</v>
      </c>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69"/>
    </row>
    <row r="43" spans="1:37" x14ac:dyDescent="0.3">
      <c r="A43" s="162" t="s">
        <v>1406</v>
      </c>
      <c r="B43" s="153" t="s">
        <v>1407</v>
      </c>
      <c r="C43" s="116"/>
      <c r="D43" s="116"/>
      <c r="E43" s="55" t="str">
        <f>IFERROR(TRUNC(IF(C43&lt;&gt;0,C43/$C$121,"")*100,2),"")</f>
        <v/>
      </c>
      <c r="F43" s="55" t="str">
        <f>IFERROR(TRUNC(IF(D43&lt;&gt;0,D43/$D$121,"")*100,2),"")</f>
        <v/>
      </c>
      <c r="G43" s="56" t="str">
        <f>IF(OR(C43&lt;&gt;0,D43&lt;&gt;0),C43-D43,"")</f>
        <v/>
      </c>
      <c r="H43" s="55" t="str">
        <f>IFERROR(ABS(IF(G43&lt;&gt;0,IF(D43&lt;&gt;0,TRUNC(G43/D43*100,2),IF(C43&lt;&gt;0,TRUNC(G43/C43*100,2),"")),"")),"")</f>
        <v/>
      </c>
      <c r="I43" s="108" t="str">
        <f>IF(AND(AE$121=0,AF$121=0),"",IF(OR(N(E43)&lt;&gt;0,N(F43)&lt;&gt;0),IF(OR(N(E43)&gt;4,N(F43)&gt;4),IF(N(H43)&gt;14,"SI","NO"),"NO"),"NO"))</f>
        <v/>
      </c>
      <c r="J43" s="116"/>
      <c r="K43" s="116"/>
      <c r="L43" s="55" t="str">
        <f>IFERROR(TRUNC(IF(J43&lt;&gt;0,J43/$J$121,"")*100,2),"")</f>
        <v/>
      </c>
      <c r="M43" s="55" t="str">
        <f>IFERROR(TRUNC(IF(K43&lt;&gt;0,K43/$K$121,"")*100,2),"")</f>
        <v/>
      </c>
      <c r="N43" s="56" t="str">
        <f>IF(OR(J43&lt;&gt;0,K43&lt;&gt;0),J43-K43,"")</f>
        <v/>
      </c>
      <c r="O43" s="55" t="str">
        <f>IFERROR(ABS(IF(N43&lt;&gt;0,IF(K43&lt;&gt;0,TRUNC(N43/K43*100,2),IF(J43&lt;&gt;0,TRUNC(N43/J43*100,2),"")),"")),"")</f>
        <v/>
      </c>
      <c r="P43" s="108" t="str">
        <f>IF(AND(AE$121=0,AF$121=0),"",IF(OR(N(L43)&lt;&gt;0,N(M43)&lt;&gt;0),IF(OR(N(L43)&gt;4,N(M43)&gt;4),IF(N(O43)&gt;14,"SI","NO"),"NO"),"NO"))</f>
        <v/>
      </c>
      <c r="Q43" s="116"/>
      <c r="R43" s="116"/>
      <c r="S43" s="55" t="str">
        <f>IFERROR(TRUNC(IF(Q43&lt;&gt;0,Q43/$Q$121,"")*100,2),"")</f>
        <v/>
      </c>
      <c r="T43" s="55" t="str">
        <f>IFERROR(TRUNC(IF(R43&lt;&gt;0,R43/$R$121,"")*100,2),"")</f>
        <v/>
      </c>
      <c r="U43" s="56" t="str">
        <f>IF(OR(Q43&lt;&gt;0,R43&lt;&gt;0),Q43-R43,"")</f>
        <v/>
      </c>
      <c r="V43" s="55" t="str">
        <f>IFERROR(ABS(IF(U43&lt;&gt;0,IF(R43&lt;&gt;0,TRUNC(U43/R43*100,2),IF(Q43&lt;&gt;0,TRUNC(U43/Q43*100,2),"")),"")),"")</f>
        <v/>
      </c>
      <c r="W43" s="108" t="str">
        <f>IF(AND(AE$121=0,AF$121=0),"",IF(OR(N(S43)&lt;&gt;0,N(T43)&lt;&gt;0),IF(OR(N(S43)&gt;4,N(T43)&gt;4),IF(N(V43)&gt;14,"SI","NO"),"NO"),"NO"))</f>
        <v/>
      </c>
      <c r="X43" s="116"/>
      <c r="Y43" s="116"/>
      <c r="Z43" s="55" t="str">
        <f>IFERROR(TRUNC(IF(X43&lt;&gt;0,X43/$X$121,"")*100,2),"")</f>
        <v/>
      </c>
      <c r="AA43" s="55" t="str">
        <f>IFERROR(TRUNC(IF(Y43&lt;&gt;0,Y43/$Y$121,"")*100,2),"")</f>
        <v/>
      </c>
      <c r="AB43" s="56" t="str">
        <f>IF(OR(X43&lt;&gt;0,Y43&lt;&gt;0),X43-Y43,"")</f>
        <v/>
      </c>
      <c r="AC43" s="55" t="str">
        <f>IFERROR(ABS(IF(AB43&lt;&gt;0,IF(Y43&lt;&gt;0,TRUNC(AB43/Y43*100,2),IF(X43&lt;&gt;0,TRUNC(AB43/X43*100,2),"")),"")),"")</f>
        <v/>
      </c>
      <c r="AD43" s="108" t="str">
        <f>IF(AND(AE$121=0,AF$121=0),"",IF(OR(N(Z43)&lt;&gt;0,N(AA43)&lt;&gt;0),IF(OR(N(Z43)&gt;4,N(AA43)&gt;4),IF(N(AC43)&gt;14,"SI","NO"),"NO"),"NO"))</f>
        <v/>
      </c>
      <c r="AE43" s="116">
        <f t="shared" ref="AE43:AF45" si="30">ROUND(C43+J43+Q43+X43,0)</f>
        <v>0</v>
      </c>
      <c r="AF43" s="117">
        <f t="shared" si="30"/>
        <v>0</v>
      </c>
      <c r="AG43" s="117">
        <f t="shared" ref="AG43:AH45" si="31">AE43-AI43</f>
        <v>0</v>
      </c>
      <c r="AH43" s="116">
        <f t="shared" si="31"/>
        <v>0</v>
      </c>
      <c r="AI43" s="116"/>
      <c r="AJ43" s="116"/>
      <c r="AK43" s="69"/>
    </row>
    <row r="44" spans="1:37" ht="20.399999999999999" x14ac:dyDescent="0.3">
      <c r="A44" s="162" t="s">
        <v>1408</v>
      </c>
      <c r="B44" s="153" t="s">
        <v>1409</v>
      </c>
      <c r="C44" s="116"/>
      <c r="D44" s="116"/>
      <c r="E44" s="55" t="str">
        <f>IFERROR(TRUNC(IF(C44&lt;&gt;0,C44/$C$121,"")*100,2),"")</f>
        <v/>
      </c>
      <c r="F44" s="55" t="str">
        <f>IFERROR(TRUNC(IF(D44&lt;&gt;0,D44/$D$121,"")*100,2),"")</f>
        <v/>
      </c>
      <c r="G44" s="56" t="str">
        <f>IF(OR(C44&lt;&gt;0,D44&lt;&gt;0),C44-D44,"")</f>
        <v/>
      </c>
      <c r="H44" s="55" t="str">
        <f>IFERROR(ABS(IF(G44&lt;&gt;0,IF(D44&lt;&gt;0,TRUNC(G44/D44*100,2),IF(C44&lt;&gt;0,TRUNC(G44/C44*100,2),"")),"")),"")</f>
        <v/>
      </c>
      <c r="I44" s="108" t="str">
        <f>IF(AND(AE$121=0,AF$121=0),"",IF(OR(N(E44)&lt;&gt;0,N(F44)&lt;&gt;0),IF(OR(N(E44)&gt;4,N(F44)&gt;4),IF(N(H44)&gt;14,"SI","NO"),"NO"),"NO"))</f>
        <v/>
      </c>
      <c r="J44" s="116"/>
      <c r="K44" s="116"/>
      <c r="L44" s="55" t="str">
        <f>IFERROR(TRUNC(IF(J44&lt;&gt;0,J44/$J$121,"")*100,2),"")</f>
        <v/>
      </c>
      <c r="M44" s="55" t="str">
        <f>IFERROR(TRUNC(IF(K44&lt;&gt;0,K44/$K$121,"")*100,2),"")</f>
        <v/>
      </c>
      <c r="N44" s="56" t="str">
        <f>IF(OR(J44&lt;&gt;0,K44&lt;&gt;0),J44-K44,"")</f>
        <v/>
      </c>
      <c r="O44" s="55" t="str">
        <f>IFERROR(ABS(IF(N44&lt;&gt;0,IF(K44&lt;&gt;0,TRUNC(N44/K44*100,2),IF(J44&lt;&gt;0,TRUNC(N44/J44*100,2),"")),"")),"")</f>
        <v/>
      </c>
      <c r="P44" s="108" t="str">
        <f>IF(AND(AE$121=0,AF$121=0),"",IF(OR(N(L44)&lt;&gt;0,N(M44)&lt;&gt;0),IF(OR(N(L44)&gt;4,N(M44)&gt;4),IF(N(O44)&gt;14,"SI","NO"),"NO"),"NO"))</f>
        <v/>
      </c>
      <c r="Q44" s="116"/>
      <c r="R44" s="116"/>
      <c r="S44" s="55" t="str">
        <f>IFERROR(TRUNC(IF(Q44&lt;&gt;0,Q44/$Q$121,"")*100,2),"")</f>
        <v/>
      </c>
      <c r="T44" s="55" t="str">
        <f>IFERROR(TRUNC(IF(R44&lt;&gt;0,R44/$R$121,"")*100,2),"")</f>
        <v/>
      </c>
      <c r="U44" s="56" t="str">
        <f>IF(OR(Q44&lt;&gt;0,R44&lt;&gt;0),Q44-R44,"")</f>
        <v/>
      </c>
      <c r="V44" s="55" t="str">
        <f>IFERROR(ABS(IF(U44&lt;&gt;0,IF(R44&lt;&gt;0,TRUNC(U44/R44*100,2),IF(Q44&lt;&gt;0,TRUNC(U44/Q44*100,2),"")),"")),"")</f>
        <v/>
      </c>
      <c r="W44" s="108" t="str">
        <f>IF(AND(AE$121=0,AF$121=0),"",IF(OR(N(S44)&lt;&gt;0,N(T44)&lt;&gt;0),IF(OR(N(S44)&gt;4,N(T44)&gt;4),IF(N(V44)&gt;14,"SI","NO"),"NO"),"NO"))</f>
        <v/>
      </c>
      <c r="X44" s="116"/>
      <c r="Y44" s="116"/>
      <c r="Z44" s="55" t="str">
        <f>IFERROR(TRUNC(IF(X44&lt;&gt;0,X44/$X$121,"")*100,2),"")</f>
        <v/>
      </c>
      <c r="AA44" s="55" t="str">
        <f>IFERROR(TRUNC(IF(Y44&lt;&gt;0,Y44/$Y$121,"")*100,2),"")</f>
        <v/>
      </c>
      <c r="AB44" s="56" t="str">
        <f>IF(OR(X44&lt;&gt;0,Y44&lt;&gt;0),X44-Y44,"")</f>
        <v/>
      </c>
      <c r="AC44" s="55" t="str">
        <f>IFERROR(ABS(IF(AB44&lt;&gt;0,IF(Y44&lt;&gt;0,TRUNC(AB44/Y44*100,2),IF(X44&lt;&gt;0,TRUNC(AB44/X44*100,2),"")),"")),"")</f>
        <v/>
      </c>
      <c r="AD44" s="108" t="str">
        <f>IF(AND(AE$121=0,AF$121=0),"",IF(OR(N(Z44)&lt;&gt;0,N(AA44)&lt;&gt;0),IF(OR(N(Z44)&gt;4,N(AA44)&gt;4),IF(N(AC44)&gt;14,"SI","NO"),"NO"),"NO"))</f>
        <v/>
      </c>
      <c r="AE44" s="116">
        <f t="shared" si="30"/>
        <v>0</v>
      </c>
      <c r="AF44" s="117">
        <f t="shared" si="30"/>
        <v>0</v>
      </c>
      <c r="AG44" s="117">
        <f t="shared" si="31"/>
        <v>0</v>
      </c>
      <c r="AH44" s="116">
        <f t="shared" si="31"/>
        <v>0</v>
      </c>
      <c r="AI44" s="116"/>
      <c r="AJ44" s="116"/>
      <c r="AK44" s="69"/>
    </row>
    <row r="45" spans="1:37" x14ac:dyDescent="0.3">
      <c r="A45" s="162" t="s">
        <v>1410</v>
      </c>
      <c r="B45" s="153" t="s">
        <v>1411</v>
      </c>
      <c r="C45" s="116"/>
      <c r="D45" s="116"/>
      <c r="E45" s="55" t="str">
        <f>IFERROR(TRUNC(IF(C45&lt;&gt;0,C45/$C$121,"")*100,2),"")</f>
        <v/>
      </c>
      <c r="F45" s="55" t="str">
        <f>IFERROR(TRUNC(IF(D45&lt;&gt;0,D45/$D$121,"")*100,2),"")</f>
        <v/>
      </c>
      <c r="G45" s="56" t="str">
        <f>IF(OR(C45&lt;&gt;0,D45&lt;&gt;0),C45-D45,"")</f>
        <v/>
      </c>
      <c r="H45" s="55" t="str">
        <f>IFERROR(ABS(IF(G45&lt;&gt;0,IF(D45&lt;&gt;0,TRUNC(G45/D45*100,2),IF(C45&lt;&gt;0,TRUNC(G45/C45*100,2),"")),"")),"")</f>
        <v/>
      </c>
      <c r="I45" s="108" t="str">
        <f>IF(AND(AE$121=0,AF$121=0),"",IF(OR(N(E45)&lt;&gt;0,N(F45)&lt;&gt;0),IF(OR(N(E45)&gt;4,N(F45)&gt;4),IF(N(H45)&gt;14,"SI","NO"),"NO"),"NO"))</f>
        <v/>
      </c>
      <c r="J45" s="116"/>
      <c r="K45" s="116"/>
      <c r="L45" s="55" t="str">
        <f>IFERROR(TRUNC(IF(J45&lt;&gt;0,J45/$J$121,"")*100,2),"")</f>
        <v/>
      </c>
      <c r="M45" s="55" t="str">
        <f>IFERROR(TRUNC(IF(K45&lt;&gt;0,K45/$K$121,"")*100,2),"")</f>
        <v/>
      </c>
      <c r="N45" s="56" t="str">
        <f>IF(OR(J45&lt;&gt;0,K45&lt;&gt;0),J45-K45,"")</f>
        <v/>
      </c>
      <c r="O45" s="55" t="str">
        <f>IFERROR(ABS(IF(N45&lt;&gt;0,IF(K45&lt;&gt;0,TRUNC(N45/K45*100,2),IF(J45&lt;&gt;0,TRUNC(N45/J45*100,2),"")),"")),"")</f>
        <v/>
      </c>
      <c r="P45" s="108" t="str">
        <f>IF(AND(AE$121=0,AF$121=0),"",IF(OR(N(L45)&lt;&gt;0,N(M45)&lt;&gt;0),IF(OR(N(L45)&gt;4,N(M45)&gt;4),IF(N(O45)&gt;14,"SI","NO"),"NO"),"NO"))</f>
        <v/>
      </c>
      <c r="Q45" s="116"/>
      <c r="R45" s="116"/>
      <c r="S45" s="55" t="str">
        <f>IFERROR(TRUNC(IF(Q45&lt;&gt;0,Q45/$Q$121,"")*100,2),"")</f>
        <v/>
      </c>
      <c r="T45" s="55" t="str">
        <f>IFERROR(TRUNC(IF(R45&lt;&gt;0,R45/$R$121,"")*100,2),"")</f>
        <v/>
      </c>
      <c r="U45" s="56" t="str">
        <f>IF(OR(Q45&lt;&gt;0,R45&lt;&gt;0),Q45-R45,"")</f>
        <v/>
      </c>
      <c r="V45" s="55" t="str">
        <f>IFERROR(ABS(IF(U45&lt;&gt;0,IF(R45&lt;&gt;0,TRUNC(U45/R45*100,2),IF(Q45&lt;&gt;0,TRUNC(U45/Q45*100,2),"")),"")),"")</f>
        <v/>
      </c>
      <c r="W45" s="108" t="str">
        <f>IF(AND(AE$121=0,AF$121=0),"",IF(OR(N(S45)&lt;&gt;0,N(T45)&lt;&gt;0),IF(OR(N(S45)&gt;4,N(T45)&gt;4),IF(N(V45)&gt;14,"SI","NO"),"NO"),"NO"))</f>
        <v/>
      </c>
      <c r="X45" s="116"/>
      <c r="Y45" s="116"/>
      <c r="Z45" s="55" t="str">
        <f>IFERROR(TRUNC(IF(X45&lt;&gt;0,X45/$X$121,"")*100,2),"")</f>
        <v/>
      </c>
      <c r="AA45" s="55" t="str">
        <f>IFERROR(TRUNC(IF(Y45&lt;&gt;0,Y45/$Y$121,"")*100,2),"")</f>
        <v/>
      </c>
      <c r="AB45" s="56" t="str">
        <f>IF(OR(X45&lt;&gt;0,Y45&lt;&gt;0),X45-Y45,"")</f>
        <v/>
      </c>
      <c r="AC45" s="55" t="str">
        <f>IFERROR(ABS(IF(AB45&lt;&gt;0,IF(Y45&lt;&gt;0,TRUNC(AB45/Y45*100,2),IF(X45&lt;&gt;0,TRUNC(AB45/X45*100,2),"")),"")),"")</f>
        <v/>
      </c>
      <c r="AD45" s="108" t="str">
        <f>IF(AND(AE$121=0,AF$121=0),"",IF(OR(N(Z45)&lt;&gt;0,N(AA45)&lt;&gt;0),IF(OR(N(Z45)&gt;4,N(AA45)&gt;4),IF(N(AC45)&gt;14,"SI","NO"),"NO"),"NO"))</f>
        <v/>
      </c>
      <c r="AE45" s="116">
        <f t="shared" si="30"/>
        <v>0</v>
      </c>
      <c r="AF45" s="117">
        <f t="shared" si="30"/>
        <v>0</v>
      </c>
      <c r="AG45" s="117">
        <f t="shared" si="31"/>
        <v>0</v>
      </c>
      <c r="AH45" s="116">
        <f t="shared" si="31"/>
        <v>0</v>
      </c>
      <c r="AI45" s="116"/>
      <c r="AJ45" s="116"/>
      <c r="AK45" s="69"/>
    </row>
    <row r="46" spans="1:37" x14ac:dyDescent="0.3">
      <c r="A46" s="162" t="s">
        <v>1412</v>
      </c>
      <c r="B46" s="153" t="s">
        <v>1413</v>
      </c>
      <c r="C46" s="54">
        <f>ROUND(SUM(C43:C45),0)</f>
        <v>0</v>
      </c>
      <c r="D46" s="54">
        <f>ROUND(SUM(D43:D45),0)</f>
        <v>0</v>
      </c>
      <c r="E46" s="29"/>
      <c r="F46" s="29"/>
      <c r="G46" s="29"/>
      <c r="H46" s="29"/>
      <c r="I46" s="29"/>
      <c r="J46" s="54">
        <f>ROUND(SUM(J43:J45),0)</f>
        <v>0</v>
      </c>
      <c r="K46" s="54">
        <f>ROUND(SUM(K43:K45),0)</f>
        <v>0</v>
      </c>
      <c r="L46" s="29"/>
      <c r="M46" s="29"/>
      <c r="N46" s="29"/>
      <c r="O46" s="29"/>
      <c r="P46" s="29"/>
      <c r="Q46" s="54">
        <f>ROUND(SUM(Q43:Q45),0)</f>
        <v>0</v>
      </c>
      <c r="R46" s="54">
        <f>ROUND(SUM(R43:R45),0)</f>
        <v>0</v>
      </c>
      <c r="S46" s="29"/>
      <c r="T46" s="29"/>
      <c r="U46" s="29"/>
      <c r="V46" s="29"/>
      <c r="W46" s="29"/>
      <c r="X46" s="54">
        <f>ROUND(SUM(X43:X45),0)</f>
        <v>0</v>
      </c>
      <c r="Y46" s="54">
        <f>ROUND(SUM(Y43:Y45),0)</f>
        <v>0</v>
      </c>
      <c r="Z46" s="29"/>
      <c r="AA46" s="29"/>
      <c r="AB46" s="29"/>
      <c r="AC46" s="29"/>
      <c r="AD46" s="29"/>
      <c r="AE46" s="54">
        <f t="shared" ref="AE46:AJ46" si="32">ROUND(SUM(AE43:AE45),0)</f>
        <v>0</v>
      </c>
      <c r="AF46" s="54">
        <f t="shared" si="32"/>
        <v>0</v>
      </c>
      <c r="AG46" s="54">
        <f t="shared" si="32"/>
        <v>0</v>
      </c>
      <c r="AH46" s="54">
        <f t="shared" si="32"/>
        <v>0</v>
      </c>
      <c r="AI46" s="54">
        <f t="shared" si="32"/>
        <v>0</v>
      </c>
      <c r="AJ46" s="54">
        <f t="shared" si="32"/>
        <v>0</v>
      </c>
      <c r="AK46" s="69"/>
    </row>
    <row r="47" spans="1:37" x14ac:dyDescent="0.3">
      <c r="A47" s="162" t="s">
        <v>1414</v>
      </c>
      <c r="B47" s="153" t="s">
        <v>1415</v>
      </c>
      <c r="C47" s="116"/>
      <c r="D47" s="116"/>
      <c r="E47" s="55" t="str">
        <f>IFERROR(TRUNC(IF(C47&lt;&gt;0,C47/$C$121,"")*100,2),"")</f>
        <v/>
      </c>
      <c r="F47" s="55" t="str">
        <f>IFERROR(TRUNC(IF(D47&lt;&gt;0,D47/$D$121,"")*100,2),"")</f>
        <v/>
      </c>
      <c r="G47" s="56" t="str">
        <f>IF(OR(C47&lt;&gt;0,D47&lt;&gt;0),C47-D47,"")</f>
        <v/>
      </c>
      <c r="H47" s="55" t="str">
        <f>IFERROR(ABS(IF(G47&lt;&gt;0,IF(D47&lt;&gt;0,TRUNC(G47/D47*100,2),IF(C47&lt;&gt;0,TRUNC(G47/C47*100,2),"")),"")),"")</f>
        <v/>
      </c>
      <c r="I47" s="108" t="str">
        <f>IF(AND(AE$121=0,AF$121=0),"",IF(OR(N(E47)&lt;&gt;0,N(F47)&lt;&gt;0),IF(OR(N(E47)&gt;4,N(F47)&gt;4),IF(N(H47)&gt;14,"SI","NO"),"NO"),"NO"))</f>
        <v/>
      </c>
      <c r="J47" s="116"/>
      <c r="K47" s="116"/>
      <c r="L47" s="55" t="str">
        <f>IFERROR(TRUNC(IF(J47&lt;&gt;0,J47/$J$121,"")*100,2),"")</f>
        <v/>
      </c>
      <c r="M47" s="55" t="str">
        <f>IFERROR(TRUNC(IF(K47&lt;&gt;0,K47/$K$121,"")*100,2),"")</f>
        <v/>
      </c>
      <c r="N47" s="56" t="str">
        <f>IF(OR(J47&lt;&gt;0,K47&lt;&gt;0),J47-K47,"")</f>
        <v/>
      </c>
      <c r="O47" s="55" t="str">
        <f>IFERROR(ABS(IF(N47&lt;&gt;0,IF(K47&lt;&gt;0,TRUNC(N47/K47*100,2),IF(J47&lt;&gt;0,TRUNC(N47/J47*100,2),"")),"")),"")</f>
        <v/>
      </c>
      <c r="P47" s="108" t="str">
        <f>IF(AND(AE$121=0,AF$121=0),"",IF(OR(N(L47)&lt;&gt;0,N(M47)&lt;&gt;0),IF(OR(N(L47)&gt;4,N(M47)&gt;4),IF(N(O47)&gt;14,"SI","NO"),"NO"),"NO"))</f>
        <v/>
      </c>
      <c r="Q47" s="116"/>
      <c r="R47" s="116"/>
      <c r="S47" s="55" t="str">
        <f>IFERROR(TRUNC(IF(Q47&lt;&gt;0,Q47/$Q$121,"")*100,2),"")</f>
        <v/>
      </c>
      <c r="T47" s="55" t="str">
        <f>IFERROR(TRUNC(IF(R47&lt;&gt;0,R47/$R$121,"")*100,2),"")</f>
        <v/>
      </c>
      <c r="U47" s="56" t="str">
        <f>IF(OR(Q47&lt;&gt;0,R47&lt;&gt;0),Q47-R47,"")</f>
        <v/>
      </c>
      <c r="V47" s="55" t="str">
        <f>IFERROR(ABS(IF(U47&lt;&gt;0,IF(R47&lt;&gt;0,TRUNC(U47/R47*100,2),IF(Q47&lt;&gt;0,TRUNC(U47/Q47*100,2),"")),"")),"")</f>
        <v/>
      </c>
      <c r="W47" s="108" t="str">
        <f>IF(AND(AE$121=0,AF$121=0),"",IF(OR(N(S47)&lt;&gt;0,N(T47)&lt;&gt;0),IF(OR(N(S47)&gt;4,N(T47)&gt;4),IF(N(V47)&gt;14,"SI","NO"),"NO"),"NO"))</f>
        <v/>
      </c>
      <c r="X47" s="116"/>
      <c r="Y47" s="116"/>
      <c r="Z47" s="55" t="str">
        <f>IFERROR(TRUNC(IF(X47&lt;&gt;0,X47/$X$121,"")*100,2),"")</f>
        <v/>
      </c>
      <c r="AA47" s="55" t="str">
        <f>IFERROR(TRUNC(IF(Y47&lt;&gt;0,Y47/$Y$121,"")*100,2),"")</f>
        <v/>
      </c>
      <c r="AB47" s="56" t="str">
        <f>IF(OR(X47&lt;&gt;0,Y47&lt;&gt;0),X47-Y47,"")</f>
        <v/>
      </c>
      <c r="AC47" s="55" t="str">
        <f>IFERROR(ABS(IF(AB47&lt;&gt;0,IF(Y47&lt;&gt;0,TRUNC(AB47/Y47*100,2),IF(X47&lt;&gt;0,TRUNC(AB47/X47*100,2),"")),"")),"")</f>
        <v/>
      </c>
      <c r="AD47" s="108" t="str">
        <f>IF(AND(AE$121=0,AF$121=0),"",IF(OR(N(Z47)&lt;&gt;0,N(AA47)&lt;&gt;0),IF(OR(N(Z47)&gt;4,N(AA47)&gt;4),IF(N(AC47)&gt;14,"SI","NO"),"NO"),"NO"))</f>
        <v/>
      </c>
      <c r="AE47" s="116">
        <f>ROUND(C47+J47+Q47+X47,0)</f>
        <v>0</v>
      </c>
      <c r="AF47" s="117">
        <f>ROUND(D47+K47+R47+Y47,0)</f>
        <v>0</v>
      </c>
      <c r="AG47" s="117">
        <f>AE47-AI47</f>
        <v>0</v>
      </c>
      <c r="AH47" s="116"/>
      <c r="AI47" s="116"/>
      <c r="AJ47" s="116"/>
      <c r="AK47" s="69"/>
    </row>
    <row r="48" spans="1:37" x14ac:dyDescent="0.3">
      <c r="A48" s="162"/>
      <c r="B48" s="153"/>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69"/>
    </row>
    <row r="49" spans="1:37" x14ac:dyDescent="0.3">
      <c r="A49" s="162" t="s">
        <v>1416</v>
      </c>
      <c r="B49" s="153" t="s">
        <v>1417</v>
      </c>
      <c r="C49" s="54">
        <f>ROUND(SUM(C46:C47),0)</f>
        <v>0</v>
      </c>
      <c r="D49" s="54">
        <f>ROUND(SUM(D46:D47),0)</f>
        <v>0</v>
      </c>
      <c r="E49" s="29"/>
      <c r="F49" s="29"/>
      <c r="G49" s="29"/>
      <c r="H49" s="29"/>
      <c r="I49" s="29"/>
      <c r="J49" s="54">
        <f>ROUND(SUM(J46:J47),0)</f>
        <v>0</v>
      </c>
      <c r="K49" s="54">
        <f>ROUND(SUM(K46:K47),0)</f>
        <v>0</v>
      </c>
      <c r="L49" s="29"/>
      <c r="M49" s="29"/>
      <c r="N49" s="29"/>
      <c r="O49" s="29"/>
      <c r="P49" s="29"/>
      <c r="Q49" s="54">
        <f>ROUND(SUM(Q46:Q47),0)</f>
        <v>0</v>
      </c>
      <c r="R49" s="54">
        <f>ROUND(SUM(R46:R47),0)</f>
        <v>0</v>
      </c>
      <c r="S49" s="29"/>
      <c r="T49" s="29"/>
      <c r="U49" s="29"/>
      <c r="V49" s="29"/>
      <c r="W49" s="29"/>
      <c r="X49" s="54">
        <f>ROUND(SUM(X46:X47),0)</f>
        <v>0</v>
      </c>
      <c r="Y49" s="54">
        <f>ROUND(SUM(Y46:Y47),0)</f>
        <v>0</v>
      </c>
      <c r="Z49" s="29"/>
      <c r="AA49" s="29"/>
      <c r="AB49" s="29"/>
      <c r="AC49" s="29"/>
      <c r="AD49" s="29"/>
      <c r="AE49" s="54">
        <f t="shared" ref="AE49:AJ49" si="33">ROUND(SUM(AE46:AE47),0)</f>
        <v>0</v>
      </c>
      <c r="AF49" s="54">
        <f t="shared" si="33"/>
        <v>0</v>
      </c>
      <c r="AG49" s="54">
        <f t="shared" si="33"/>
        <v>0</v>
      </c>
      <c r="AH49" s="54">
        <f t="shared" si="33"/>
        <v>0</v>
      </c>
      <c r="AI49" s="54">
        <f t="shared" si="33"/>
        <v>0</v>
      </c>
      <c r="AJ49" s="54">
        <f t="shared" si="33"/>
        <v>0</v>
      </c>
      <c r="AK49" s="69"/>
    </row>
    <row r="50" spans="1:37" x14ac:dyDescent="0.3">
      <c r="A50" s="162"/>
      <c r="B50" s="153"/>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69"/>
    </row>
    <row r="51" spans="1:37" x14ac:dyDescent="0.3">
      <c r="A51" s="162"/>
      <c r="B51" s="153" t="s">
        <v>1418</v>
      </c>
      <c r="C51" s="51"/>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69"/>
    </row>
    <row r="52" spans="1:37" x14ac:dyDescent="0.3">
      <c r="A52" s="162"/>
      <c r="B52" s="153"/>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69"/>
    </row>
    <row r="53" spans="1:37" x14ac:dyDescent="0.3">
      <c r="A53" s="162" t="s">
        <v>1419</v>
      </c>
      <c r="B53" s="153" t="s">
        <v>1407</v>
      </c>
      <c r="C53" s="116"/>
      <c r="D53" s="116"/>
      <c r="E53" s="55" t="str">
        <f>IFERROR(TRUNC(IF(C53&lt;&gt;0,C53/$C$121,"")*100,2),"")</f>
        <v/>
      </c>
      <c r="F53" s="55" t="str">
        <f>IFERROR(TRUNC(IF(D53&lt;&gt;0,D53/$D$121,"")*100,2),"")</f>
        <v/>
      </c>
      <c r="G53" s="56" t="str">
        <f>IF(OR(C53&lt;&gt;0,D53&lt;&gt;0),C53-D53,"")</f>
        <v/>
      </c>
      <c r="H53" s="55" t="str">
        <f>IFERROR(ABS(IF(G53&lt;&gt;0,IF(D53&lt;&gt;0,TRUNC(G53/D53*100,2),IF(C53&lt;&gt;0,TRUNC(G53/C53*100,2),"")),"")),"")</f>
        <v/>
      </c>
      <c r="I53" s="108" t="str">
        <f>IF(AND(AE$121=0,AF$121=0),"",IF(OR(N(E53)&lt;&gt;0,N(F53)&lt;&gt;0),IF(OR(N(E53)&gt;4,N(F53)&gt;4),IF(N(H53)&gt;14,"SI","NO"),"NO"),"NO"))</f>
        <v/>
      </c>
      <c r="J53" s="116"/>
      <c r="K53" s="116"/>
      <c r="L53" s="55" t="str">
        <f>IFERROR(TRUNC(IF(J53&lt;&gt;0,J53/$J$121,"")*100,2),"")</f>
        <v/>
      </c>
      <c r="M53" s="55" t="str">
        <f>IFERROR(TRUNC(IF(K53&lt;&gt;0,K53/$K$121,"")*100,2),"")</f>
        <v/>
      </c>
      <c r="N53" s="56" t="str">
        <f>IF(OR(J53&lt;&gt;0,K53&lt;&gt;0),J53-K53,"")</f>
        <v/>
      </c>
      <c r="O53" s="55" t="str">
        <f>IFERROR(ABS(IF(N53&lt;&gt;0,IF(K53&lt;&gt;0,TRUNC(N53/K53*100,2),IF(J53&lt;&gt;0,TRUNC(N53/J53*100,2),"")),"")),"")</f>
        <v/>
      </c>
      <c r="P53" s="108" t="str">
        <f>IF(AND(AE$121=0,AF$121=0),"",IF(OR(N(L53)&lt;&gt;0,N(M53)&lt;&gt;0),IF(OR(N(L53)&gt;4,N(M53)&gt;4),IF(N(O53)&gt;14,"SI","NO"),"NO"),"NO"))</f>
        <v/>
      </c>
      <c r="Q53" s="116"/>
      <c r="R53" s="116"/>
      <c r="S53" s="55" t="str">
        <f>IFERROR(TRUNC(IF(Q53&lt;&gt;0,Q53/$Q$121,"")*100,2),"")</f>
        <v/>
      </c>
      <c r="T53" s="55" t="str">
        <f>IFERROR(TRUNC(IF(R53&lt;&gt;0,R53/$R$121,"")*100,2),"")</f>
        <v/>
      </c>
      <c r="U53" s="56" t="str">
        <f>IF(OR(Q53&lt;&gt;0,R53&lt;&gt;0),Q53-R53,"")</f>
        <v/>
      </c>
      <c r="V53" s="55" t="str">
        <f>IFERROR(ABS(IF(U53&lt;&gt;0,IF(R53&lt;&gt;0,TRUNC(U53/R53*100,2),IF(Q53&lt;&gt;0,TRUNC(U53/Q53*100,2),"")),"")),"")</f>
        <v/>
      </c>
      <c r="W53" s="108" t="str">
        <f>IF(AND(AE$121=0,AF$121=0),"",IF(OR(N(S53)&lt;&gt;0,N(T53)&lt;&gt;0),IF(OR(N(S53)&gt;4,N(T53)&gt;4),IF(N(V53)&gt;14,"SI","NO"),"NO"),"NO"))</f>
        <v/>
      </c>
      <c r="X53" s="116"/>
      <c r="Y53" s="116"/>
      <c r="Z53" s="55" t="str">
        <f>IFERROR(TRUNC(IF(X53&lt;&gt;0,X53/$X$121,"")*100,2),"")</f>
        <v/>
      </c>
      <c r="AA53" s="55" t="str">
        <f>IFERROR(TRUNC(IF(Y53&lt;&gt;0,Y53/$Y$121,"")*100,2),"")</f>
        <v/>
      </c>
      <c r="AB53" s="56" t="str">
        <f>IF(OR(X53&lt;&gt;0,Y53&lt;&gt;0),X53-Y53,"")</f>
        <v/>
      </c>
      <c r="AC53" s="55" t="str">
        <f>IFERROR(ABS(IF(AB53&lt;&gt;0,IF(Y53&lt;&gt;0,TRUNC(AB53/Y53*100,2),IF(X53&lt;&gt;0,TRUNC(AB53/X53*100,2),"")),"")),"")</f>
        <v/>
      </c>
      <c r="AD53" s="108" t="str">
        <f>IF(AND(AE$121=0,AF$121=0),"",IF(OR(N(Z53)&lt;&gt;0,N(AA53)&lt;&gt;0),IF(OR(N(Z53)&gt;4,N(AA53)&gt;4),IF(N(AC53)&gt;14,"SI","NO"),"NO"),"NO"))</f>
        <v/>
      </c>
      <c r="AE53" s="116">
        <f t="shared" ref="AE53:AF55" si="34">ROUND(C53+J53+Q53+X53,0)</f>
        <v>0</v>
      </c>
      <c r="AF53" s="117">
        <f t="shared" si="34"/>
        <v>0</v>
      </c>
      <c r="AG53" s="117">
        <f t="shared" ref="AG53:AH55" si="35">AE53-AI53</f>
        <v>0</v>
      </c>
      <c r="AH53" s="116">
        <f t="shared" si="35"/>
        <v>0</v>
      </c>
      <c r="AI53" s="116"/>
      <c r="AJ53" s="116"/>
      <c r="AK53" s="69"/>
    </row>
    <row r="54" spans="1:37" ht="20.399999999999999" x14ac:dyDescent="0.3">
      <c r="A54" s="162" t="s">
        <v>1420</v>
      </c>
      <c r="B54" s="153" t="s">
        <v>1409</v>
      </c>
      <c r="C54" s="116"/>
      <c r="D54" s="116"/>
      <c r="E54" s="55" t="str">
        <f>IFERROR(TRUNC(IF(C54&lt;&gt;0,C54/$C$121,"")*100,2),"")</f>
        <v/>
      </c>
      <c r="F54" s="55" t="str">
        <f>IFERROR(TRUNC(IF(D54&lt;&gt;0,D54/$D$121,"")*100,2),"")</f>
        <v/>
      </c>
      <c r="G54" s="56" t="str">
        <f>IF(OR(C54&lt;&gt;0,D54&lt;&gt;0),C54-D54,"")</f>
        <v/>
      </c>
      <c r="H54" s="55" t="str">
        <f>IFERROR(ABS(IF(G54&lt;&gt;0,IF(D54&lt;&gt;0,TRUNC(G54/D54*100,2),IF(C54&lt;&gt;0,TRUNC(G54/C54*100,2),"")),"")),"")</f>
        <v/>
      </c>
      <c r="I54" s="108" t="str">
        <f>IF(AND(AE$121=0,AF$121=0),"",IF(OR(N(E54)&lt;&gt;0,N(F54)&lt;&gt;0),IF(OR(N(E54)&gt;4,N(F54)&gt;4),IF(N(H54)&gt;14,"SI","NO"),"NO"),"NO"))</f>
        <v/>
      </c>
      <c r="J54" s="116"/>
      <c r="K54" s="116"/>
      <c r="L54" s="55" t="str">
        <f>IFERROR(TRUNC(IF(J54&lt;&gt;0,J54/$J$121,"")*100,2),"")</f>
        <v/>
      </c>
      <c r="M54" s="55" t="str">
        <f>IFERROR(TRUNC(IF(K54&lt;&gt;0,K54/$K$121,"")*100,2),"")</f>
        <v/>
      </c>
      <c r="N54" s="56" t="str">
        <f>IF(OR(J54&lt;&gt;0,K54&lt;&gt;0),J54-K54,"")</f>
        <v/>
      </c>
      <c r="O54" s="55" t="str">
        <f>IFERROR(ABS(IF(N54&lt;&gt;0,IF(K54&lt;&gt;0,TRUNC(N54/K54*100,2),IF(J54&lt;&gt;0,TRUNC(N54/J54*100,2),"")),"")),"")</f>
        <v/>
      </c>
      <c r="P54" s="108" t="str">
        <f>IF(AND(AE$121=0,AF$121=0),"",IF(OR(N(L54)&lt;&gt;0,N(M54)&lt;&gt;0),IF(OR(N(L54)&gt;4,N(M54)&gt;4),IF(N(O54)&gt;14,"SI","NO"),"NO"),"NO"))</f>
        <v/>
      </c>
      <c r="Q54" s="116"/>
      <c r="R54" s="116"/>
      <c r="S54" s="55" t="str">
        <f>IFERROR(TRUNC(IF(Q54&lt;&gt;0,Q54/$Q$121,"")*100,2),"")</f>
        <v/>
      </c>
      <c r="T54" s="55" t="str">
        <f>IFERROR(TRUNC(IF(R54&lt;&gt;0,R54/$R$121,"")*100,2),"")</f>
        <v/>
      </c>
      <c r="U54" s="56" t="str">
        <f>IF(OR(Q54&lt;&gt;0,R54&lt;&gt;0),Q54-R54,"")</f>
        <v/>
      </c>
      <c r="V54" s="55" t="str">
        <f>IFERROR(ABS(IF(U54&lt;&gt;0,IF(R54&lt;&gt;0,TRUNC(U54/R54*100,2),IF(Q54&lt;&gt;0,TRUNC(U54/Q54*100,2),"")),"")),"")</f>
        <v/>
      </c>
      <c r="W54" s="108" t="str">
        <f>IF(AND(AE$121=0,AF$121=0),"",IF(OR(N(S54)&lt;&gt;0,N(T54)&lt;&gt;0),IF(OR(N(S54)&gt;4,N(T54)&gt;4),IF(N(V54)&gt;14,"SI","NO"),"NO"),"NO"))</f>
        <v/>
      </c>
      <c r="X54" s="116"/>
      <c r="Y54" s="116"/>
      <c r="Z54" s="55" t="str">
        <f>IFERROR(TRUNC(IF(X54&lt;&gt;0,X54/$X$121,"")*100,2),"")</f>
        <v/>
      </c>
      <c r="AA54" s="55" t="str">
        <f>IFERROR(TRUNC(IF(Y54&lt;&gt;0,Y54/$Y$121,"")*100,2),"")</f>
        <v/>
      </c>
      <c r="AB54" s="56" t="str">
        <f>IF(OR(X54&lt;&gt;0,Y54&lt;&gt;0),X54-Y54,"")</f>
        <v/>
      </c>
      <c r="AC54" s="55" t="str">
        <f>IFERROR(ABS(IF(AB54&lt;&gt;0,IF(Y54&lt;&gt;0,TRUNC(AB54/Y54*100,2),IF(X54&lt;&gt;0,TRUNC(AB54/X54*100,2),"")),"")),"")</f>
        <v/>
      </c>
      <c r="AD54" s="108" t="str">
        <f>IF(AND(AE$121=0,AF$121=0),"",IF(OR(N(Z54)&lt;&gt;0,N(AA54)&lt;&gt;0),IF(OR(N(Z54)&gt;4,N(AA54)&gt;4),IF(N(AC54)&gt;14,"SI","NO"),"NO"),"NO"))</f>
        <v/>
      </c>
      <c r="AE54" s="116">
        <f t="shared" si="34"/>
        <v>0</v>
      </c>
      <c r="AF54" s="117">
        <f t="shared" si="34"/>
        <v>0</v>
      </c>
      <c r="AG54" s="117">
        <f t="shared" si="35"/>
        <v>0</v>
      </c>
      <c r="AH54" s="116">
        <f t="shared" si="35"/>
        <v>0</v>
      </c>
      <c r="AI54" s="116"/>
      <c r="AJ54" s="116"/>
      <c r="AK54" s="69"/>
    </row>
    <row r="55" spans="1:37" x14ac:dyDescent="0.3">
      <c r="A55" s="162" t="s">
        <v>1421</v>
      </c>
      <c r="B55" s="153" t="s">
        <v>1411</v>
      </c>
      <c r="C55" s="116"/>
      <c r="D55" s="116"/>
      <c r="E55" s="55" t="str">
        <f>IFERROR(TRUNC(IF(C55&lt;&gt;0,C55/$C$121,"")*100,2),"")</f>
        <v/>
      </c>
      <c r="F55" s="55" t="str">
        <f>IFERROR(TRUNC(IF(D55&lt;&gt;0,D55/$D$121,"")*100,2),"")</f>
        <v/>
      </c>
      <c r="G55" s="56" t="str">
        <f>IF(OR(C55&lt;&gt;0,D55&lt;&gt;0),C55-D55,"")</f>
        <v/>
      </c>
      <c r="H55" s="55" t="str">
        <f>IFERROR(ABS(IF(G55&lt;&gt;0,IF(D55&lt;&gt;0,TRUNC(G55/D55*100,2),IF(C55&lt;&gt;0,TRUNC(G55/C55*100,2),"")),"")),"")</f>
        <v/>
      </c>
      <c r="I55" s="108" t="str">
        <f>IF(AND(AE$121=0,AF$121=0),"",IF(OR(N(E55)&lt;&gt;0,N(F55)&lt;&gt;0),IF(OR(N(E55)&gt;4,N(F55)&gt;4),IF(N(H55)&gt;14,"SI","NO"),"NO"),"NO"))</f>
        <v/>
      </c>
      <c r="J55" s="116"/>
      <c r="K55" s="116"/>
      <c r="L55" s="55" t="str">
        <f>IFERROR(TRUNC(IF(J55&lt;&gt;0,J55/$J$121,"")*100,2),"")</f>
        <v/>
      </c>
      <c r="M55" s="55" t="str">
        <f>IFERROR(TRUNC(IF(K55&lt;&gt;0,K55/$K$121,"")*100,2),"")</f>
        <v/>
      </c>
      <c r="N55" s="56" t="str">
        <f>IF(OR(J55&lt;&gt;0,K55&lt;&gt;0),J55-K55,"")</f>
        <v/>
      </c>
      <c r="O55" s="55" t="str">
        <f>IFERROR(ABS(IF(N55&lt;&gt;0,IF(K55&lt;&gt;0,TRUNC(N55/K55*100,2),IF(J55&lt;&gt;0,TRUNC(N55/J55*100,2),"")),"")),"")</f>
        <v/>
      </c>
      <c r="P55" s="108" t="str">
        <f>IF(AND(AE$121=0,AF$121=0),"",IF(OR(N(L55)&lt;&gt;0,N(M55)&lt;&gt;0),IF(OR(N(L55)&gt;4,N(M55)&gt;4),IF(N(O55)&gt;14,"SI","NO"),"NO"),"NO"))</f>
        <v/>
      </c>
      <c r="Q55" s="116"/>
      <c r="R55" s="116"/>
      <c r="S55" s="55" t="str">
        <f>IFERROR(TRUNC(IF(Q55&lt;&gt;0,Q55/$Q$121,"")*100,2),"")</f>
        <v/>
      </c>
      <c r="T55" s="55" t="str">
        <f>IFERROR(TRUNC(IF(R55&lt;&gt;0,R55/$R$121,"")*100,2),"")</f>
        <v/>
      </c>
      <c r="U55" s="56" t="str">
        <f>IF(OR(Q55&lt;&gt;0,R55&lt;&gt;0),Q55-R55,"")</f>
        <v/>
      </c>
      <c r="V55" s="55" t="str">
        <f>IFERROR(ABS(IF(U55&lt;&gt;0,IF(R55&lt;&gt;0,TRUNC(U55/R55*100,2),IF(Q55&lt;&gt;0,TRUNC(U55/Q55*100,2),"")),"")),"")</f>
        <v/>
      </c>
      <c r="W55" s="108" t="str">
        <f>IF(AND(AE$121=0,AF$121=0),"",IF(OR(N(S55)&lt;&gt;0,N(T55)&lt;&gt;0),IF(OR(N(S55)&gt;4,N(T55)&gt;4),IF(N(V55)&gt;14,"SI","NO"),"NO"),"NO"))</f>
        <v/>
      </c>
      <c r="X55" s="116"/>
      <c r="Y55" s="116"/>
      <c r="Z55" s="55" t="str">
        <f>IFERROR(TRUNC(IF(X55&lt;&gt;0,X55/$X$121,"")*100,2),"")</f>
        <v/>
      </c>
      <c r="AA55" s="55" t="str">
        <f>IFERROR(TRUNC(IF(Y55&lt;&gt;0,Y55/$Y$121,"")*100,2),"")</f>
        <v/>
      </c>
      <c r="AB55" s="56" t="str">
        <f>IF(OR(X55&lt;&gt;0,Y55&lt;&gt;0),X55-Y55,"")</f>
        <v/>
      </c>
      <c r="AC55" s="55" t="str">
        <f>IFERROR(ABS(IF(AB55&lt;&gt;0,IF(Y55&lt;&gt;0,TRUNC(AB55/Y55*100,2),IF(X55&lt;&gt;0,TRUNC(AB55/X55*100,2),"")),"")),"")</f>
        <v/>
      </c>
      <c r="AD55" s="108" t="str">
        <f>IF(AND(AE$121=0,AF$121=0),"",IF(OR(N(Z55)&lt;&gt;0,N(AA55)&lt;&gt;0),IF(OR(N(Z55)&gt;4,N(AA55)&gt;4),IF(N(AC55)&gt;14,"SI","NO"),"NO"),"NO"))</f>
        <v/>
      </c>
      <c r="AE55" s="116">
        <f t="shared" si="34"/>
        <v>0</v>
      </c>
      <c r="AF55" s="117">
        <f t="shared" si="34"/>
        <v>0</v>
      </c>
      <c r="AG55" s="117">
        <f t="shared" si="35"/>
        <v>0</v>
      </c>
      <c r="AH55" s="116">
        <f t="shared" si="35"/>
        <v>0</v>
      </c>
      <c r="AI55" s="116"/>
      <c r="AJ55" s="116"/>
      <c r="AK55" s="69"/>
    </row>
    <row r="56" spans="1:37" x14ac:dyDescent="0.3">
      <c r="A56" s="162"/>
      <c r="B56" s="153"/>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69"/>
    </row>
    <row r="57" spans="1:37" x14ac:dyDescent="0.3">
      <c r="A57" s="162" t="s">
        <v>1422</v>
      </c>
      <c r="B57" s="153" t="s">
        <v>1423</v>
      </c>
      <c r="C57" s="54">
        <f>ROUND(SUM(C53:C55),0)</f>
        <v>0</v>
      </c>
      <c r="D57" s="54">
        <f>ROUND(SUM(D53:D55),0)</f>
        <v>0</v>
      </c>
      <c r="E57" s="29"/>
      <c r="F57" s="29"/>
      <c r="G57" s="29"/>
      <c r="H57" s="29"/>
      <c r="I57" s="29"/>
      <c r="J57" s="54">
        <f>ROUND(SUM(J53:J55),0)</f>
        <v>0</v>
      </c>
      <c r="K57" s="54">
        <f>ROUND(SUM(K53:K55),0)</f>
        <v>0</v>
      </c>
      <c r="L57" s="29"/>
      <c r="M57" s="29"/>
      <c r="N57" s="29"/>
      <c r="O57" s="29"/>
      <c r="P57" s="29"/>
      <c r="Q57" s="54">
        <f>ROUND(SUM(Q53:Q55),0)</f>
        <v>0</v>
      </c>
      <c r="R57" s="54">
        <f>ROUND(SUM(R53:R55),0)</f>
        <v>0</v>
      </c>
      <c r="S57" s="29"/>
      <c r="T57" s="29"/>
      <c r="U57" s="29"/>
      <c r="V57" s="29"/>
      <c r="W57" s="29"/>
      <c r="X57" s="54">
        <f>ROUND(SUM(X53:X55),0)</f>
        <v>0</v>
      </c>
      <c r="Y57" s="54">
        <f>ROUND(SUM(Y53:Y55),0)</f>
        <v>0</v>
      </c>
      <c r="Z57" s="29"/>
      <c r="AA57" s="29"/>
      <c r="AB57" s="29"/>
      <c r="AC57" s="29"/>
      <c r="AD57" s="29"/>
      <c r="AE57" s="54">
        <f t="shared" ref="AE57:AJ57" si="36">ROUND(SUM(AE53:AE55),0)</f>
        <v>0</v>
      </c>
      <c r="AF57" s="54">
        <f t="shared" si="36"/>
        <v>0</v>
      </c>
      <c r="AG57" s="54">
        <f t="shared" si="36"/>
        <v>0</v>
      </c>
      <c r="AH57" s="54">
        <f t="shared" si="36"/>
        <v>0</v>
      </c>
      <c r="AI57" s="54">
        <f t="shared" si="36"/>
        <v>0</v>
      </c>
      <c r="AJ57" s="54">
        <f t="shared" si="36"/>
        <v>0</v>
      </c>
      <c r="AK57" s="69"/>
    </row>
    <row r="58" spans="1:37" x14ac:dyDescent="0.3">
      <c r="A58" s="162"/>
      <c r="B58" s="153"/>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69"/>
    </row>
    <row r="59" spans="1:37" x14ac:dyDescent="0.3">
      <c r="A59" s="162"/>
      <c r="B59" s="153" t="s">
        <v>1066</v>
      </c>
      <c r="C59" s="51"/>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69"/>
    </row>
    <row r="60" spans="1:37" x14ac:dyDescent="0.3">
      <c r="A60" s="162"/>
      <c r="B60" s="153"/>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69"/>
    </row>
    <row r="61" spans="1:37" x14ac:dyDescent="0.3">
      <c r="A61" s="184" t="s">
        <v>1424</v>
      </c>
      <c r="B61" s="190" t="s">
        <v>5405</v>
      </c>
      <c r="C61" s="61"/>
      <c r="D61" s="61"/>
      <c r="E61" s="62" t="str">
        <f>IFERROR(IF(C61&lt;&gt;0,C61/$C$121,"")*100,"")</f>
        <v/>
      </c>
      <c r="F61" s="62" t="str">
        <f>IFERROR(IF(D61&lt;&gt;0,D61/$D$121,"")*100,"")</f>
        <v/>
      </c>
      <c r="G61" s="63" t="str">
        <f>IF(OR(C61&lt;&gt;0,D61&lt;&gt;0),C61-D61,"")</f>
        <v/>
      </c>
      <c r="H61" s="62" t="str">
        <f>IFERROR(ABS(IF(G61&lt;&gt;0,IF(D61&lt;&gt;0,TRUNC(G61/D61*100,2),IF(C61&lt;&gt;0,TRUNC(G61/C61*100,2),"")),"")),"")</f>
        <v/>
      </c>
      <c r="I61" s="119" t="str">
        <f>IF(AND(AE$121=0,AF$121=0),"",IF(OR(N(E61)&lt;&gt;0,N(F61)&lt;&gt;0),IF(OR(N(E61)&gt;4,N(F61)&gt;4),IF(N(H61)&gt;14,"SI","NO"),"NO"),"NO"))</f>
        <v/>
      </c>
      <c r="J61" s="61"/>
      <c r="K61" s="61"/>
      <c r="L61" s="62" t="str">
        <f>IFERROR(IF(J61&lt;&gt;0,J61/$J$121,"")*100,"")</f>
        <v/>
      </c>
      <c r="M61" s="62" t="str">
        <f>IFERROR(IF(K61&lt;&gt;0,K61/$K$121,"")*100,"")</f>
        <v/>
      </c>
      <c r="N61" s="63" t="str">
        <f>IF(OR(J61&lt;&gt;0,K61&lt;&gt;0),J61-K61,"")</f>
        <v/>
      </c>
      <c r="O61" s="62" t="str">
        <f>IFERROR(ABS(IF(N61&lt;&gt;0,IF(K61&lt;&gt;0,TRUNC(N61/K61*100,2),IF(J61&lt;&gt;0,TRUNC(N61/J61*100,2),"")),"")),"")</f>
        <v/>
      </c>
      <c r="P61" s="119" t="str">
        <f>IF(AND(AE$121=0,AF$121=0),"",IF(OR(N(L61)&lt;&gt;0,N(M61)&lt;&gt;0),IF(OR(N(L61)&gt;4,N(M61)&gt;4),IF(N(O61)&gt;14,"SI","NO"),"NO"),"NO"))</f>
        <v/>
      </c>
      <c r="Q61" s="61"/>
      <c r="R61" s="61"/>
      <c r="S61" s="62" t="str">
        <f>IFERROR(IF(Q61&lt;&gt;0,Q61/$Q$121,"")*100,"")</f>
        <v/>
      </c>
      <c r="T61" s="62" t="str">
        <f>IFERROR(IF(R61&lt;&gt;0,R61/$R$121,"")*100,"")</f>
        <v/>
      </c>
      <c r="U61" s="63" t="str">
        <f>IF(OR(Q61&lt;&gt;0,R61&lt;&gt;0),Q61-R61,"")</f>
        <v/>
      </c>
      <c r="V61" s="62" t="str">
        <f>IFERROR(ABS(IF(U61&lt;&gt;0,IF(R61&lt;&gt;0,TRUNC(U61/R61*100,2),IF(Q61&lt;&gt;0,TRUNC(U61/Q61*100,2),"")),"")),"")</f>
        <v/>
      </c>
      <c r="W61" s="119" t="str">
        <f>IF(AND(AE$121=0,AF$121=0),"",IF(OR(N(S61)&lt;&gt;0,N(T61)&lt;&gt;0),IF(OR(N(S61)&gt;4,N(T61)&gt;4),IF(N(V61)&gt;14,"SI","NO"),"NO"),"NO"))</f>
        <v/>
      </c>
      <c r="X61" s="61"/>
      <c r="Y61" s="61"/>
      <c r="Z61" s="62" t="str">
        <f>IFERROR(IF(X61&lt;&gt;0,X61/$X$121,"")*100,"")</f>
        <v/>
      </c>
      <c r="AA61" s="62" t="str">
        <f>IFERROR(IF(Y61&lt;&gt;0,Y61/$Y$121,"")*100,"")</f>
        <v/>
      </c>
      <c r="AB61" s="63" t="str">
        <f>IF(OR(X61&lt;&gt;0,Y61&lt;&gt;0),X61-Y61,"")</f>
        <v/>
      </c>
      <c r="AC61" s="62" t="str">
        <f>IFERROR(ABS(IF(AB61&lt;&gt;0,IF(Y61&lt;&gt;0,TRUNC(AB61/Y61*100,2),IF(X61&lt;&gt;0,TRUNC(AB61/X61*100,2),"")),"")),"")</f>
        <v/>
      </c>
      <c r="AD61" s="119" t="str">
        <f>IF(AND(AE$121=0,AF$121=0),"",IF(OR(N(Z61)&lt;&gt;0,N(AA61)&lt;&gt;0),IF(OR(N(Z61)&gt;4,N(AA61)&gt;4),IF(N(AC61)&gt;14,"SI","NO"),"NO"),"NO"))</f>
        <v/>
      </c>
      <c r="AE61" s="61">
        <f>ROUND(C61+J61+Q61+X61,0)</f>
        <v>0</v>
      </c>
      <c r="AF61" s="61">
        <f>ROUND(D61+K61+R61+Y61,0)</f>
        <v>0</v>
      </c>
      <c r="AG61" s="61"/>
      <c r="AH61" s="61"/>
      <c r="AI61" s="61">
        <f>AE61-AG61</f>
        <v>0</v>
      </c>
      <c r="AJ61" s="61">
        <f>AF61-AH61</f>
        <v>0</v>
      </c>
      <c r="AK61" s="69"/>
    </row>
    <row r="62" spans="1:37" x14ac:dyDescent="0.3">
      <c r="A62" s="162"/>
      <c r="B62" s="153"/>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69"/>
    </row>
    <row r="63" spans="1:37" x14ac:dyDescent="0.3">
      <c r="A63" s="162" t="s">
        <v>1425</v>
      </c>
      <c r="B63" s="153" t="s">
        <v>1426</v>
      </c>
      <c r="C63" s="54">
        <f>ROUND(SUM(C61:C62),0)</f>
        <v>0</v>
      </c>
      <c r="D63" s="54">
        <f>ROUND(SUM(D61:D62),0)</f>
        <v>0</v>
      </c>
      <c r="E63" s="29"/>
      <c r="F63" s="29"/>
      <c r="G63" s="29"/>
      <c r="H63" s="29"/>
      <c r="I63" s="29"/>
      <c r="J63" s="54">
        <f>ROUND(SUM(J61:J62),0)</f>
        <v>0</v>
      </c>
      <c r="K63" s="54">
        <f>ROUND(SUM(K61:K62),0)</f>
        <v>0</v>
      </c>
      <c r="L63" s="29"/>
      <c r="M63" s="29"/>
      <c r="N63" s="29"/>
      <c r="O63" s="29"/>
      <c r="P63" s="29"/>
      <c r="Q63" s="54">
        <f>ROUND(SUM(Q61:Q62),0)</f>
        <v>0</v>
      </c>
      <c r="R63" s="54">
        <f>ROUND(SUM(R61:R62),0)</f>
        <v>0</v>
      </c>
      <c r="S63" s="29"/>
      <c r="T63" s="29"/>
      <c r="U63" s="29"/>
      <c r="V63" s="29"/>
      <c r="W63" s="29"/>
      <c r="X63" s="54">
        <f>ROUND(SUM(X61:X62),0)</f>
        <v>0</v>
      </c>
      <c r="Y63" s="54">
        <f>ROUND(SUM(Y61:Y62),0)</f>
        <v>0</v>
      </c>
      <c r="Z63" s="29"/>
      <c r="AA63" s="29"/>
      <c r="AB63" s="29"/>
      <c r="AC63" s="29"/>
      <c r="AD63" s="29"/>
      <c r="AE63" s="54">
        <f t="shared" ref="AE63:AJ63" si="37">ROUND(SUM(AE61:AE62),0)</f>
        <v>0</v>
      </c>
      <c r="AF63" s="54">
        <f t="shared" si="37"/>
        <v>0</v>
      </c>
      <c r="AG63" s="54">
        <f t="shared" si="37"/>
        <v>0</v>
      </c>
      <c r="AH63" s="54">
        <f t="shared" si="37"/>
        <v>0</v>
      </c>
      <c r="AI63" s="54">
        <f t="shared" si="37"/>
        <v>0</v>
      </c>
      <c r="AJ63" s="54">
        <f t="shared" si="37"/>
        <v>0</v>
      </c>
      <c r="AK63" s="69"/>
    </row>
    <row r="64" spans="1:37" x14ac:dyDescent="0.3">
      <c r="A64" s="162"/>
      <c r="B64" s="153"/>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69"/>
    </row>
    <row r="65" spans="1:37" x14ac:dyDescent="0.3">
      <c r="A65" s="184" t="s">
        <v>1427</v>
      </c>
      <c r="B65" s="190" t="s">
        <v>5406</v>
      </c>
      <c r="C65" s="61"/>
      <c r="D65" s="61"/>
      <c r="E65" s="62" t="str">
        <f>IFERROR(IF(C65&lt;&gt;0,C65/$C$121,"")*100,"")</f>
        <v/>
      </c>
      <c r="F65" s="62" t="str">
        <f>IFERROR(IF(D65&lt;&gt;0,D65/$D$121,"")*100,"")</f>
        <v/>
      </c>
      <c r="G65" s="63" t="str">
        <f>IF(OR(C65&lt;&gt;0,D65&lt;&gt;0),C65-D65,"")</f>
        <v/>
      </c>
      <c r="H65" s="62" t="str">
        <f>IFERROR(ABS(IF(G65&lt;&gt;0,IF(D65&lt;&gt;0,TRUNC(G65/D65*100,2),IF(C65&lt;&gt;0,TRUNC(G65/C65*100,2),"")),"")),"")</f>
        <v/>
      </c>
      <c r="I65" s="119" t="str">
        <f>IF(AND(AE$121=0,AF$121=0),"",IF(OR(N(E65)&lt;&gt;0,N(F65)&lt;&gt;0),IF(OR(N(E65)&gt;4,N(F65)&gt;4),IF(N(H65)&gt;14,"SI","NO"),"NO"),"NO"))</f>
        <v/>
      </c>
      <c r="J65" s="61"/>
      <c r="K65" s="61"/>
      <c r="L65" s="62" t="str">
        <f>IFERROR(IF(J65&lt;&gt;0,J65/$J$121,"")*100,"")</f>
        <v/>
      </c>
      <c r="M65" s="62" t="str">
        <f>IFERROR(IF(K65&lt;&gt;0,K65/$K$121,"")*100,"")</f>
        <v/>
      </c>
      <c r="N65" s="63" t="str">
        <f>IF(OR(J65&lt;&gt;0,K65&lt;&gt;0),J65-K65,"")</f>
        <v/>
      </c>
      <c r="O65" s="62" t="str">
        <f>IFERROR(ABS(IF(N65&lt;&gt;0,IF(K65&lt;&gt;0,TRUNC(N65/K65*100,2),IF(J65&lt;&gt;0,TRUNC(N65/J65*100,2),"")),"")),"")</f>
        <v/>
      </c>
      <c r="P65" s="119" t="str">
        <f>IF(AND(AE$121=0,AF$121=0),"",IF(OR(N(L65)&lt;&gt;0,N(M65)&lt;&gt;0),IF(OR(N(L65)&gt;4,N(M65)&gt;4),IF(N(O65)&gt;14,"SI","NO"),"NO"),"NO"))</f>
        <v/>
      </c>
      <c r="Q65" s="61"/>
      <c r="R65" s="61"/>
      <c r="S65" s="62" t="str">
        <f>IFERROR(IF(Q65&lt;&gt;0,Q65/$Q$121,"")*100,"")</f>
        <v/>
      </c>
      <c r="T65" s="62" t="str">
        <f>IFERROR(IF(R65&lt;&gt;0,R65/$R$121,"")*100,"")</f>
        <v/>
      </c>
      <c r="U65" s="63" t="str">
        <f>IF(OR(Q65&lt;&gt;0,R65&lt;&gt;0),Q65-R65,"")</f>
        <v/>
      </c>
      <c r="V65" s="62" t="str">
        <f>IFERROR(ABS(IF(U65&lt;&gt;0,IF(R65&lt;&gt;0,TRUNC(U65/R65*100,2),IF(Q65&lt;&gt;0,TRUNC(U65/Q65*100,2),"")),"")),"")</f>
        <v/>
      </c>
      <c r="W65" s="119" t="str">
        <f>IF(AND(AE$121=0,AF$121=0),"",IF(OR(N(S65)&lt;&gt;0,N(T65)&lt;&gt;0),IF(OR(N(S65)&gt;4,N(T65)&gt;4),IF(N(V65)&gt;14,"SI","NO"),"NO"),"NO"))</f>
        <v/>
      </c>
      <c r="X65" s="61"/>
      <c r="Y65" s="61"/>
      <c r="Z65" s="62" t="str">
        <f>IFERROR(IF(X65&lt;&gt;0,X65/$X$121,"")*100,"")</f>
        <v/>
      </c>
      <c r="AA65" s="62" t="str">
        <f>IFERROR(IF(Y65&lt;&gt;0,Y65/$Y$121,"")*100,"")</f>
        <v/>
      </c>
      <c r="AB65" s="63" t="str">
        <f>IF(OR(X65&lt;&gt;0,Y65&lt;&gt;0),X65-Y65,"")</f>
        <v/>
      </c>
      <c r="AC65" s="62" t="str">
        <f>IFERROR(ABS(IF(AB65&lt;&gt;0,IF(Y65&lt;&gt;0,TRUNC(AB65/Y65*100,2),IF(X65&lt;&gt;0,TRUNC(AB65/X65*100,2),"")),"")),"")</f>
        <v/>
      </c>
      <c r="AD65" s="119" t="str">
        <f>IF(AND(AE$121=0,AF$121=0),"",IF(OR(N(Z65)&lt;&gt;0,N(AA65)&lt;&gt;0),IF(OR(N(Z65)&gt;4,N(AA65)&gt;4),IF(N(AC65)&gt;14,"SI","NO"),"NO"),"NO"))</f>
        <v/>
      </c>
      <c r="AE65" s="61">
        <f>ROUND(C65+J65+Q65+X65,0)</f>
        <v>0</v>
      </c>
      <c r="AF65" s="61">
        <f>ROUND(D65+K65+R65+Y65,0)</f>
        <v>0</v>
      </c>
      <c r="AG65" s="61"/>
      <c r="AH65" s="61"/>
      <c r="AI65" s="61">
        <f>AE65-AG65</f>
        <v>0</v>
      </c>
      <c r="AJ65" s="61">
        <f>AF65-AH65</f>
        <v>0</v>
      </c>
      <c r="AK65" s="69"/>
    </row>
    <row r="66" spans="1:37" x14ac:dyDescent="0.3">
      <c r="A66" s="162"/>
      <c r="B66" s="153"/>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69"/>
    </row>
    <row r="67" spans="1:37" x14ac:dyDescent="0.3">
      <c r="A67" s="162" t="s">
        <v>1428</v>
      </c>
      <c r="B67" s="153" t="s">
        <v>1429</v>
      </c>
      <c r="C67" s="54">
        <f>ROUND(SUM(C65:C66),0)</f>
        <v>0</v>
      </c>
      <c r="D67" s="54">
        <f>ROUND(SUM(D65:D66),0)</f>
        <v>0</v>
      </c>
      <c r="E67" s="29"/>
      <c r="F67" s="29"/>
      <c r="G67" s="29"/>
      <c r="H67" s="29"/>
      <c r="I67" s="29"/>
      <c r="J67" s="54">
        <f>ROUND(SUM(J65:J66),0)</f>
        <v>0</v>
      </c>
      <c r="K67" s="54">
        <f>ROUND(SUM(K65:K66),0)</f>
        <v>0</v>
      </c>
      <c r="L67" s="29"/>
      <c r="M67" s="29"/>
      <c r="N67" s="29"/>
      <c r="O67" s="29"/>
      <c r="P67" s="29"/>
      <c r="Q67" s="54">
        <f>ROUND(SUM(Q65:Q66),0)</f>
        <v>0</v>
      </c>
      <c r="R67" s="54">
        <f>ROUND(SUM(R65:R66),0)</f>
        <v>0</v>
      </c>
      <c r="S67" s="29"/>
      <c r="T67" s="29"/>
      <c r="U67" s="29"/>
      <c r="V67" s="29"/>
      <c r="W67" s="29"/>
      <c r="X67" s="54">
        <f>ROUND(SUM(X65:X66),0)</f>
        <v>0</v>
      </c>
      <c r="Y67" s="54">
        <f>ROUND(SUM(Y65:Y66),0)</f>
        <v>0</v>
      </c>
      <c r="Z67" s="29"/>
      <c r="AA67" s="29"/>
      <c r="AB67" s="29"/>
      <c r="AC67" s="29"/>
      <c r="AD67" s="29"/>
      <c r="AE67" s="54">
        <f t="shared" ref="AE67:AJ67" si="38">ROUND(SUM(AE65:AE66),0)</f>
        <v>0</v>
      </c>
      <c r="AF67" s="54">
        <f t="shared" si="38"/>
        <v>0</v>
      </c>
      <c r="AG67" s="54">
        <f t="shared" si="38"/>
        <v>0</v>
      </c>
      <c r="AH67" s="54">
        <f t="shared" si="38"/>
        <v>0</v>
      </c>
      <c r="AI67" s="54">
        <f t="shared" si="38"/>
        <v>0</v>
      </c>
      <c r="AJ67" s="54">
        <f t="shared" si="38"/>
        <v>0</v>
      </c>
      <c r="AK67" s="69"/>
    </row>
    <row r="68" spans="1:37" x14ac:dyDescent="0.3">
      <c r="A68" s="162"/>
      <c r="B68" s="153"/>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69"/>
    </row>
    <row r="69" spans="1:37" x14ac:dyDescent="0.3">
      <c r="A69" s="162"/>
      <c r="B69" s="153" t="s">
        <v>5407</v>
      </c>
      <c r="C69" s="51"/>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69"/>
    </row>
    <row r="70" spans="1:37" x14ac:dyDescent="0.3">
      <c r="A70" s="162"/>
      <c r="B70" s="153"/>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20"/>
      <c r="AG70" s="20"/>
      <c r="AH70" s="18"/>
      <c r="AI70" s="18"/>
      <c r="AJ70" s="18"/>
      <c r="AK70" s="69"/>
    </row>
    <row r="71" spans="1:37" x14ac:dyDescent="0.3">
      <c r="A71" s="162" t="s">
        <v>1430</v>
      </c>
      <c r="B71" s="153" t="s">
        <v>1431</v>
      </c>
      <c r="C71" s="116"/>
      <c r="D71" s="116"/>
      <c r="E71" s="55" t="str">
        <f t="shared" ref="E71:E112" si="39">IFERROR(TRUNC(IF(C71&lt;&gt;0,C71/$C$121,"")*100,2),"")</f>
        <v/>
      </c>
      <c r="F71" s="55" t="str">
        <f t="shared" ref="F71:F112" si="40">IFERROR(TRUNC(IF(D71&lt;&gt;0,D71/$D$121,"")*100,2),"")</f>
        <v/>
      </c>
      <c r="G71" s="56" t="str">
        <f t="shared" ref="G71:G112" si="41">IF(OR(C71&lt;&gt;0,D71&lt;&gt;0),C71-D71,"")</f>
        <v/>
      </c>
      <c r="H71" s="55" t="str">
        <f t="shared" ref="H71:H112" si="42">IFERROR(ABS(IF(G71&lt;&gt;0,IF(D71&lt;&gt;0,TRUNC(G71/D71*100,2),IF(C71&lt;&gt;0,TRUNC(G71/C71*100,2),"")),"")),"")</f>
        <v/>
      </c>
      <c r="I71" s="108" t="str">
        <f t="shared" ref="I71:I112" si="43">IF(AND(AE$121=0,AF$121=0),"",IF(OR(N(E71)&lt;&gt;0,N(F71)&lt;&gt;0),IF(OR(N(E71)&gt;4,N(F71)&gt;4),IF(N(H71)&gt;14,"SI","NO"),"NO"),"NO"))</f>
        <v/>
      </c>
      <c r="J71" s="116"/>
      <c r="K71" s="116"/>
      <c r="L71" s="55" t="str">
        <f t="shared" ref="L71:L112" si="44">IFERROR(TRUNC(IF(J71&lt;&gt;0,J71/$J$121,"")*100,2),"")</f>
        <v/>
      </c>
      <c r="M71" s="55" t="str">
        <f t="shared" ref="M71:M112" si="45">IFERROR(TRUNC(IF(K71&lt;&gt;0,K71/$K$121,"")*100,2),"")</f>
        <v/>
      </c>
      <c r="N71" s="56" t="str">
        <f t="shared" ref="N71:N112" si="46">IF(OR(J71&lt;&gt;0,K71&lt;&gt;0),J71-K71,"")</f>
        <v/>
      </c>
      <c r="O71" s="55" t="str">
        <f t="shared" ref="O71:O112" si="47">IFERROR(ABS(IF(N71&lt;&gt;0,IF(K71&lt;&gt;0,TRUNC(N71/K71*100,2),IF(J71&lt;&gt;0,TRUNC(N71/J71*100,2),"")),"")),"")</f>
        <v/>
      </c>
      <c r="P71" s="108" t="str">
        <f t="shared" ref="P71:P112" si="48">IF(AND(AE$121=0,AF$121=0),"",IF(OR(N(L71)&lt;&gt;0,N(M71)&lt;&gt;0),IF(OR(N(L71)&gt;4,N(M71)&gt;4),IF(N(O71)&gt;14,"SI","NO"),"NO"),"NO"))</f>
        <v/>
      </c>
      <c r="Q71" s="116"/>
      <c r="R71" s="116"/>
      <c r="S71" s="55" t="str">
        <f t="shared" ref="S71:S112" si="49">IFERROR(TRUNC(IF(Q71&lt;&gt;0,Q71/$Q$121,"")*100,2),"")</f>
        <v/>
      </c>
      <c r="T71" s="55" t="str">
        <f t="shared" ref="T71:T112" si="50">IFERROR(TRUNC(IF(R71&lt;&gt;0,R71/$R$121,"")*100,2),"")</f>
        <v/>
      </c>
      <c r="U71" s="56" t="str">
        <f t="shared" ref="U71:U112" si="51">IF(OR(Q71&lt;&gt;0,R71&lt;&gt;0),Q71-R71,"")</f>
        <v/>
      </c>
      <c r="V71" s="55" t="str">
        <f t="shared" ref="V71:V112" si="52">IFERROR(ABS(IF(U71&lt;&gt;0,IF(R71&lt;&gt;0,TRUNC(U71/R71*100,2),IF(Q71&lt;&gt;0,TRUNC(U71/Q71*100,2),"")),"")),"")</f>
        <v/>
      </c>
      <c r="W71" s="108" t="str">
        <f t="shared" ref="W71:W112" si="53">IF(AND(AE$121=0,AF$121=0),"",IF(OR(N(S71)&lt;&gt;0,N(T71)&lt;&gt;0),IF(OR(N(S71)&gt;4,N(T71)&gt;4),IF(N(V71)&gt;14,"SI","NO"),"NO"),"NO"))</f>
        <v/>
      </c>
      <c r="X71" s="116"/>
      <c r="Y71" s="116"/>
      <c r="Z71" s="55" t="str">
        <f t="shared" ref="Z71:Z112" si="54">IFERROR(TRUNC(IF(X71&lt;&gt;0,X71/$X$121,"")*100,2),"")</f>
        <v/>
      </c>
      <c r="AA71" s="55" t="str">
        <f t="shared" ref="AA71:AA112" si="55">IFERROR(TRUNC(IF(Y71&lt;&gt;0,Y71/$Y$121,"")*100,2),"")</f>
        <v/>
      </c>
      <c r="AB71" s="56" t="str">
        <f t="shared" ref="AB71:AB112" si="56">IF(OR(X71&lt;&gt;0,Y71&lt;&gt;0),X71-Y71,"")</f>
        <v/>
      </c>
      <c r="AC71" s="55" t="str">
        <f t="shared" ref="AC71:AC112" si="57">IFERROR(ABS(IF(AB71&lt;&gt;0,IF(Y71&lt;&gt;0,TRUNC(AB71/Y71*100,2),IF(X71&lt;&gt;0,TRUNC(AB71/X71*100,2),"")),"")),"")</f>
        <v/>
      </c>
      <c r="AD71" s="108" t="str">
        <f t="shared" ref="AD71:AD112" si="58">IF(AND(AE$121=0,AF$121=0),"",IF(OR(N(Z71)&lt;&gt;0,N(AA71)&lt;&gt;0),IF(OR(N(Z71)&gt;4,N(AA71)&gt;4),IF(N(AC71)&gt;14,"SI","NO"),"NO"),"NO"))</f>
        <v/>
      </c>
      <c r="AE71" s="116">
        <f t="shared" ref="AE71:AE112" si="59">ROUND(C71+J71+Q71+X71,0)</f>
        <v>0</v>
      </c>
      <c r="AF71" s="117">
        <f t="shared" ref="AF71:AF112" si="60">ROUND(D71+K71+R71+Y71,0)</f>
        <v>0</v>
      </c>
      <c r="AG71" s="117">
        <f t="shared" ref="AG71:AG83" si="61">AE71-AI71</f>
        <v>0</v>
      </c>
      <c r="AH71" s="116">
        <f t="shared" ref="AH71:AH83" si="62">AF71-AJ71</f>
        <v>0</v>
      </c>
      <c r="AI71" s="116"/>
      <c r="AJ71" s="116"/>
      <c r="AK71" s="69"/>
    </row>
    <row r="72" spans="1:37" x14ac:dyDescent="0.3">
      <c r="A72" s="162" t="s">
        <v>1432</v>
      </c>
      <c r="B72" s="153" t="s">
        <v>1433</v>
      </c>
      <c r="C72" s="116"/>
      <c r="D72" s="116"/>
      <c r="E72" s="55" t="str">
        <f t="shared" si="39"/>
        <v/>
      </c>
      <c r="F72" s="55" t="str">
        <f t="shared" si="40"/>
        <v/>
      </c>
      <c r="G72" s="56" t="str">
        <f t="shared" si="41"/>
        <v/>
      </c>
      <c r="H72" s="55" t="str">
        <f t="shared" si="42"/>
        <v/>
      </c>
      <c r="I72" s="108" t="str">
        <f t="shared" si="43"/>
        <v/>
      </c>
      <c r="J72" s="116"/>
      <c r="K72" s="116"/>
      <c r="L72" s="55" t="str">
        <f t="shared" si="44"/>
        <v/>
      </c>
      <c r="M72" s="55" t="str">
        <f t="shared" si="45"/>
        <v/>
      </c>
      <c r="N72" s="56" t="str">
        <f t="shared" si="46"/>
        <v/>
      </c>
      <c r="O72" s="55" t="str">
        <f t="shared" si="47"/>
        <v/>
      </c>
      <c r="P72" s="108" t="str">
        <f t="shared" si="48"/>
        <v/>
      </c>
      <c r="Q72" s="116"/>
      <c r="R72" s="116"/>
      <c r="S72" s="55" t="str">
        <f t="shared" si="49"/>
        <v/>
      </c>
      <c r="T72" s="55" t="str">
        <f t="shared" si="50"/>
        <v/>
      </c>
      <c r="U72" s="56" t="str">
        <f t="shared" si="51"/>
        <v/>
      </c>
      <c r="V72" s="55" t="str">
        <f t="shared" si="52"/>
        <v/>
      </c>
      <c r="W72" s="108" t="str">
        <f t="shared" si="53"/>
        <v/>
      </c>
      <c r="X72" s="116"/>
      <c r="Y72" s="116"/>
      <c r="Z72" s="55" t="str">
        <f t="shared" si="54"/>
        <v/>
      </c>
      <c r="AA72" s="55" t="str">
        <f t="shared" si="55"/>
        <v/>
      </c>
      <c r="AB72" s="56" t="str">
        <f t="shared" si="56"/>
        <v/>
      </c>
      <c r="AC72" s="55" t="str">
        <f t="shared" si="57"/>
        <v/>
      </c>
      <c r="AD72" s="108" t="str">
        <f t="shared" si="58"/>
        <v/>
      </c>
      <c r="AE72" s="116">
        <f t="shared" si="59"/>
        <v>0</v>
      </c>
      <c r="AF72" s="117">
        <f t="shared" si="60"/>
        <v>0</v>
      </c>
      <c r="AG72" s="117">
        <f t="shared" si="61"/>
        <v>0</v>
      </c>
      <c r="AH72" s="116">
        <f t="shared" si="62"/>
        <v>0</v>
      </c>
      <c r="AI72" s="116"/>
      <c r="AJ72" s="116"/>
      <c r="AK72" s="69"/>
    </row>
    <row r="73" spans="1:37" x14ac:dyDescent="0.3">
      <c r="A73" s="162" t="s">
        <v>1434</v>
      </c>
      <c r="B73" s="153" t="s">
        <v>1435</v>
      </c>
      <c r="C73" s="116"/>
      <c r="D73" s="116"/>
      <c r="E73" s="55" t="str">
        <f t="shared" si="39"/>
        <v/>
      </c>
      <c r="F73" s="55" t="str">
        <f t="shared" si="40"/>
        <v/>
      </c>
      <c r="G73" s="56" t="str">
        <f t="shared" si="41"/>
        <v/>
      </c>
      <c r="H73" s="55" t="str">
        <f t="shared" si="42"/>
        <v/>
      </c>
      <c r="I73" s="108" t="str">
        <f t="shared" si="43"/>
        <v/>
      </c>
      <c r="J73" s="116"/>
      <c r="K73" s="116"/>
      <c r="L73" s="55" t="str">
        <f t="shared" si="44"/>
        <v/>
      </c>
      <c r="M73" s="55" t="str">
        <f t="shared" si="45"/>
        <v/>
      </c>
      <c r="N73" s="56" t="str">
        <f t="shared" si="46"/>
        <v/>
      </c>
      <c r="O73" s="55" t="str">
        <f t="shared" si="47"/>
        <v/>
      </c>
      <c r="P73" s="108" t="str">
        <f t="shared" si="48"/>
        <v/>
      </c>
      <c r="Q73" s="116"/>
      <c r="R73" s="116"/>
      <c r="S73" s="55" t="str">
        <f t="shared" si="49"/>
        <v/>
      </c>
      <c r="T73" s="55" t="str">
        <f t="shared" si="50"/>
        <v/>
      </c>
      <c r="U73" s="56" t="str">
        <f t="shared" si="51"/>
        <v/>
      </c>
      <c r="V73" s="55" t="str">
        <f t="shared" si="52"/>
        <v/>
      </c>
      <c r="W73" s="108" t="str">
        <f t="shared" si="53"/>
        <v/>
      </c>
      <c r="X73" s="116"/>
      <c r="Y73" s="116"/>
      <c r="Z73" s="55" t="str">
        <f t="shared" si="54"/>
        <v/>
      </c>
      <c r="AA73" s="55" t="str">
        <f t="shared" si="55"/>
        <v/>
      </c>
      <c r="AB73" s="56" t="str">
        <f t="shared" si="56"/>
        <v/>
      </c>
      <c r="AC73" s="55" t="str">
        <f t="shared" si="57"/>
        <v/>
      </c>
      <c r="AD73" s="108" t="str">
        <f t="shared" si="58"/>
        <v/>
      </c>
      <c r="AE73" s="116">
        <f t="shared" si="59"/>
        <v>0</v>
      </c>
      <c r="AF73" s="117">
        <f t="shared" si="60"/>
        <v>0</v>
      </c>
      <c r="AG73" s="117">
        <f t="shared" si="61"/>
        <v>0</v>
      </c>
      <c r="AH73" s="116">
        <f t="shared" si="62"/>
        <v>0</v>
      </c>
      <c r="AI73" s="116"/>
      <c r="AJ73" s="116"/>
      <c r="AK73" s="69"/>
    </row>
    <row r="74" spans="1:37" x14ac:dyDescent="0.3">
      <c r="A74" s="162" t="s">
        <v>1436</v>
      </c>
      <c r="B74" s="153" t="s">
        <v>1437</v>
      </c>
      <c r="C74" s="116"/>
      <c r="D74" s="116"/>
      <c r="E74" s="55" t="str">
        <f t="shared" si="39"/>
        <v/>
      </c>
      <c r="F74" s="55" t="str">
        <f t="shared" si="40"/>
        <v/>
      </c>
      <c r="G74" s="56" t="str">
        <f t="shared" si="41"/>
        <v/>
      </c>
      <c r="H74" s="55" t="str">
        <f t="shared" si="42"/>
        <v/>
      </c>
      <c r="I74" s="108" t="str">
        <f t="shared" si="43"/>
        <v/>
      </c>
      <c r="J74" s="116"/>
      <c r="K74" s="116"/>
      <c r="L74" s="55" t="str">
        <f t="shared" si="44"/>
        <v/>
      </c>
      <c r="M74" s="55" t="str">
        <f t="shared" si="45"/>
        <v/>
      </c>
      <c r="N74" s="56" t="str">
        <f t="shared" si="46"/>
        <v/>
      </c>
      <c r="O74" s="55" t="str">
        <f t="shared" si="47"/>
        <v/>
      </c>
      <c r="P74" s="108" t="str">
        <f t="shared" si="48"/>
        <v/>
      </c>
      <c r="Q74" s="116"/>
      <c r="R74" s="116"/>
      <c r="S74" s="55" t="str">
        <f t="shared" si="49"/>
        <v/>
      </c>
      <c r="T74" s="55" t="str">
        <f t="shared" si="50"/>
        <v/>
      </c>
      <c r="U74" s="56" t="str">
        <f t="shared" si="51"/>
        <v/>
      </c>
      <c r="V74" s="55" t="str">
        <f t="shared" si="52"/>
        <v/>
      </c>
      <c r="W74" s="108" t="str">
        <f t="shared" si="53"/>
        <v/>
      </c>
      <c r="X74" s="116"/>
      <c r="Y74" s="116"/>
      <c r="Z74" s="55" t="str">
        <f t="shared" si="54"/>
        <v/>
      </c>
      <c r="AA74" s="55" t="str">
        <f t="shared" si="55"/>
        <v/>
      </c>
      <c r="AB74" s="56" t="str">
        <f t="shared" si="56"/>
        <v/>
      </c>
      <c r="AC74" s="55" t="str">
        <f t="shared" si="57"/>
        <v/>
      </c>
      <c r="AD74" s="108" t="str">
        <f t="shared" si="58"/>
        <v/>
      </c>
      <c r="AE74" s="116">
        <f t="shared" si="59"/>
        <v>0</v>
      </c>
      <c r="AF74" s="117">
        <f t="shared" si="60"/>
        <v>0</v>
      </c>
      <c r="AG74" s="117">
        <f t="shared" si="61"/>
        <v>0</v>
      </c>
      <c r="AH74" s="116">
        <f t="shared" si="62"/>
        <v>0</v>
      </c>
      <c r="AI74" s="116"/>
      <c r="AJ74" s="116"/>
      <c r="AK74" s="69"/>
    </row>
    <row r="75" spans="1:37" x14ac:dyDescent="0.3">
      <c r="A75" s="162" t="s">
        <v>1438</v>
      </c>
      <c r="B75" s="153" t="s">
        <v>1439</v>
      </c>
      <c r="C75" s="116"/>
      <c r="D75" s="116"/>
      <c r="E75" s="55" t="str">
        <f t="shared" si="39"/>
        <v/>
      </c>
      <c r="F75" s="55" t="str">
        <f t="shared" si="40"/>
        <v/>
      </c>
      <c r="G75" s="56" t="str">
        <f t="shared" si="41"/>
        <v/>
      </c>
      <c r="H75" s="55" t="str">
        <f t="shared" si="42"/>
        <v/>
      </c>
      <c r="I75" s="108" t="str">
        <f t="shared" si="43"/>
        <v/>
      </c>
      <c r="J75" s="116"/>
      <c r="K75" s="116"/>
      <c r="L75" s="55" t="str">
        <f t="shared" si="44"/>
        <v/>
      </c>
      <c r="M75" s="55" t="str">
        <f t="shared" si="45"/>
        <v/>
      </c>
      <c r="N75" s="56" t="str">
        <f t="shared" si="46"/>
        <v/>
      </c>
      <c r="O75" s="55" t="str">
        <f t="shared" si="47"/>
        <v/>
      </c>
      <c r="P75" s="108" t="str">
        <f t="shared" si="48"/>
        <v/>
      </c>
      <c r="Q75" s="116"/>
      <c r="R75" s="116"/>
      <c r="S75" s="55" t="str">
        <f t="shared" si="49"/>
        <v/>
      </c>
      <c r="T75" s="55" t="str">
        <f t="shared" si="50"/>
        <v/>
      </c>
      <c r="U75" s="56" t="str">
        <f t="shared" si="51"/>
        <v/>
      </c>
      <c r="V75" s="55" t="str">
        <f t="shared" si="52"/>
        <v/>
      </c>
      <c r="W75" s="108" t="str">
        <f t="shared" si="53"/>
        <v/>
      </c>
      <c r="X75" s="116"/>
      <c r="Y75" s="116"/>
      <c r="Z75" s="55" t="str">
        <f t="shared" si="54"/>
        <v/>
      </c>
      <c r="AA75" s="55" t="str">
        <f t="shared" si="55"/>
        <v/>
      </c>
      <c r="AB75" s="56" t="str">
        <f t="shared" si="56"/>
        <v/>
      </c>
      <c r="AC75" s="55" t="str">
        <f t="shared" si="57"/>
        <v/>
      </c>
      <c r="AD75" s="108" t="str">
        <f t="shared" si="58"/>
        <v/>
      </c>
      <c r="AE75" s="116">
        <f t="shared" si="59"/>
        <v>0</v>
      </c>
      <c r="AF75" s="117">
        <f t="shared" si="60"/>
        <v>0</v>
      </c>
      <c r="AG75" s="117">
        <f t="shared" si="61"/>
        <v>0</v>
      </c>
      <c r="AH75" s="116">
        <f t="shared" si="62"/>
        <v>0</v>
      </c>
      <c r="AI75" s="116"/>
      <c r="AJ75" s="116"/>
      <c r="AK75" s="69"/>
    </row>
    <row r="76" spans="1:37" x14ac:dyDescent="0.3">
      <c r="A76" s="162" t="s">
        <v>1440</v>
      </c>
      <c r="B76" s="153" t="s">
        <v>1441</v>
      </c>
      <c r="C76" s="116"/>
      <c r="D76" s="116"/>
      <c r="E76" s="55" t="str">
        <f t="shared" si="39"/>
        <v/>
      </c>
      <c r="F76" s="55" t="str">
        <f t="shared" si="40"/>
        <v/>
      </c>
      <c r="G76" s="56" t="str">
        <f t="shared" si="41"/>
        <v/>
      </c>
      <c r="H76" s="55" t="str">
        <f t="shared" si="42"/>
        <v/>
      </c>
      <c r="I76" s="108" t="str">
        <f t="shared" si="43"/>
        <v/>
      </c>
      <c r="J76" s="116"/>
      <c r="K76" s="116"/>
      <c r="L76" s="55" t="str">
        <f t="shared" si="44"/>
        <v/>
      </c>
      <c r="M76" s="55" t="str">
        <f t="shared" si="45"/>
        <v/>
      </c>
      <c r="N76" s="56" t="str">
        <f t="shared" si="46"/>
        <v/>
      </c>
      <c r="O76" s="55" t="str">
        <f t="shared" si="47"/>
        <v/>
      </c>
      <c r="P76" s="108" t="str">
        <f t="shared" si="48"/>
        <v/>
      </c>
      <c r="Q76" s="116"/>
      <c r="R76" s="116"/>
      <c r="S76" s="55" t="str">
        <f t="shared" si="49"/>
        <v/>
      </c>
      <c r="T76" s="55" t="str">
        <f t="shared" si="50"/>
        <v/>
      </c>
      <c r="U76" s="56" t="str">
        <f t="shared" si="51"/>
        <v/>
      </c>
      <c r="V76" s="55" t="str">
        <f t="shared" si="52"/>
        <v/>
      </c>
      <c r="W76" s="108" t="str">
        <f t="shared" si="53"/>
        <v/>
      </c>
      <c r="X76" s="116"/>
      <c r="Y76" s="116"/>
      <c r="Z76" s="55" t="str">
        <f t="shared" si="54"/>
        <v/>
      </c>
      <c r="AA76" s="55" t="str">
        <f t="shared" si="55"/>
        <v/>
      </c>
      <c r="AB76" s="56" t="str">
        <f t="shared" si="56"/>
        <v/>
      </c>
      <c r="AC76" s="55" t="str">
        <f t="shared" si="57"/>
        <v/>
      </c>
      <c r="AD76" s="108" t="str">
        <f t="shared" si="58"/>
        <v/>
      </c>
      <c r="AE76" s="116">
        <f t="shared" si="59"/>
        <v>0</v>
      </c>
      <c r="AF76" s="117">
        <f t="shared" si="60"/>
        <v>0</v>
      </c>
      <c r="AG76" s="117">
        <f t="shared" si="61"/>
        <v>0</v>
      </c>
      <c r="AH76" s="116">
        <f t="shared" si="62"/>
        <v>0</v>
      </c>
      <c r="AI76" s="116"/>
      <c r="AJ76" s="116"/>
      <c r="AK76" s="69"/>
    </row>
    <row r="77" spans="1:37" x14ac:dyDescent="0.3">
      <c r="A77" s="162" t="s">
        <v>1442</v>
      </c>
      <c r="B77" s="153" t="s">
        <v>1443</v>
      </c>
      <c r="C77" s="116"/>
      <c r="D77" s="116"/>
      <c r="E77" s="55" t="str">
        <f t="shared" si="39"/>
        <v/>
      </c>
      <c r="F77" s="55" t="str">
        <f t="shared" si="40"/>
        <v/>
      </c>
      <c r="G77" s="56" t="str">
        <f t="shared" si="41"/>
        <v/>
      </c>
      <c r="H77" s="55" t="str">
        <f t="shared" si="42"/>
        <v/>
      </c>
      <c r="I77" s="108" t="str">
        <f t="shared" si="43"/>
        <v/>
      </c>
      <c r="J77" s="116"/>
      <c r="K77" s="116"/>
      <c r="L77" s="55" t="str">
        <f t="shared" si="44"/>
        <v/>
      </c>
      <c r="M77" s="55" t="str">
        <f t="shared" si="45"/>
        <v/>
      </c>
      <c r="N77" s="56" t="str">
        <f t="shared" si="46"/>
        <v/>
      </c>
      <c r="O77" s="55" t="str">
        <f t="shared" si="47"/>
        <v/>
      </c>
      <c r="P77" s="108" t="str">
        <f t="shared" si="48"/>
        <v/>
      </c>
      <c r="Q77" s="116"/>
      <c r="R77" s="116"/>
      <c r="S77" s="55" t="str">
        <f t="shared" si="49"/>
        <v/>
      </c>
      <c r="T77" s="55" t="str">
        <f t="shared" si="50"/>
        <v/>
      </c>
      <c r="U77" s="56" t="str">
        <f t="shared" si="51"/>
        <v/>
      </c>
      <c r="V77" s="55" t="str">
        <f t="shared" si="52"/>
        <v/>
      </c>
      <c r="W77" s="108" t="str">
        <f t="shared" si="53"/>
        <v/>
      </c>
      <c r="X77" s="116"/>
      <c r="Y77" s="116"/>
      <c r="Z77" s="55" t="str">
        <f t="shared" si="54"/>
        <v/>
      </c>
      <c r="AA77" s="55" t="str">
        <f t="shared" si="55"/>
        <v/>
      </c>
      <c r="AB77" s="56" t="str">
        <f t="shared" si="56"/>
        <v/>
      </c>
      <c r="AC77" s="55" t="str">
        <f t="shared" si="57"/>
        <v/>
      </c>
      <c r="AD77" s="108" t="str">
        <f t="shared" si="58"/>
        <v/>
      </c>
      <c r="AE77" s="116">
        <f t="shared" si="59"/>
        <v>0</v>
      </c>
      <c r="AF77" s="117">
        <f t="shared" si="60"/>
        <v>0</v>
      </c>
      <c r="AG77" s="117">
        <f t="shared" si="61"/>
        <v>0</v>
      </c>
      <c r="AH77" s="116">
        <f t="shared" si="62"/>
        <v>0</v>
      </c>
      <c r="AI77" s="116"/>
      <c r="AJ77" s="116"/>
      <c r="AK77" s="69"/>
    </row>
    <row r="78" spans="1:37" x14ac:dyDescent="0.3">
      <c r="A78" s="162" t="s">
        <v>1444</v>
      </c>
      <c r="B78" s="153" t="s">
        <v>1445</v>
      </c>
      <c r="C78" s="116"/>
      <c r="D78" s="116"/>
      <c r="E78" s="55" t="str">
        <f t="shared" si="39"/>
        <v/>
      </c>
      <c r="F78" s="55" t="str">
        <f t="shared" si="40"/>
        <v/>
      </c>
      <c r="G78" s="56" t="str">
        <f t="shared" si="41"/>
        <v/>
      </c>
      <c r="H78" s="55" t="str">
        <f t="shared" si="42"/>
        <v/>
      </c>
      <c r="I78" s="108" t="str">
        <f t="shared" si="43"/>
        <v/>
      </c>
      <c r="J78" s="116"/>
      <c r="K78" s="116"/>
      <c r="L78" s="55" t="str">
        <f t="shared" si="44"/>
        <v/>
      </c>
      <c r="M78" s="55" t="str">
        <f t="shared" si="45"/>
        <v/>
      </c>
      <c r="N78" s="56" t="str">
        <f t="shared" si="46"/>
        <v/>
      </c>
      <c r="O78" s="55" t="str">
        <f t="shared" si="47"/>
        <v/>
      </c>
      <c r="P78" s="108" t="str">
        <f t="shared" si="48"/>
        <v/>
      </c>
      <c r="Q78" s="116"/>
      <c r="R78" s="116"/>
      <c r="S78" s="55" t="str">
        <f t="shared" si="49"/>
        <v/>
      </c>
      <c r="T78" s="55" t="str">
        <f t="shared" si="50"/>
        <v/>
      </c>
      <c r="U78" s="56" t="str">
        <f t="shared" si="51"/>
        <v/>
      </c>
      <c r="V78" s="55" t="str">
        <f t="shared" si="52"/>
        <v/>
      </c>
      <c r="W78" s="108" t="str">
        <f t="shared" si="53"/>
        <v/>
      </c>
      <c r="X78" s="116"/>
      <c r="Y78" s="116"/>
      <c r="Z78" s="55" t="str">
        <f t="shared" si="54"/>
        <v/>
      </c>
      <c r="AA78" s="55" t="str">
        <f t="shared" si="55"/>
        <v/>
      </c>
      <c r="AB78" s="56" t="str">
        <f t="shared" si="56"/>
        <v/>
      </c>
      <c r="AC78" s="55" t="str">
        <f t="shared" si="57"/>
        <v/>
      </c>
      <c r="AD78" s="108" t="str">
        <f t="shared" si="58"/>
        <v/>
      </c>
      <c r="AE78" s="116">
        <f t="shared" si="59"/>
        <v>0</v>
      </c>
      <c r="AF78" s="117">
        <f t="shared" si="60"/>
        <v>0</v>
      </c>
      <c r="AG78" s="117">
        <f t="shared" si="61"/>
        <v>0</v>
      </c>
      <c r="AH78" s="116">
        <f t="shared" si="62"/>
        <v>0</v>
      </c>
      <c r="AI78" s="116"/>
      <c r="AJ78" s="116"/>
      <c r="AK78" s="69"/>
    </row>
    <row r="79" spans="1:37" x14ac:dyDescent="0.3">
      <c r="A79" s="162" t="s">
        <v>1446</v>
      </c>
      <c r="B79" s="153" t="s">
        <v>1447</v>
      </c>
      <c r="C79" s="116"/>
      <c r="D79" s="116"/>
      <c r="E79" s="55" t="str">
        <f t="shared" si="39"/>
        <v/>
      </c>
      <c r="F79" s="55" t="str">
        <f t="shared" si="40"/>
        <v/>
      </c>
      <c r="G79" s="56" t="str">
        <f t="shared" si="41"/>
        <v/>
      </c>
      <c r="H79" s="55" t="str">
        <f t="shared" si="42"/>
        <v/>
      </c>
      <c r="I79" s="108" t="str">
        <f t="shared" si="43"/>
        <v/>
      </c>
      <c r="J79" s="116"/>
      <c r="K79" s="116"/>
      <c r="L79" s="55" t="str">
        <f t="shared" si="44"/>
        <v/>
      </c>
      <c r="M79" s="55" t="str">
        <f t="shared" si="45"/>
        <v/>
      </c>
      <c r="N79" s="56" t="str">
        <f t="shared" si="46"/>
        <v/>
      </c>
      <c r="O79" s="55" t="str">
        <f t="shared" si="47"/>
        <v/>
      </c>
      <c r="P79" s="108" t="str">
        <f t="shared" si="48"/>
        <v/>
      </c>
      <c r="Q79" s="116"/>
      <c r="R79" s="116"/>
      <c r="S79" s="55" t="str">
        <f t="shared" si="49"/>
        <v/>
      </c>
      <c r="T79" s="55" t="str">
        <f t="shared" si="50"/>
        <v/>
      </c>
      <c r="U79" s="56" t="str">
        <f t="shared" si="51"/>
        <v/>
      </c>
      <c r="V79" s="55" t="str">
        <f t="shared" si="52"/>
        <v/>
      </c>
      <c r="W79" s="108" t="str">
        <f t="shared" si="53"/>
        <v/>
      </c>
      <c r="X79" s="116"/>
      <c r="Y79" s="116"/>
      <c r="Z79" s="55" t="str">
        <f t="shared" si="54"/>
        <v/>
      </c>
      <c r="AA79" s="55" t="str">
        <f t="shared" si="55"/>
        <v/>
      </c>
      <c r="AB79" s="56" t="str">
        <f t="shared" si="56"/>
        <v/>
      </c>
      <c r="AC79" s="55" t="str">
        <f t="shared" si="57"/>
        <v/>
      </c>
      <c r="AD79" s="108" t="str">
        <f t="shared" si="58"/>
        <v/>
      </c>
      <c r="AE79" s="116">
        <f t="shared" si="59"/>
        <v>0</v>
      </c>
      <c r="AF79" s="117">
        <f t="shared" si="60"/>
        <v>0</v>
      </c>
      <c r="AG79" s="117">
        <f t="shared" si="61"/>
        <v>0</v>
      </c>
      <c r="AH79" s="116">
        <f t="shared" si="62"/>
        <v>0</v>
      </c>
      <c r="AI79" s="116"/>
      <c r="AJ79" s="116"/>
      <c r="AK79" s="69"/>
    </row>
    <row r="80" spans="1:37" x14ac:dyDescent="0.3">
      <c r="A80" s="162" t="s">
        <v>1448</v>
      </c>
      <c r="B80" s="153" t="s">
        <v>1449</v>
      </c>
      <c r="C80" s="116"/>
      <c r="D80" s="116"/>
      <c r="E80" s="55" t="str">
        <f t="shared" si="39"/>
        <v/>
      </c>
      <c r="F80" s="55" t="str">
        <f t="shared" si="40"/>
        <v/>
      </c>
      <c r="G80" s="56" t="str">
        <f t="shared" si="41"/>
        <v/>
      </c>
      <c r="H80" s="55" t="str">
        <f t="shared" si="42"/>
        <v/>
      </c>
      <c r="I80" s="108" t="str">
        <f t="shared" si="43"/>
        <v/>
      </c>
      <c r="J80" s="116"/>
      <c r="K80" s="116"/>
      <c r="L80" s="55" t="str">
        <f t="shared" si="44"/>
        <v/>
      </c>
      <c r="M80" s="55" t="str">
        <f t="shared" si="45"/>
        <v/>
      </c>
      <c r="N80" s="56" t="str">
        <f t="shared" si="46"/>
        <v/>
      </c>
      <c r="O80" s="55" t="str">
        <f t="shared" si="47"/>
        <v/>
      </c>
      <c r="P80" s="108" t="str">
        <f t="shared" si="48"/>
        <v/>
      </c>
      <c r="Q80" s="116"/>
      <c r="R80" s="116"/>
      <c r="S80" s="55" t="str">
        <f t="shared" si="49"/>
        <v/>
      </c>
      <c r="T80" s="55" t="str">
        <f t="shared" si="50"/>
        <v/>
      </c>
      <c r="U80" s="56" t="str">
        <f t="shared" si="51"/>
        <v/>
      </c>
      <c r="V80" s="55" t="str">
        <f t="shared" si="52"/>
        <v/>
      </c>
      <c r="W80" s="108" t="str">
        <f t="shared" si="53"/>
        <v/>
      </c>
      <c r="X80" s="116"/>
      <c r="Y80" s="116"/>
      <c r="Z80" s="55" t="str">
        <f t="shared" si="54"/>
        <v/>
      </c>
      <c r="AA80" s="55" t="str">
        <f t="shared" si="55"/>
        <v/>
      </c>
      <c r="AB80" s="56" t="str">
        <f t="shared" si="56"/>
        <v/>
      </c>
      <c r="AC80" s="55" t="str">
        <f t="shared" si="57"/>
        <v/>
      </c>
      <c r="AD80" s="108" t="str">
        <f t="shared" si="58"/>
        <v/>
      </c>
      <c r="AE80" s="116">
        <f t="shared" si="59"/>
        <v>0</v>
      </c>
      <c r="AF80" s="117">
        <f t="shared" si="60"/>
        <v>0</v>
      </c>
      <c r="AG80" s="117">
        <f t="shared" si="61"/>
        <v>0</v>
      </c>
      <c r="AH80" s="116">
        <f t="shared" si="62"/>
        <v>0</v>
      </c>
      <c r="AI80" s="116"/>
      <c r="AJ80" s="116"/>
      <c r="AK80" s="69"/>
    </row>
    <row r="81" spans="1:37" x14ac:dyDescent="0.3">
      <c r="A81" s="162" t="s">
        <v>1450</v>
      </c>
      <c r="B81" s="153" t="s">
        <v>1451</v>
      </c>
      <c r="C81" s="116"/>
      <c r="D81" s="116"/>
      <c r="E81" s="55" t="str">
        <f t="shared" si="39"/>
        <v/>
      </c>
      <c r="F81" s="55" t="str">
        <f t="shared" si="40"/>
        <v/>
      </c>
      <c r="G81" s="56" t="str">
        <f t="shared" si="41"/>
        <v/>
      </c>
      <c r="H81" s="55" t="str">
        <f t="shared" si="42"/>
        <v/>
      </c>
      <c r="I81" s="108" t="str">
        <f t="shared" si="43"/>
        <v/>
      </c>
      <c r="J81" s="116"/>
      <c r="K81" s="116"/>
      <c r="L81" s="55" t="str">
        <f t="shared" si="44"/>
        <v/>
      </c>
      <c r="M81" s="55" t="str">
        <f t="shared" si="45"/>
        <v/>
      </c>
      <c r="N81" s="56" t="str">
        <f t="shared" si="46"/>
        <v/>
      </c>
      <c r="O81" s="55" t="str">
        <f t="shared" si="47"/>
        <v/>
      </c>
      <c r="P81" s="108" t="str">
        <f t="shared" si="48"/>
        <v/>
      </c>
      <c r="Q81" s="116"/>
      <c r="R81" s="116"/>
      <c r="S81" s="55" t="str">
        <f t="shared" si="49"/>
        <v/>
      </c>
      <c r="T81" s="55" t="str">
        <f t="shared" si="50"/>
        <v/>
      </c>
      <c r="U81" s="56" t="str">
        <f t="shared" si="51"/>
        <v/>
      </c>
      <c r="V81" s="55" t="str">
        <f t="shared" si="52"/>
        <v/>
      </c>
      <c r="W81" s="108" t="str">
        <f t="shared" si="53"/>
        <v/>
      </c>
      <c r="X81" s="116"/>
      <c r="Y81" s="116"/>
      <c r="Z81" s="55" t="str">
        <f t="shared" si="54"/>
        <v/>
      </c>
      <c r="AA81" s="55" t="str">
        <f t="shared" si="55"/>
        <v/>
      </c>
      <c r="AB81" s="56" t="str">
        <f t="shared" si="56"/>
        <v/>
      </c>
      <c r="AC81" s="55" t="str">
        <f t="shared" si="57"/>
        <v/>
      </c>
      <c r="AD81" s="108" t="str">
        <f t="shared" si="58"/>
        <v/>
      </c>
      <c r="AE81" s="116">
        <f t="shared" si="59"/>
        <v>0</v>
      </c>
      <c r="AF81" s="117">
        <f t="shared" si="60"/>
        <v>0</v>
      </c>
      <c r="AG81" s="117">
        <f t="shared" si="61"/>
        <v>0</v>
      </c>
      <c r="AH81" s="116">
        <f t="shared" si="62"/>
        <v>0</v>
      </c>
      <c r="AI81" s="116"/>
      <c r="AJ81" s="116"/>
      <c r="AK81" s="69"/>
    </row>
    <row r="82" spans="1:37" x14ac:dyDescent="0.3">
      <c r="A82" s="162" t="s">
        <v>1452</v>
      </c>
      <c r="B82" s="153" t="s">
        <v>1453</v>
      </c>
      <c r="C82" s="116"/>
      <c r="D82" s="116"/>
      <c r="E82" s="55" t="str">
        <f t="shared" si="39"/>
        <v/>
      </c>
      <c r="F82" s="55" t="str">
        <f t="shared" si="40"/>
        <v/>
      </c>
      <c r="G82" s="56" t="str">
        <f t="shared" si="41"/>
        <v/>
      </c>
      <c r="H82" s="55" t="str">
        <f t="shared" si="42"/>
        <v/>
      </c>
      <c r="I82" s="108" t="str">
        <f t="shared" si="43"/>
        <v/>
      </c>
      <c r="J82" s="116"/>
      <c r="K82" s="116"/>
      <c r="L82" s="55" t="str">
        <f t="shared" si="44"/>
        <v/>
      </c>
      <c r="M82" s="55" t="str">
        <f t="shared" si="45"/>
        <v/>
      </c>
      <c r="N82" s="56" t="str">
        <f t="shared" si="46"/>
        <v/>
      </c>
      <c r="O82" s="55" t="str">
        <f t="shared" si="47"/>
        <v/>
      </c>
      <c r="P82" s="108" t="str">
        <f t="shared" si="48"/>
        <v/>
      </c>
      <c r="Q82" s="116"/>
      <c r="R82" s="116"/>
      <c r="S82" s="55" t="str">
        <f t="shared" si="49"/>
        <v/>
      </c>
      <c r="T82" s="55" t="str">
        <f t="shared" si="50"/>
        <v/>
      </c>
      <c r="U82" s="56" t="str">
        <f t="shared" si="51"/>
        <v/>
      </c>
      <c r="V82" s="55" t="str">
        <f t="shared" si="52"/>
        <v/>
      </c>
      <c r="W82" s="108" t="str">
        <f t="shared" si="53"/>
        <v/>
      </c>
      <c r="X82" s="116"/>
      <c r="Y82" s="116"/>
      <c r="Z82" s="55" t="str">
        <f t="shared" si="54"/>
        <v/>
      </c>
      <c r="AA82" s="55" t="str">
        <f t="shared" si="55"/>
        <v/>
      </c>
      <c r="AB82" s="56" t="str">
        <f t="shared" si="56"/>
        <v/>
      </c>
      <c r="AC82" s="55" t="str">
        <f t="shared" si="57"/>
        <v/>
      </c>
      <c r="AD82" s="108" t="str">
        <f t="shared" si="58"/>
        <v/>
      </c>
      <c r="AE82" s="116">
        <f t="shared" si="59"/>
        <v>0</v>
      </c>
      <c r="AF82" s="117">
        <f t="shared" si="60"/>
        <v>0</v>
      </c>
      <c r="AG82" s="117">
        <f t="shared" si="61"/>
        <v>0</v>
      </c>
      <c r="AH82" s="116">
        <f t="shared" si="62"/>
        <v>0</v>
      </c>
      <c r="AI82" s="116"/>
      <c r="AJ82" s="116"/>
      <c r="AK82" s="69"/>
    </row>
    <row r="83" spans="1:37" x14ac:dyDescent="0.3">
      <c r="A83" s="162" t="s">
        <v>1454</v>
      </c>
      <c r="B83" s="153" t="s">
        <v>1455</v>
      </c>
      <c r="C83" s="116"/>
      <c r="D83" s="116"/>
      <c r="E83" s="55" t="str">
        <f t="shared" si="39"/>
        <v/>
      </c>
      <c r="F83" s="55" t="str">
        <f t="shared" si="40"/>
        <v/>
      </c>
      <c r="G83" s="56" t="str">
        <f t="shared" si="41"/>
        <v/>
      </c>
      <c r="H83" s="55" t="str">
        <f t="shared" si="42"/>
        <v/>
      </c>
      <c r="I83" s="108" t="str">
        <f t="shared" si="43"/>
        <v/>
      </c>
      <c r="J83" s="116"/>
      <c r="K83" s="116"/>
      <c r="L83" s="55" t="str">
        <f t="shared" si="44"/>
        <v/>
      </c>
      <c r="M83" s="55" t="str">
        <f t="shared" si="45"/>
        <v/>
      </c>
      <c r="N83" s="56" t="str">
        <f t="shared" si="46"/>
        <v/>
      </c>
      <c r="O83" s="55" t="str">
        <f t="shared" si="47"/>
        <v/>
      </c>
      <c r="P83" s="108" t="str">
        <f t="shared" si="48"/>
        <v/>
      </c>
      <c r="Q83" s="116"/>
      <c r="R83" s="116"/>
      <c r="S83" s="55" t="str">
        <f t="shared" si="49"/>
        <v/>
      </c>
      <c r="T83" s="55" t="str">
        <f t="shared" si="50"/>
        <v/>
      </c>
      <c r="U83" s="56" t="str">
        <f t="shared" si="51"/>
        <v/>
      </c>
      <c r="V83" s="55" t="str">
        <f t="shared" si="52"/>
        <v/>
      </c>
      <c r="W83" s="108" t="str">
        <f t="shared" si="53"/>
        <v/>
      </c>
      <c r="X83" s="116"/>
      <c r="Y83" s="116"/>
      <c r="Z83" s="55" t="str">
        <f t="shared" si="54"/>
        <v/>
      </c>
      <c r="AA83" s="55" t="str">
        <f t="shared" si="55"/>
        <v/>
      </c>
      <c r="AB83" s="56" t="str">
        <f t="shared" si="56"/>
        <v/>
      </c>
      <c r="AC83" s="55" t="str">
        <f t="shared" si="57"/>
        <v/>
      </c>
      <c r="AD83" s="108" t="str">
        <f t="shared" si="58"/>
        <v/>
      </c>
      <c r="AE83" s="116">
        <f t="shared" si="59"/>
        <v>0</v>
      </c>
      <c r="AF83" s="117">
        <f t="shared" si="60"/>
        <v>0</v>
      </c>
      <c r="AG83" s="117">
        <f t="shared" si="61"/>
        <v>0</v>
      </c>
      <c r="AH83" s="116">
        <f t="shared" si="62"/>
        <v>0</v>
      </c>
      <c r="AI83" s="116"/>
      <c r="AJ83" s="116"/>
      <c r="AK83" s="69"/>
    </row>
    <row r="84" spans="1:37" x14ac:dyDescent="0.3">
      <c r="A84" s="162" t="s">
        <v>1456</v>
      </c>
      <c r="B84" s="153" t="s">
        <v>1457</v>
      </c>
      <c r="C84" s="116"/>
      <c r="D84" s="116"/>
      <c r="E84" s="55" t="str">
        <f t="shared" si="39"/>
        <v/>
      </c>
      <c r="F84" s="55" t="str">
        <f t="shared" si="40"/>
        <v/>
      </c>
      <c r="G84" s="56" t="str">
        <f t="shared" si="41"/>
        <v/>
      </c>
      <c r="H84" s="55" t="str">
        <f t="shared" si="42"/>
        <v/>
      </c>
      <c r="I84" s="108" t="str">
        <f t="shared" si="43"/>
        <v/>
      </c>
      <c r="J84" s="116"/>
      <c r="K84" s="116"/>
      <c r="L84" s="55" t="str">
        <f t="shared" si="44"/>
        <v/>
      </c>
      <c r="M84" s="55" t="str">
        <f t="shared" si="45"/>
        <v/>
      </c>
      <c r="N84" s="56" t="str">
        <f t="shared" si="46"/>
        <v/>
      </c>
      <c r="O84" s="55" t="str">
        <f t="shared" si="47"/>
        <v/>
      </c>
      <c r="P84" s="108" t="str">
        <f t="shared" si="48"/>
        <v/>
      </c>
      <c r="Q84" s="116"/>
      <c r="R84" s="116"/>
      <c r="S84" s="55" t="str">
        <f t="shared" si="49"/>
        <v/>
      </c>
      <c r="T84" s="55" t="str">
        <f t="shared" si="50"/>
        <v/>
      </c>
      <c r="U84" s="56" t="str">
        <f t="shared" si="51"/>
        <v/>
      </c>
      <c r="V84" s="55" t="str">
        <f t="shared" si="52"/>
        <v/>
      </c>
      <c r="W84" s="108" t="str">
        <f t="shared" si="53"/>
        <v/>
      </c>
      <c r="X84" s="116"/>
      <c r="Y84" s="116"/>
      <c r="Z84" s="55" t="str">
        <f t="shared" si="54"/>
        <v/>
      </c>
      <c r="AA84" s="55" t="str">
        <f t="shared" si="55"/>
        <v/>
      </c>
      <c r="AB84" s="56" t="str">
        <f t="shared" si="56"/>
        <v/>
      </c>
      <c r="AC84" s="55" t="str">
        <f t="shared" si="57"/>
        <v/>
      </c>
      <c r="AD84" s="108" t="str">
        <f t="shared" si="58"/>
        <v/>
      </c>
      <c r="AE84" s="116">
        <f t="shared" si="59"/>
        <v>0</v>
      </c>
      <c r="AF84" s="117">
        <f t="shared" si="60"/>
        <v>0</v>
      </c>
      <c r="AG84" s="117"/>
      <c r="AH84" s="116"/>
      <c r="AI84" s="116">
        <f>AE84-AG84</f>
        <v>0</v>
      </c>
      <c r="AJ84" s="116">
        <f>AF84-AH84</f>
        <v>0</v>
      </c>
      <c r="AK84" s="69"/>
    </row>
    <row r="85" spans="1:37" x14ac:dyDescent="0.3">
      <c r="A85" s="162" t="s">
        <v>1458</v>
      </c>
      <c r="B85" s="153" t="s">
        <v>1459</v>
      </c>
      <c r="C85" s="116"/>
      <c r="D85" s="116"/>
      <c r="E85" s="55" t="str">
        <f t="shared" si="39"/>
        <v/>
      </c>
      <c r="F85" s="55" t="str">
        <f t="shared" si="40"/>
        <v/>
      </c>
      <c r="G85" s="56" t="str">
        <f t="shared" si="41"/>
        <v/>
      </c>
      <c r="H85" s="55" t="str">
        <f t="shared" si="42"/>
        <v/>
      </c>
      <c r="I85" s="108" t="str">
        <f t="shared" si="43"/>
        <v/>
      </c>
      <c r="J85" s="116"/>
      <c r="K85" s="116"/>
      <c r="L85" s="55" t="str">
        <f t="shared" si="44"/>
        <v/>
      </c>
      <c r="M85" s="55" t="str">
        <f t="shared" si="45"/>
        <v/>
      </c>
      <c r="N85" s="56" t="str">
        <f t="shared" si="46"/>
        <v/>
      </c>
      <c r="O85" s="55" t="str">
        <f t="shared" si="47"/>
        <v/>
      </c>
      <c r="P85" s="108" t="str">
        <f t="shared" si="48"/>
        <v/>
      </c>
      <c r="Q85" s="116"/>
      <c r="R85" s="116"/>
      <c r="S85" s="55" t="str">
        <f t="shared" si="49"/>
        <v/>
      </c>
      <c r="T85" s="55" t="str">
        <f t="shared" si="50"/>
        <v/>
      </c>
      <c r="U85" s="56" t="str">
        <f t="shared" si="51"/>
        <v/>
      </c>
      <c r="V85" s="55" t="str">
        <f t="shared" si="52"/>
        <v/>
      </c>
      <c r="W85" s="108" t="str">
        <f t="shared" si="53"/>
        <v/>
      </c>
      <c r="X85" s="116"/>
      <c r="Y85" s="116"/>
      <c r="Z85" s="55" t="str">
        <f t="shared" si="54"/>
        <v/>
      </c>
      <c r="AA85" s="55" t="str">
        <f t="shared" si="55"/>
        <v/>
      </c>
      <c r="AB85" s="56" t="str">
        <f t="shared" si="56"/>
        <v/>
      </c>
      <c r="AC85" s="55" t="str">
        <f t="shared" si="57"/>
        <v/>
      </c>
      <c r="AD85" s="108" t="str">
        <f t="shared" si="58"/>
        <v/>
      </c>
      <c r="AE85" s="116">
        <f t="shared" si="59"/>
        <v>0</v>
      </c>
      <c r="AF85" s="117">
        <f t="shared" si="60"/>
        <v>0</v>
      </c>
      <c r="AG85" s="117">
        <f t="shared" ref="AG85:AG104" si="63">AE85-AI85</f>
        <v>0</v>
      </c>
      <c r="AH85" s="116">
        <f t="shared" ref="AH85:AH104" si="64">AF85-AJ85</f>
        <v>0</v>
      </c>
      <c r="AI85" s="116"/>
      <c r="AJ85" s="116"/>
      <c r="AK85" s="69"/>
    </row>
    <row r="86" spans="1:37" x14ac:dyDescent="0.3">
      <c r="A86" s="162" t="s">
        <v>1460</v>
      </c>
      <c r="B86" s="153" t="s">
        <v>1461</v>
      </c>
      <c r="C86" s="116"/>
      <c r="D86" s="116"/>
      <c r="E86" s="55" t="str">
        <f t="shared" si="39"/>
        <v/>
      </c>
      <c r="F86" s="55" t="str">
        <f t="shared" si="40"/>
        <v/>
      </c>
      <c r="G86" s="56" t="str">
        <f t="shared" si="41"/>
        <v/>
      </c>
      <c r="H86" s="55" t="str">
        <f t="shared" si="42"/>
        <v/>
      </c>
      <c r="I86" s="108" t="str">
        <f t="shared" si="43"/>
        <v/>
      </c>
      <c r="J86" s="116"/>
      <c r="K86" s="116"/>
      <c r="L86" s="55" t="str">
        <f t="shared" si="44"/>
        <v/>
      </c>
      <c r="M86" s="55" t="str">
        <f t="shared" si="45"/>
        <v/>
      </c>
      <c r="N86" s="56" t="str">
        <f t="shared" si="46"/>
        <v/>
      </c>
      <c r="O86" s="55" t="str">
        <f t="shared" si="47"/>
        <v/>
      </c>
      <c r="P86" s="108" t="str">
        <f t="shared" si="48"/>
        <v/>
      </c>
      <c r="Q86" s="116"/>
      <c r="R86" s="116"/>
      <c r="S86" s="55" t="str">
        <f t="shared" si="49"/>
        <v/>
      </c>
      <c r="T86" s="55" t="str">
        <f t="shared" si="50"/>
        <v/>
      </c>
      <c r="U86" s="56" t="str">
        <f t="shared" si="51"/>
        <v/>
      </c>
      <c r="V86" s="55" t="str">
        <f t="shared" si="52"/>
        <v/>
      </c>
      <c r="W86" s="108" t="str">
        <f t="shared" si="53"/>
        <v/>
      </c>
      <c r="X86" s="116"/>
      <c r="Y86" s="116"/>
      <c r="Z86" s="55" t="str">
        <f t="shared" si="54"/>
        <v/>
      </c>
      <c r="AA86" s="55" t="str">
        <f t="shared" si="55"/>
        <v/>
      </c>
      <c r="AB86" s="56" t="str">
        <f t="shared" si="56"/>
        <v/>
      </c>
      <c r="AC86" s="55" t="str">
        <f t="shared" si="57"/>
        <v/>
      </c>
      <c r="AD86" s="108" t="str">
        <f t="shared" si="58"/>
        <v/>
      </c>
      <c r="AE86" s="116">
        <f t="shared" si="59"/>
        <v>0</v>
      </c>
      <c r="AF86" s="117">
        <f t="shared" si="60"/>
        <v>0</v>
      </c>
      <c r="AG86" s="117">
        <f t="shared" si="63"/>
        <v>0</v>
      </c>
      <c r="AH86" s="116">
        <f t="shared" si="64"/>
        <v>0</v>
      </c>
      <c r="AI86" s="116"/>
      <c r="AJ86" s="116"/>
      <c r="AK86" s="69"/>
    </row>
    <row r="87" spans="1:37" x14ac:dyDescent="0.3">
      <c r="A87" s="162" t="s">
        <v>1462</v>
      </c>
      <c r="B87" s="153" t="s">
        <v>1463</v>
      </c>
      <c r="C87" s="116"/>
      <c r="D87" s="116"/>
      <c r="E87" s="55" t="str">
        <f t="shared" si="39"/>
        <v/>
      </c>
      <c r="F87" s="55" t="str">
        <f t="shared" si="40"/>
        <v/>
      </c>
      <c r="G87" s="56" t="str">
        <f t="shared" si="41"/>
        <v/>
      </c>
      <c r="H87" s="55" t="str">
        <f t="shared" si="42"/>
        <v/>
      </c>
      <c r="I87" s="108" t="str">
        <f t="shared" si="43"/>
        <v/>
      </c>
      <c r="J87" s="116"/>
      <c r="K87" s="116"/>
      <c r="L87" s="55" t="str">
        <f t="shared" si="44"/>
        <v/>
      </c>
      <c r="M87" s="55" t="str">
        <f t="shared" si="45"/>
        <v/>
      </c>
      <c r="N87" s="56" t="str">
        <f t="shared" si="46"/>
        <v/>
      </c>
      <c r="O87" s="55" t="str">
        <f t="shared" si="47"/>
        <v/>
      </c>
      <c r="P87" s="108" t="str">
        <f t="shared" si="48"/>
        <v/>
      </c>
      <c r="Q87" s="116"/>
      <c r="R87" s="116"/>
      <c r="S87" s="55" t="str">
        <f t="shared" si="49"/>
        <v/>
      </c>
      <c r="T87" s="55" t="str">
        <f t="shared" si="50"/>
        <v/>
      </c>
      <c r="U87" s="56" t="str">
        <f t="shared" si="51"/>
        <v/>
      </c>
      <c r="V87" s="55" t="str">
        <f t="shared" si="52"/>
        <v/>
      </c>
      <c r="W87" s="108" t="str">
        <f t="shared" si="53"/>
        <v/>
      </c>
      <c r="X87" s="116"/>
      <c r="Y87" s="116"/>
      <c r="Z87" s="55" t="str">
        <f t="shared" si="54"/>
        <v/>
      </c>
      <c r="AA87" s="55" t="str">
        <f t="shared" si="55"/>
        <v/>
      </c>
      <c r="AB87" s="56" t="str">
        <f t="shared" si="56"/>
        <v/>
      </c>
      <c r="AC87" s="55" t="str">
        <f t="shared" si="57"/>
        <v/>
      </c>
      <c r="AD87" s="108" t="str">
        <f t="shared" si="58"/>
        <v/>
      </c>
      <c r="AE87" s="116">
        <f t="shared" si="59"/>
        <v>0</v>
      </c>
      <c r="AF87" s="117">
        <f t="shared" si="60"/>
        <v>0</v>
      </c>
      <c r="AG87" s="117">
        <f t="shared" si="63"/>
        <v>0</v>
      </c>
      <c r="AH87" s="116">
        <f t="shared" si="64"/>
        <v>0</v>
      </c>
      <c r="AI87" s="116"/>
      <c r="AJ87" s="116"/>
      <c r="AK87" s="69"/>
    </row>
    <row r="88" spans="1:37" x14ac:dyDescent="0.3">
      <c r="A88" s="162" t="s">
        <v>1464</v>
      </c>
      <c r="B88" s="153" t="s">
        <v>1465</v>
      </c>
      <c r="C88" s="116"/>
      <c r="D88" s="116"/>
      <c r="E88" s="55" t="str">
        <f t="shared" si="39"/>
        <v/>
      </c>
      <c r="F88" s="55" t="str">
        <f t="shared" si="40"/>
        <v/>
      </c>
      <c r="G88" s="56" t="str">
        <f t="shared" si="41"/>
        <v/>
      </c>
      <c r="H88" s="55" t="str">
        <f t="shared" si="42"/>
        <v/>
      </c>
      <c r="I88" s="108" t="str">
        <f t="shared" si="43"/>
        <v/>
      </c>
      <c r="J88" s="116"/>
      <c r="K88" s="116"/>
      <c r="L88" s="55" t="str">
        <f t="shared" si="44"/>
        <v/>
      </c>
      <c r="M88" s="55" t="str">
        <f t="shared" si="45"/>
        <v/>
      </c>
      <c r="N88" s="56" t="str">
        <f t="shared" si="46"/>
        <v/>
      </c>
      <c r="O88" s="55" t="str">
        <f t="shared" si="47"/>
        <v/>
      </c>
      <c r="P88" s="108" t="str">
        <f t="shared" si="48"/>
        <v/>
      </c>
      <c r="Q88" s="116"/>
      <c r="R88" s="116"/>
      <c r="S88" s="55" t="str">
        <f t="shared" si="49"/>
        <v/>
      </c>
      <c r="T88" s="55" t="str">
        <f t="shared" si="50"/>
        <v/>
      </c>
      <c r="U88" s="56" t="str">
        <f t="shared" si="51"/>
        <v/>
      </c>
      <c r="V88" s="55" t="str">
        <f t="shared" si="52"/>
        <v/>
      </c>
      <c r="W88" s="108" t="str">
        <f t="shared" si="53"/>
        <v/>
      </c>
      <c r="X88" s="116"/>
      <c r="Y88" s="116"/>
      <c r="Z88" s="55" t="str">
        <f t="shared" si="54"/>
        <v/>
      </c>
      <c r="AA88" s="55" t="str">
        <f t="shared" si="55"/>
        <v/>
      </c>
      <c r="AB88" s="56" t="str">
        <f t="shared" si="56"/>
        <v/>
      </c>
      <c r="AC88" s="55" t="str">
        <f t="shared" si="57"/>
        <v/>
      </c>
      <c r="AD88" s="108" t="str">
        <f t="shared" si="58"/>
        <v/>
      </c>
      <c r="AE88" s="116">
        <f t="shared" si="59"/>
        <v>0</v>
      </c>
      <c r="AF88" s="117">
        <f t="shared" si="60"/>
        <v>0</v>
      </c>
      <c r="AG88" s="117">
        <f t="shared" si="63"/>
        <v>0</v>
      </c>
      <c r="AH88" s="116">
        <f t="shared" si="64"/>
        <v>0</v>
      </c>
      <c r="AI88" s="116"/>
      <c r="AJ88" s="116"/>
      <c r="AK88" s="69"/>
    </row>
    <row r="89" spans="1:37" x14ac:dyDescent="0.3">
      <c r="A89" s="162" t="s">
        <v>1466</v>
      </c>
      <c r="B89" s="153" t="s">
        <v>1467</v>
      </c>
      <c r="C89" s="116"/>
      <c r="D89" s="116"/>
      <c r="E89" s="55" t="str">
        <f t="shared" si="39"/>
        <v/>
      </c>
      <c r="F89" s="55" t="str">
        <f t="shared" si="40"/>
        <v/>
      </c>
      <c r="G89" s="56" t="str">
        <f t="shared" si="41"/>
        <v/>
      </c>
      <c r="H89" s="55" t="str">
        <f t="shared" si="42"/>
        <v/>
      </c>
      <c r="I89" s="108" t="str">
        <f t="shared" si="43"/>
        <v/>
      </c>
      <c r="J89" s="116"/>
      <c r="K89" s="116"/>
      <c r="L89" s="55" t="str">
        <f t="shared" si="44"/>
        <v/>
      </c>
      <c r="M89" s="55" t="str">
        <f t="shared" si="45"/>
        <v/>
      </c>
      <c r="N89" s="56" t="str">
        <f t="shared" si="46"/>
        <v/>
      </c>
      <c r="O89" s="55" t="str">
        <f t="shared" si="47"/>
        <v/>
      </c>
      <c r="P89" s="108" t="str">
        <f t="shared" si="48"/>
        <v/>
      </c>
      <c r="Q89" s="116"/>
      <c r="R89" s="116"/>
      <c r="S89" s="55" t="str">
        <f t="shared" si="49"/>
        <v/>
      </c>
      <c r="T89" s="55" t="str">
        <f t="shared" si="50"/>
        <v/>
      </c>
      <c r="U89" s="56" t="str">
        <f t="shared" si="51"/>
        <v/>
      </c>
      <c r="V89" s="55" t="str">
        <f t="shared" si="52"/>
        <v/>
      </c>
      <c r="W89" s="108" t="str">
        <f t="shared" si="53"/>
        <v/>
      </c>
      <c r="X89" s="116"/>
      <c r="Y89" s="116"/>
      <c r="Z89" s="55" t="str">
        <f t="shared" si="54"/>
        <v/>
      </c>
      <c r="AA89" s="55" t="str">
        <f t="shared" si="55"/>
        <v/>
      </c>
      <c r="AB89" s="56" t="str">
        <f t="shared" si="56"/>
        <v/>
      </c>
      <c r="AC89" s="55" t="str">
        <f t="shared" si="57"/>
        <v/>
      </c>
      <c r="AD89" s="108" t="str">
        <f t="shared" si="58"/>
        <v/>
      </c>
      <c r="AE89" s="116">
        <f t="shared" si="59"/>
        <v>0</v>
      </c>
      <c r="AF89" s="117">
        <f t="shared" si="60"/>
        <v>0</v>
      </c>
      <c r="AG89" s="117">
        <f t="shared" si="63"/>
        <v>0</v>
      </c>
      <c r="AH89" s="116">
        <f t="shared" si="64"/>
        <v>0</v>
      </c>
      <c r="AI89" s="116"/>
      <c r="AJ89" s="116"/>
      <c r="AK89" s="69"/>
    </row>
    <row r="90" spans="1:37" x14ac:dyDescent="0.3">
      <c r="A90" s="162" t="s">
        <v>1468</v>
      </c>
      <c r="B90" s="153" t="s">
        <v>1469</v>
      </c>
      <c r="C90" s="116"/>
      <c r="D90" s="116"/>
      <c r="E90" s="55" t="str">
        <f t="shared" si="39"/>
        <v/>
      </c>
      <c r="F90" s="55" t="str">
        <f t="shared" si="40"/>
        <v/>
      </c>
      <c r="G90" s="56" t="str">
        <f t="shared" si="41"/>
        <v/>
      </c>
      <c r="H90" s="55" t="str">
        <f t="shared" si="42"/>
        <v/>
      </c>
      <c r="I90" s="108" t="str">
        <f t="shared" si="43"/>
        <v/>
      </c>
      <c r="J90" s="116"/>
      <c r="K90" s="116"/>
      <c r="L90" s="55" t="str">
        <f t="shared" si="44"/>
        <v/>
      </c>
      <c r="M90" s="55" t="str">
        <f t="shared" si="45"/>
        <v/>
      </c>
      <c r="N90" s="56" t="str">
        <f t="shared" si="46"/>
        <v/>
      </c>
      <c r="O90" s="55" t="str">
        <f t="shared" si="47"/>
        <v/>
      </c>
      <c r="P90" s="108" t="str">
        <f t="shared" si="48"/>
        <v/>
      </c>
      <c r="Q90" s="116"/>
      <c r="R90" s="116"/>
      <c r="S90" s="55" t="str">
        <f t="shared" si="49"/>
        <v/>
      </c>
      <c r="T90" s="55" t="str">
        <f t="shared" si="50"/>
        <v/>
      </c>
      <c r="U90" s="56" t="str">
        <f t="shared" si="51"/>
        <v/>
      </c>
      <c r="V90" s="55" t="str">
        <f t="shared" si="52"/>
        <v/>
      </c>
      <c r="W90" s="108" t="str">
        <f t="shared" si="53"/>
        <v/>
      </c>
      <c r="X90" s="116"/>
      <c r="Y90" s="116"/>
      <c r="Z90" s="55" t="str">
        <f t="shared" si="54"/>
        <v/>
      </c>
      <c r="AA90" s="55" t="str">
        <f t="shared" si="55"/>
        <v/>
      </c>
      <c r="AB90" s="56" t="str">
        <f t="shared" si="56"/>
        <v/>
      </c>
      <c r="AC90" s="55" t="str">
        <f t="shared" si="57"/>
        <v/>
      </c>
      <c r="AD90" s="108" t="str">
        <f t="shared" si="58"/>
        <v/>
      </c>
      <c r="AE90" s="116">
        <f t="shared" si="59"/>
        <v>0</v>
      </c>
      <c r="AF90" s="117">
        <f t="shared" si="60"/>
        <v>0</v>
      </c>
      <c r="AG90" s="117">
        <f t="shared" si="63"/>
        <v>0</v>
      </c>
      <c r="AH90" s="116">
        <f t="shared" si="64"/>
        <v>0</v>
      </c>
      <c r="AI90" s="116"/>
      <c r="AJ90" s="116"/>
      <c r="AK90" s="69"/>
    </row>
    <row r="91" spans="1:37" x14ac:dyDescent="0.3">
      <c r="A91" s="162" t="s">
        <v>1470</v>
      </c>
      <c r="B91" s="153" t="s">
        <v>1242</v>
      </c>
      <c r="C91" s="116"/>
      <c r="D91" s="116"/>
      <c r="E91" s="55" t="str">
        <f t="shared" si="39"/>
        <v/>
      </c>
      <c r="F91" s="55" t="str">
        <f t="shared" si="40"/>
        <v/>
      </c>
      <c r="G91" s="56" t="str">
        <f t="shared" si="41"/>
        <v/>
      </c>
      <c r="H91" s="55" t="str">
        <f t="shared" si="42"/>
        <v/>
      </c>
      <c r="I91" s="108" t="str">
        <f t="shared" si="43"/>
        <v/>
      </c>
      <c r="J91" s="116"/>
      <c r="K91" s="116"/>
      <c r="L91" s="55" t="str">
        <f t="shared" si="44"/>
        <v/>
      </c>
      <c r="M91" s="55" t="str">
        <f t="shared" si="45"/>
        <v/>
      </c>
      <c r="N91" s="56" t="str">
        <f t="shared" si="46"/>
        <v/>
      </c>
      <c r="O91" s="55" t="str">
        <f t="shared" si="47"/>
        <v/>
      </c>
      <c r="P91" s="108" t="str">
        <f t="shared" si="48"/>
        <v/>
      </c>
      <c r="Q91" s="116"/>
      <c r="R91" s="116"/>
      <c r="S91" s="55" t="str">
        <f t="shared" si="49"/>
        <v/>
      </c>
      <c r="T91" s="55" t="str">
        <f t="shared" si="50"/>
        <v/>
      </c>
      <c r="U91" s="56" t="str">
        <f t="shared" si="51"/>
        <v/>
      </c>
      <c r="V91" s="55" t="str">
        <f t="shared" si="52"/>
        <v/>
      </c>
      <c r="W91" s="108" t="str">
        <f t="shared" si="53"/>
        <v/>
      </c>
      <c r="X91" s="116"/>
      <c r="Y91" s="116"/>
      <c r="Z91" s="55" t="str">
        <f t="shared" si="54"/>
        <v/>
      </c>
      <c r="AA91" s="55" t="str">
        <f t="shared" si="55"/>
        <v/>
      </c>
      <c r="AB91" s="56" t="str">
        <f t="shared" si="56"/>
        <v/>
      </c>
      <c r="AC91" s="55" t="str">
        <f t="shared" si="57"/>
        <v/>
      </c>
      <c r="AD91" s="108" t="str">
        <f t="shared" si="58"/>
        <v/>
      </c>
      <c r="AE91" s="116">
        <f t="shared" si="59"/>
        <v>0</v>
      </c>
      <c r="AF91" s="117">
        <f t="shared" si="60"/>
        <v>0</v>
      </c>
      <c r="AG91" s="117">
        <f t="shared" si="63"/>
        <v>0</v>
      </c>
      <c r="AH91" s="116">
        <f t="shared" si="64"/>
        <v>0</v>
      </c>
      <c r="AI91" s="116"/>
      <c r="AJ91" s="116"/>
      <c r="AK91" s="69"/>
    </row>
    <row r="92" spans="1:37" x14ac:dyDescent="0.3">
      <c r="A92" s="162" t="s">
        <v>1471</v>
      </c>
      <c r="B92" s="153" t="s">
        <v>1472</v>
      </c>
      <c r="C92" s="116"/>
      <c r="D92" s="116"/>
      <c r="E92" s="55" t="str">
        <f t="shared" si="39"/>
        <v/>
      </c>
      <c r="F92" s="55" t="str">
        <f t="shared" si="40"/>
        <v/>
      </c>
      <c r="G92" s="56" t="str">
        <f t="shared" si="41"/>
        <v/>
      </c>
      <c r="H92" s="55" t="str">
        <f t="shared" si="42"/>
        <v/>
      </c>
      <c r="I92" s="108" t="str">
        <f t="shared" si="43"/>
        <v/>
      </c>
      <c r="J92" s="116"/>
      <c r="K92" s="116"/>
      <c r="L92" s="55" t="str">
        <f t="shared" si="44"/>
        <v/>
      </c>
      <c r="M92" s="55" t="str">
        <f t="shared" si="45"/>
        <v/>
      </c>
      <c r="N92" s="56" t="str">
        <f t="shared" si="46"/>
        <v/>
      </c>
      <c r="O92" s="55" t="str">
        <f t="shared" si="47"/>
        <v/>
      </c>
      <c r="P92" s="108" t="str">
        <f t="shared" si="48"/>
        <v/>
      </c>
      <c r="Q92" s="116"/>
      <c r="R92" s="116"/>
      <c r="S92" s="55" t="str">
        <f t="shared" si="49"/>
        <v/>
      </c>
      <c r="T92" s="55" t="str">
        <f t="shared" si="50"/>
        <v/>
      </c>
      <c r="U92" s="56" t="str">
        <f t="shared" si="51"/>
        <v/>
      </c>
      <c r="V92" s="55" t="str">
        <f t="shared" si="52"/>
        <v/>
      </c>
      <c r="W92" s="108" t="str">
        <f t="shared" si="53"/>
        <v/>
      </c>
      <c r="X92" s="116"/>
      <c r="Y92" s="116"/>
      <c r="Z92" s="55" t="str">
        <f t="shared" si="54"/>
        <v/>
      </c>
      <c r="AA92" s="55" t="str">
        <f t="shared" si="55"/>
        <v/>
      </c>
      <c r="AB92" s="56" t="str">
        <f t="shared" si="56"/>
        <v/>
      </c>
      <c r="AC92" s="55" t="str">
        <f t="shared" si="57"/>
        <v/>
      </c>
      <c r="AD92" s="108" t="str">
        <f t="shared" si="58"/>
        <v/>
      </c>
      <c r="AE92" s="116">
        <f t="shared" si="59"/>
        <v>0</v>
      </c>
      <c r="AF92" s="117">
        <f t="shared" si="60"/>
        <v>0</v>
      </c>
      <c r="AG92" s="117">
        <f t="shared" si="63"/>
        <v>0</v>
      </c>
      <c r="AH92" s="116">
        <f t="shared" si="64"/>
        <v>0</v>
      </c>
      <c r="AI92" s="116"/>
      <c r="AJ92" s="116"/>
      <c r="AK92" s="69"/>
    </row>
    <row r="93" spans="1:37" x14ac:dyDescent="0.3">
      <c r="A93" s="162" t="s">
        <v>1473</v>
      </c>
      <c r="B93" s="153" t="s">
        <v>1474</v>
      </c>
      <c r="C93" s="116"/>
      <c r="D93" s="116"/>
      <c r="E93" s="55" t="str">
        <f t="shared" si="39"/>
        <v/>
      </c>
      <c r="F93" s="55" t="str">
        <f t="shared" si="40"/>
        <v/>
      </c>
      <c r="G93" s="56" t="str">
        <f t="shared" si="41"/>
        <v/>
      </c>
      <c r="H93" s="55" t="str">
        <f t="shared" si="42"/>
        <v/>
      </c>
      <c r="I93" s="108" t="str">
        <f t="shared" si="43"/>
        <v/>
      </c>
      <c r="J93" s="116"/>
      <c r="K93" s="116"/>
      <c r="L93" s="55" t="str">
        <f t="shared" si="44"/>
        <v/>
      </c>
      <c r="M93" s="55" t="str">
        <f t="shared" si="45"/>
        <v/>
      </c>
      <c r="N93" s="56" t="str">
        <f t="shared" si="46"/>
        <v/>
      </c>
      <c r="O93" s="55" t="str">
        <f t="shared" si="47"/>
        <v/>
      </c>
      <c r="P93" s="108" t="str">
        <f t="shared" si="48"/>
        <v/>
      </c>
      <c r="Q93" s="116"/>
      <c r="R93" s="116"/>
      <c r="S93" s="55" t="str">
        <f t="shared" si="49"/>
        <v/>
      </c>
      <c r="T93" s="55" t="str">
        <f t="shared" si="50"/>
        <v/>
      </c>
      <c r="U93" s="56" t="str">
        <f t="shared" si="51"/>
        <v/>
      </c>
      <c r="V93" s="55" t="str">
        <f t="shared" si="52"/>
        <v/>
      </c>
      <c r="W93" s="108" t="str">
        <f t="shared" si="53"/>
        <v/>
      </c>
      <c r="X93" s="116"/>
      <c r="Y93" s="116"/>
      <c r="Z93" s="55" t="str">
        <f t="shared" si="54"/>
        <v/>
      </c>
      <c r="AA93" s="55" t="str">
        <f t="shared" si="55"/>
        <v/>
      </c>
      <c r="AB93" s="56" t="str">
        <f t="shared" si="56"/>
        <v/>
      </c>
      <c r="AC93" s="55" t="str">
        <f t="shared" si="57"/>
        <v/>
      </c>
      <c r="AD93" s="108" t="str">
        <f t="shared" si="58"/>
        <v/>
      </c>
      <c r="AE93" s="116">
        <f t="shared" si="59"/>
        <v>0</v>
      </c>
      <c r="AF93" s="117">
        <f t="shared" si="60"/>
        <v>0</v>
      </c>
      <c r="AG93" s="117">
        <f t="shared" si="63"/>
        <v>0</v>
      </c>
      <c r="AH93" s="116">
        <f t="shared" si="64"/>
        <v>0</v>
      </c>
      <c r="AI93" s="116"/>
      <c r="AJ93" s="116"/>
      <c r="AK93" s="69"/>
    </row>
    <row r="94" spans="1:37" x14ac:dyDescent="0.3">
      <c r="A94" s="162" t="s">
        <v>1475</v>
      </c>
      <c r="B94" s="153" t="s">
        <v>1476</v>
      </c>
      <c r="C94" s="116"/>
      <c r="D94" s="116"/>
      <c r="E94" s="55" t="str">
        <f t="shared" si="39"/>
        <v/>
      </c>
      <c r="F94" s="55" t="str">
        <f t="shared" si="40"/>
        <v/>
      </c>
      <c r="G94" s="56" t="str">
        <f t="shared" si="41"/>
        <v/>
      </c>
      <c r="H94" s="55" t="str">
        <f t="shared" si="42"/>
        <v/>
      </c>
      <c r="I94" s="108" t="str">
        <f t="shared" si="43"/>
        <v/>
      </c>
      <c r="J94" s="116"/>
      <c r="K94" s="116"/>
      <c r="L94" s="55" t="str">
        <f t="shared" si="44"/>
        <v/>
      </c>
      <c r="M94" s="55" t="str">
        <f t="shared" si="45"/>
        <v/>
      </c>
      <c r="N94" s="56" t="str">
        <f t="shared" si="46"/>
        <v/>
      </c>
      <c r="O94" s="55" t="str">
        <f t="shared" si="47"/>
        <v/>
      </c>
      <c r="P94" s="108" t="str">
        <f t="shared" si="48"/>
        <v/>
      </c>
      <c r="Q94" s="116"/>
      <c r="R94" s="116"/>
      <c r="S94" s="55" t="str">
        <f t="shared" si="49"/>
        <v/>
      </c>
      <c r="T94" s="55" t="str">
        <f t="shared" si="50"/>
        <v/>
      </c>
      <c r="U94" s="56" t="str">
        <f t="shared" si="51"/>
        <v/>
      </c>
      <c r="V94" s="55" t="str">
        <f t="shared" si="52"/>
        <v/>
      </c>
      <c r="W94" s="108" t="str">
        <f t="shared" si="53"/>
        <v/>
      </c>
      <c r="X94" s="116"/>
      <c r="Y94" s="116"/>
      <c r="Z94" s="55" t="str">
        <f t="shared" si="54"/>
        <v/>
      </c>
      <c r="AA94" s="55" t="str">
        <f t="shared" si="55"/>
        <v/>
      </c>
      <c r="AB94" s="56" t="str">
        <f t="shared" si="56"/>
        <v/>
      </c>
      <c r="AC94" s="55" t="str">
        <f t="shared" si="57"/>
        <v/>
      </c>
      <c r="AD94" s="108" t="str">
        <f t="shared" si="58"/>
        <v/>
      </c>
      <c r="AE94" s="116">
        <f t="shared" si="59"/>
        <v>0</v>
      </c>
      <c r="AF94" s="117">
        <f t="shared" si="60"/>
        <v>0</v>
      </c>
      <c r="AG94" s="117">
        <f t="shared" si="63"/>
        <v>0</v>
      </c>
      <c r="AH94" s="116">
        <f t="shared" si="64"/>
        <v>0</v>
      </c>
      <c r="AI94" s="116"/>
      <c r="AJ94" s="116"/>
      <c r="AK94" s="69"/>
    </row>
    <row r="95" spans="1:37" x14ac:dyDescent="0.3">
      <c r="A95" s="162" t="s">
        <v>1477</v>
      </c>
      <c r="B95" s="153" t="s">
        <v>5703</v>
      </c>
      <c r="C95" s="116"/>
      <c r="D95" s="116"/>
      <c r="E95" s="55" t="str">
        <f t="shared" si="39"/>
        <v/>
      </c>
      <c r="F95" s="55" t="str">
        <f t="shared" si="40"/>
        <v/>
      </c>
      <c r="G95" s="56" t="str">
        <f t="shared" si="41"/>
        <v/>
      </c>
      <c r="H95" s="55" t="str">
        <f t="shared" si="42"/>
        <v/>
      </c>
      <c r="I95" s="108" t="str">
        <f t="shared" si="43"/>
        <v/>
      </c>
      <c r="J95" s="116"/>
      <c r="K95" s="116"/>
      <c r="L95" s="55" t="str">
        <f t="shared" si="44"/>
        <v/>
      </c>
      <c r="M95" s="55" t="str">
        <f t="shared" si="45"/>
        <v/>
      </c>
      <c r="N95" s="56" t="str">
        <f t="shared" si="46"/>
        <v/>
      </c>
      <c r="O95" s="55" t="str">
        <f t="shared" si="47"/>
        <v/>
      </c>
      <c r="P95" s="108" t="str">
        <f t="shared" si="48"/>
        <v/>
      </c>
      <c r="Q95" s="116"/>
      <c r="R95" s="116"/>
      <c r="S95" s="55" t="str">
        <f t="shared" si="49"/>
        <v/>
      </c>
      <c r="T95" s="55" t="str">
        <f t="shared" si="50"/>
        <v/>
      </c>
      <c r="U95" s="56" t="str">
        <f t="shared" si="51"/>
        <v/>
      </c>
      <c r="V95" s="55" t="str">
        <f t="shared" si="52"/>
        <v/>
      </c>
      <c r="W95" s="108" t="str">
        <f t="shared" si="53"/>
        <v/>
      </c>
      <c r="X95" s="116"/>
      <c r="Y95" s="116"/>
      <c r="Z95" s="55" t="str">
        <f t="shared" si="54"/>
        <v/>
      </c>
      <c r="AA95" s="55" t="str">
        <f t="shared" si="55"/>
        <v/>
      </c>
      <c r="AB95" s="56" t="str">
        <f t="shared" si="56"/>
        <v/>
      </c>
      <c r="AC95" s="55" t="str">
        <f t="shared" si="57"/>
        <v/>
      </c>
      <c r="AD95" s="108" t="str">
        <f t="shared" si="58"/>
        <v/>
      </c>
      <c r="AE95" s="116">
        <f t="shared" si="59"/>
        <v>0</v>
      </c>
      <c r="AF95" s="117">
        <f t="shared" si="60"/>
        <v>0</v>
      </c>
      <c r="AG95" s="117">
        <f t="shared" si="63"/>
        <v>0</v>
      </c>
      <c r="AH95" s="116">
        <f t="shared" si="64"/>
        <v>0</v>
      </c>
      <c r="AI95" s="116"/>
      <c r="AJ95" s="116"/>
      <c r="AK95" s="69"/>
    </row>
    <row r="96" spans="1:37" x14ac:dyDescent="0.3">
      <c r="A96" s="162" t="s">
        <v>1478</v>
      </c>
      <c r="B96" s="153" t="s">
        <v>5704</v>
      </c>
      <c r="C96" s="116"/>
      <c r="D96" s="116"/>
      <c r="E96" s="55" t="str">
        <f t="shared" si="39"/>
        <v/>
      </c>
      <c r="F96" s="55" t="str">
        <f t="shared" si="40"/>
        <v/>
      </c>
      <c r="G96" s="56" t="str">
        <f t="shared" si="41"/>
        <v/>
      </c>
      <c r="H96" s="55" t="str">
        <f t="shared" si="42"/>
        <v/>
      </c>
      <c r="I96" s="108" t="str">
        <f t="shared" si="43"/>
        <v/>
      </c>
      <c r="J96" s="116"/>
      <c r="K96" s="116"/>
      <c r="L96" s="55" t="str">
        <f t="shared" si="44"/>
        <v/>
      </c>
      <c r="M96" s="55" t="str">
        <f t="shared" si="45"/>
        <v/>
      </c>
      <c r="N96" s="56" t="str">
        <f t="shared" si="46"/>
        <v/>
      </c>
      <c r="O96" s="55" t="str">
        <f t="shared" si="47"/>
        <v/>
      </c>
      <c r="P96" s="108" t="str">
        <f t="shared" si="48"/>
        <v/>
      </c>
      <c r="Q96" s="116"/>
      <c r="R96" s="116"/>
      <c r="S96" s="55" t="str">
        <f t="shared" si="49"/>
        <v/>
      </c>
      <c r="T96" s="55" t="str">
        <f t="shared" si="50"/>
        <v/>
      </c>
      <c r="U96" s="56" t="str">
        <f t="shared" si="51"/>
        <v/>
      </c>
      <c r="V96" s="55" t="str">
        <f t="shared" si="52"/>
        <v/>
      </c>
      <c r="W96" s="108" t="str">
        <f t="shared" si="53"/>
        <v/>
      </c>
      <c r="X96" s="116"/>
      <c r="Y96" s="116"/>
      <c r="Z96" s="55" t="str">
        <f t="shared" si="54"/>
        <v/>
      </c>
      <c r="AA96" s="55" t="str">
        <f t="shared" si="55"/>
        <v/>
      </c>
      <c r="AB96" s="56" t="str">
        <f t="shared" si="56"/>
        <v/>
      </c>
      <c r="AC96" s="55" t="str">
        <f t="shared" si="57"/>
        <v/>
      </c>
      <c r="AD96" s="108" t="str">
        <f t="shared" si="58"/>
        <v/>
      </c>
      <c r="AE96" s="116">
        <f t="shared" si="59"/>
        <v>0</v>
      </c>
      <c r="AF96" s="117">
        <f t="shared" si="60"/>
        <v>0</v>
      </c>
      <c r="AG96" s="117">
        <f t="shared" si="63"/>
        <v>0</v>
      </c>
      <c r="AH96" s="116">
        <f t="shared" si="64"/>
        <v>0</v>
      </c>
      <c r="AI96" s="116"/>
      <c r="AJ96" s="116"/>
      <c r="AK96" s="69"/>
    </row>
    <row r="97" spans="1:37" x14ac:dyDescent="0.3">
      <c r="A97" s="162" t="s">
        <v>1479</v>
      </c>
      <c r="B97" s="153" t="s">
        <v>1480</v>
      </c>
      <c r="C97" s="116"/>
      <c r="D97" s="116"/>
      <c r="E97" s="55" t="str">
        <f t="shared" si="39"/>
        <v/>
      </c>
      <c r="F97" s="55" t="str">
        <f t="shared" si="40"/>
        <v/>
      </c>
      <c r="G97" s="56" t="str">
        <f t="shared" si="41"/>
        <v/>
      </c>
      <c r="H97" s="55" t="str">
        <f t="shared" si="42"/>
        <v/>
      </c>
      <c r="I97" s="108" t="str">
        <f t="shared" si="43"/>
        <v/>
      </c>
      <c r="J97" s="116"/>
      <c r="K97" s="116"/>
      <c r="L97" s="55" t="str">
        <f t="shared" si="44"/>
        <v/>
      </c>
      <c r="M97" s="55" t="str">
        <f t="shared" si="45"/>
        <v/>
      </c>
      <c r="N97" s="56" t="str">
        <f t="shared" si="46"/>
        <v/>
      </c>
      <c r="O97" s="55" t="str">
        <f t="shared" si="47"/>
        <v/>
      </c>
      <c r="P97" s="108" t="str">
        <f t="shared" si="48"/>
        <v/>
      </c>
      <c r="Q97" s="116"/>
      <c r="R97" s="116"/>
      <c r="S97" s="55" t="str">
        <f t="shared" si="49"/>
        <v/>
      </c>
      <c r="T97" s="55" t="str">
        <f t="shared" si="50"/>
        <v/>
      </c>
      <c r="U97" s="56" t="str">
        <f t="shared" si="51"/>
        <v/>
      </c>
      <c r="V97" s="55" t="str">
        <f t="shared" si="52"/>
        <v/>
      </c>
      <c r="W97" s="108" t="str">
        <f t="shared" si="53"/>
        <v/>
      </c>
      <c r="X97" s="116"/>
      <c r="Y97" s="116"/>
      <c r="Z97" s="55" t="str">
        <f t="shared" si="54"/>
        <v/>
      </c>
      <c r="AA97" s="55" t="str">
        <f t="shared" si="55"/>
        <v/>
      </c>
      <c r="AB97" s="56" t="str">
        <f t="shared" si="56"/>
        <v/>
      </c>
      <c r="AC97" s="55" t="str">
        <f t="shared" si="57"/>
        <v/>
      </c>
      <c r="AD97" s="108" t="str">
        <f t="shared" si="58"/>
        <v/>
      </c>
      <c r="AE97" s="116">
        <f t="shared" si="59"/>
        <v>0</v>
      </c>
      <c r="AF97" s="117">
        <f t="shared" si="60"/>
        <v>0</v>
      </c>
      <c r="AG97" s="117">
        <f t="shared" si="63"/>
        <v>0</v>
      </c>
      <c r="AH97" s="116">
        <f t="shared" si="64"/>
        <v>0</v>
      </c>
      <c r="AI97" s="116"/>
      <c r="AJ97" s="116"/>
      <c r="AK97" s="69"/>
    </row>
    <row r="98" spans="1:37" x14ac:dyDescent="0.3">
      <c r="A98" s="162" t="s">
        <v>1481</v>
      </c>
      <c r="B98" s="153" t="s">
        <v>5705</v>
      </c>
      <c r="C98" s="116"/>
      <c r="D98" s="116"/>
      <c r="E98" s="55" t="str">
        <f t="shared" si="39"/>
        <v/>
      </c>
      <c r="F98" s="55" t="str">
        <f t="shared" si="40"/>
        <v/>
      </c>
      <c r="G98" s="56" t="str">
        <f t="shared" si="41"/>
        <v/>
      </c>
      <c r="H98" s="55" t="str">
        <f t="shared" si="42"/>
        <v/>
      </c>
      <c r="I98" s="108" t="str">
        <f t="shared" si="43"/>
        <v/>
      </c>
      <c r="J98" s="116"/>
      <c r="K98" s="116"/>
      <c r="L98" s="55" t="str">
        <f t="shared" si="44"/>
        <v/>
      </c>
      <c r="M98" s="55" t="str">
        <f t="shared" si="45"/>
        <v/>
      </c>
      <c r="N98" s="56" t="str">
        <f t="shared" si="46"/>
        <v/>
      </c>
      <c r="O98" s="55" t="str">
        <f t="shared" si="47"/>
        <v/>
      </c>
      <c r="P98" s="108" t="str">
        <f t="shared" si="48"/>
        <v/>
      </c>
      <c r="Q98" s="116"/>
      <c r="R98" s="116"/>
      <c r="S98" s="55" t="str">
        <f t="shared" si="49"/>
        <v/>
      </c>
      <c r="T98" s="55" t="str">
        <f t="shared" si="50"/>
        <v/>
      </c>
      <c r="U98" s="56" t="str">
        <f t="shared" si="51"/>
        <v/>
      </c>
      <c r="V98" s="55" t="str">
        <f t="shared" si="52"/>
        <v/>
      </c>
      <c r="W98" s="108" t="str">
        <f t="shared" si="53"/>
        <v/>
      </c>
      <c r="X98" s="116"/>
      <c r="Y98" s="116"/>
      <c r="Z98" s="55" t="str">
        <f t="shared" si="54"/>
        <v/>
      </c>
      <c r="AA98" s="55" t="str">
        <f t="shared" si="55"/>
        <v/>
      </c>
      <c r="AB98" s="56" t="str">
        <f t="shared" si="56"/>
        <v/>
      </c>
      <c r="AC98" s="55" t="str">
        <f t="shared" si="57"/>
        <v/>
      </c>
      <c r="AD98" s="108" t="str">
        <f t="shared" si="58"/>
        <v/>
      </c>
      <c r="AE98" s="116">
        <f t="shared" si="59"/>
        <v>0</v>
      </c>
      <c r="AF98" s="117">
        <f t="shared" si="60"/>
        <v>0</v>
      </c>
      <c r="AG98" s="117">
        <f t="shared" si="63"/>
        <v>0</v>
      </c>
      <c r="AH98" s="116">
        <f t="shared" si="64"/>
        <v>0</v>
      </c>
      <c r="AI98" s="116"/>
      <c r="AJ98" s="116"/>
      <c r="AK98" s="69"/>
    </row>
    <row r="99" spans="1:37" x14ac:dyDescent="0.3">
      <c r="A99" s="162" t="s">
        <v>1482</v>
      </c>
      <c r="B99" s="153" t="s">
        <v>1483</v>
      </c>
      <c r="C99" s="116"/>
      <c r="D99" s="116"/>
      <c r="E99" s="55" t="str">
        <f t="shared" si="39"/>
        <v/>
      </c>
      <c r="F99" s="55" t="str">
        <f t="shared" si="40"/>
        <v/>
      </c>
      <c r="G99" s="56" t="str">
        <f t="shared" si="41"/>
        <v/>
      </c>
      <c r="H99" s="55" t="str">
        <f t="shared" si="42"/>
        <v/>
      </c>
      <c r="I99" s="108" t="str">
        <f t="shared" si="43"/>
        <v/>
      </c>
      <c r="J99" s="116"/>
      <c r="K99" s="116"/>
      <c r="L99" s="55" t="str">
        <f t="shared" si="44"/>
        <v/>
      </c>
      <c r="M99" s="55" t="str">
        <f t="shared" si="45"/>
        <v/>
      </c>
      <c r="N99" s="56" t="str">
        <f t="shared" si="46"/>
        <v/>
      </c>
      <c r="O99" s="55" t="str">
        <f t="shared" si="47"/>
        <v/>
      </c>
      <c r="P99" s="108" t="str">
        <f t="shared" si="48"/>
        <v/>
      </c>
      <c r="Q99" s="116"/>
      <c r="R99" s="116"/>
      <c r="S99" s="55" t="str">
        <f t="shared" si="49"/>
        <v/>
      </c>
      <c r="T99" s="55" t="str">
        <f t="shared" si="50"/>
        <v/>
      </c>
      <c r="U99" s="56" t="str">
        <f t="shared" si="51"/>
        <v/>
      </c>
      <c r="V99" s="55" t="str">
        <f t="shared" si="52"/>
        <v/>
      </c>
      <c r="W99" s="108" t="str">
        <f t="shared" si="53"/>
        <v/>
      </c>
      <c r="X99" s="116"/>
      <c r="Y99" s="116"/>
      <c r="Z99" s="55" t="str">
        <f t="shared" si="54"/>
        <v/>
      </c>
      <c r="AA99" s="55" t="str">
        <f t="shared" si="55"/>
        <v/>
      </c>
      <c r="AB99" s="56" t="str">
        <f t="shared" si="56"/>
        <v/>
      </c>
      <c r="AC99" s="55" t="str">
        <f t="shared" si="57"/>
        <v/>
      </c>
      <c r="AD99" s="108" t="str">
        <f t="shared" si="58"/>
        <v/>
      </c>
      <c r="AE99" s="116">
        <f t="shared" si="59"/>
        <v>0</v>
      </c>
      <c r="AF99" s="117">
        <f t="shared" si="60"/>
        <v>0</v>
      </c>
      <c r="AG99" s="117">
        <f t="shared" si="63"/>
        <v>0</v>
      </c>
      <c r="AH99" s="116">
        <f t="shared" si="64"/>
        <v>0</v>
      </c>
      <c r="AI99" s="116"/>
      <c r="AJ99" s="116"/>
      <c r="AK99" s="69"/>
    </row>
    <row r="100" spans="1:37" x14ac:dyDescent="0.3">
      <c r="A100" s="162" t="s">
        <v>1484</v>
      </c>
      <c r="B100" s="153" t="s">
        <v>1485</v>
      </c>
      <c r="C100" s="116"/>
      <c r="D100" s="116"/>
      <c r="E100" s="55" t="str">
        <f t="shared" si="39"/>
        <v/>
      </c>
      <c r="F100" s="55" t="str">
        <f t="shared" si="40"/>
        <v/>
      </c>
      <c r="G100" s="56" t="str">
        <f t="shared" si="41"/>
        <v/>
      </c>
      <c r="H100" s="55" t="str">
        <f t="shared" si="42"/>
        <v/>
      </c>
      <c r="I100" s="108" t="str">
        <f t="shared" si="43"/>
        <v/>
      </c>
      <c r="J100" s="116"/>
      <c r="K100" s="116"/>
      <c r="L100" s="55" t="str">
        <f t="shared" si="44"/>
        <v/>
      </c>
      <c r="M100" s="55" t="str">
        <f t="shared" si="45"/>
        <v/>
      </c>
      <c r="N100" s="56" t="str">
        <f t="shared" si="46"/>
        <v/>
      </c>
      <c r="O100" s="55" t="str">
        <f t="shared" si="47"/>
        <v/>
      </c>
      <c r="P100" s="108" t="str">
        <f t="shared" si="48"/>
        <v/>
      </c>
      <c r="Q100" s="116"/>
      <c r="R100" s="116"/>
      <c r="S100" s="55" t="str">
        <f t="shared" si="49"/>
        <v/>
      </c>
      <c r="T100" s="55" t="str">
        <f t="shared" si="50"/>
        <v/>
      </c>
      <c r="U100" s="56" t="str">
        <f t="shared" si="51"/>
        <v/>
      </c>
      <c r="V100" s="55" t="str">
        <f t="shared" si="52"/>
        <v/>
      </c>
      <c r="W100" s="108" t="str">
        <f t="shared" si="53"/>
        <v/>
      </c>
      <c r="X100" s="116"/>
      <c r="Y100" s="116"/>
      <c r="Z100" s="55" t="str">
        <f t="shared" si="54"/>
        <v/>
      </c>
      <c r="AA100" s="55" t="str">
        <f t="shared" si="55"/>
        <v/>
      </c>
      <c r="AB100" s="56" t="str">
        <f t="shared" si="56"/>
        <v/>
      </c>
      <c r="AC100" s="55" t="str">
        <f t="shared" si="57"/>
        <v/>
      </c>
      <c r="AD100" s="108" t="str">
        <f t="shared" si="58"/>
        <v/>
      </c>
      <c r="AE100" s="116">
        <f t="shared" si="59"/>
        <v>0</v>
      </c>
      <c r="AF100" s="117">
        <f t="shared" si="60"/>
        <v>0</v>
      </c>
      <c r="AG100" s="117">
        <f t="shared" si="63"/>
        <v>0</v>
      </c>
      <c r="AH100" s="116">
        <f t="shared" si="64"/>
        <v>0</v>
      </c>
      <c r="AI100" s="116"/>
      <c r="AJ100" s="116"/>
      <c r="AK100" s="69"/>
    </row>
    <row r="101" spans="1:37" x14ac:dyDescent="0.3">
      <c r="A101" s="162" t="s">
        <v>1486</v>
      </c>
      <c r="B101" s="153" t="s">
        <v>724</v>
      </c>
      <c r="C101" s="116"/>
      <c r="D101" s="116"/>
      <c r="E101" s="55" t="str">
        <f t="shared" si="39"/>
        <v/>
      </c>
      <c r="F101" s="55" t="str">
        <f t="shared" si="40"/>
        <v/>
      </c>
      <c r="G101" s="56" t="str">
        <f t="shared" si="41"/>
        <v/>
      </c>
      <c r="H101" s="55" t="str">
        <f t="shared" si="42"/>
        <v/>
      </c>
      <c r="I101" s="108" t="str">
        <f t="shared" si="43"/>
        <v/>
      </c>
      <c r="J101" s="116"/>
      <c r="K101" s="116"/>
      <c r="L101" s="55" t="str">
        <f t="shared" si="44"/>
        <v/>
      </c>
      <c r="M101" s="55" t="str">
        <f t="shared" si="45"/>
        <v/>
      </c>
      <c r="N101" s="56" t="str">
        <f t="shared" si="46"/>
        <v/>
      </c>
      <c r="O101" s="55" t="str">
        <f t="shared" si="47"/>
        <v/>
      </c>
      <c r="P101" s="108" t="str">
        <f t="shared" si="48"/>
        <v/>
      </c>
      <c r="Q101" s="116"/>
      <c r="R101" s="116"/>
      <c r="S101" s="55" t="str">
        <f t="shared" si="49"/>
        <v/>
      </c>
      <c r="T101" s="55" t="str">
        <f t="shared" si="50"/>
        <v/>
      </c>
      <c r="U101" s="56" t="str">
        <f t="shared" si="51"/>
        <v/>
      </c>
      <c r="V101" s="55" t="str">
        <f t="shared" si="52"/>
        <v/>
      </c>
      <c r="W101" s="108" t="str">
        <f t="shared" si="53"/>
        <v/>
      </c>
      <c r="X101" s="116"/>
      <c r="Y101" s="116"/>
      <c r="Z101" s="55" t="str">
        <f t="shared" si="54"/>
        <v/>
      </c>
      <c r="AA101" s="55" t="str">
        <f t="shared" si="55"/>
        <v/>
      </c>
      <c r="AB101" s="56" t="str">
        <f t="shared" si="56"/>
        <v/>
      </c>
      <c r="AC101" s="55" t="str">
        <f t="shared" si="57"/>
        <v/>
      </c>
      <c r="AD101" s="108" t="str">
        <f t="shared" si="58"/>
        <v/>
      </c>
      <c r="AE101" s="116">
        <f t="shared" si="59"/>
        <v>0</v>
      </c>
      <c r="AF101" s="117">
        <f t="shared" si="60"/>
        <v>0</v>
      </c>
      <c r="AG101" s="117">
        <f t="shared" si="63"/>
        <v>0</v>
      </c>
      <c r="AH101" s="116">
        <f t="shared" si="64"/>
        <v>0</v>
      </c>
      <c r="AI101" s="116"/>
      <c r="AJ101" s="116"/>
      <c r="AK101" s="69"/>
    </row>
    <row r="102" spans="1:37" x14ac:dyDescent="0.3">
      <c r="A102" s="162" t="s">
        <v>1487</v>
      </c>
      <c r="B102" s="153" t="s">
        <v>1488</v>
      </c>
      <c r="C102" s="116"/>
      <c r="D102" s="116"/>
      <c r="E102" s="55" t="str">
        <f t="shared" si="39"/>
        <v/>
      </c>
      <c r="F102" s="55" t="str">
        <f t="shared" si="40"/>
        <v/>
      </c>
      <c r="G102" s="56" t="str">
        <f t="shared" si="41"/>
        <v/>
      </c>
      <c r="H102" s="55" t="str">
        <f t="shared" si="42"/>
        <v/>
      </c>
      <c r="I102" s="108" t="str">
        <f t="shared" si="43"/>
        <v/>
      </c>
      <c r="J102" s="116"/>
      <c r="K102" s="116"/>
      <c r="L102" s="55" t="str">
        <f t="shared" si="44"/>
        <v/>
      </c>
      <c r="M102" s="55" t="str">
        <f t="shared" si="45"/>
        <v/>
      </c>
      <c r="N102" s="56" t="str">
        <f t="shared" si="46"/>
        <v/>
      </c>
      <c r="O102" s="55" t="str">
        <f t="shared" si="47"/>
        <v/>
      </c>
      <c r="P102" s="108" t="str">
        <f t="shared" si="48"/>
        <v/>
      </c>
      <c r="Q102" s="116"/>
      <c r="R102" s="116"/>
      <c r="S102" s="55" t="str">
        <f t="shared" si="49"/>
        <v/>
      </c>
      <c r="T102" s="55" t="str">
        <f t="shared" si="50"/>
        <v/>
      </c>
      <c r="U102" s="56" t="str">
        <f t="shared" si="51"/>
        <v/>
      </c>
      <c r="V102" s="55" t="str">
        <f t="shared" si="52"/>
        <v/>
      </c>
      <c r="W102" s="108" t="str">
        <f t="shared" si="53"/>
        <v/>
      </c>
      <c r="X102" s="116"/>
      <c r="Y102" s="116"/>
      <c r="Z102" s="55" t="str">
        <f t="shared" si="54"/>
        <v/>
      </c>
      <c r="AA102" s="55" t="str">
        <f t="shared" si="55"/>
        <v/>
      </c>
      <c r="AB102" s="56" t="str">
        <f t="shared" si="56"/>
        <v/>
      </c>
      <c r="AC102" s="55" t="str">
        <f t="shared" si="57"/>
        <v/>
      </c>
      <c r="AD102" s="108" t="str">
        <f t="shared" si="58"/>
        <v/>
      </c>
      <c r="AE102" s="116">
        <f t="shared" si="59"/>
        <v>0</v>
      </c>
      <c r="AF102" s="117">
        <f t="shared" si="60"/>
        <v>0</v>
      </c>
      <c r="AG102" s="117">
        <f t="shared" si="63"/>
        <v>0</v>
      </c>
      <c r="AH102" s="116">
        <f t="shared" si="64"/>
        <v>0</v>
      </c>
      <c r="AI102" s="116"/>
      <c r="AJ102" s="116"/>
      <c r="AK102" s="69"/>
    </row>
    <row r="103" spans="1:37" x14ac:dyDescent="0.3">
      <c r="A103" s="162" t="s">
        <v>1489</v>
      </c>
      <c r="B103" s="153" t="s">
        <v>1490</v>
      </c>
      <c r="C103" s="116"/>
      <c r="D103" s="116"/>
      <c r="E103" s="55" t="str">
        <f t="shared" si="39"/>
        <v/>
      </c>
      <c r="F103" s="55" t="str">
        <f t="shared" si="40"/>
        <v/>
      </c>
      <c r="G103" s="56" t="str">
        <f t="shared" si="41"/>
        <v/>
      </c>
      <c r="H103" s="55" t="str">
        <f t="shared" si="42"/>
        <v/>
      </c>
      <c r="I103" s="108" t="str">
        <f t="shared" si="43"/>
        <v/>
      </c>
      <c r="J103" s="116"/>
      <c r="K103" s="116"/>
      <c r="L103" s="55" t="str">
        <f t="shared" si="44"/>
        <v/>
      </c>
      <c r="M103" s="55" t="str">
        <f t="shared" si="45"/>
        <v/>
      </c>
      <c r="N103" s="56" t="str">
        <f t="shared" si="46"/>
        <v/>
      </c>
      <c r="O103" s="55" t="str">
        <f t="shared" si="47"/>
        <v/>
      </c>
      <c r="P103" s="108" t="str">
        <f t="shared" si="48"/>
        <v/>
      </c>
      <c r="Q103" s="116"/>
      <c r="R103" s="116"/>
      <c r="S103" s="55" t="str">
        <f t="shared" si="49"/>
        <v/>
      </c>
      <c r="T103" s="55" t="str">
        <f t="shared" si="50"/>
        <v/>
      </c>
      <c r="U103" s="56" t="str">
        <f t="shared" si="51"/>
        <v/>
      </c>
      <c r="V103" s="55" t="str">
        <f t="shared" si="52"/>
        <v/>
      </c>
      <c r="W103" s="108" t="str">
        <f t="shared" si="53"/>
        <v/>
      </c>
      <c r="X103" s="116"/>
      <c r="Y103" s="116"/>
      <c r="Z103" s="55" t="str">
        <f t="shared" si="54"/>
        <v/>
      </c>
      <c r="AA103" s="55" t="str">
        <f t="shared" si="55"/>
        <v/>
      </c>
      <c r="AB103" s="56" t="str">
        <f t="shared" si="56"/>
        <v/>
      </c>
      <c r="AC103" s="55" t="str">
        <f t="shared" si="57"/>
        <v/>
      </c>
      <c r="AD103" s="108" t="str">
        <f t="shared" si="58"/>
        <v/>
      </c>
      <c r="AE103" s="116">
        <f t="shared" si="59"/>
        <v>0</v>
      </c>
      <c r="AF103" s="117">
        <f t="shared" si="60"/>
        <v>0</v>
      </c>
      <c r="AG103" s="117">
        <f t="shared" si="63"/>
        <v>0</v>
      </c>
      <c r="AH103" s="116">
        <f t="shared" si="64"/>
        <v>0</v>
      </c>
      <c r="AI103" s="116"/>
      <c r="AJ103" s="116"/>
      <c r="AK103" s="69"/>
    </row>
    <row r="104" spans="1:37" x14ac:dyDescent="0.3">
      <c r="A104" s="162" t="s">
        <v>1491</v>
      </c>
      <c r="B104" s="153" t="s">
        <v>1492</v>
      </c>
      <c r="C104" s="116"/>
      <c r="D104" s="116"/>
      <c r="E104" s="55" t="str">
        <f t="shared" si="39"/>
        <v/>
      </c>
      <c r="F104" s="55" t="str">
        <f t="shared" si="40"/>
        <v/>
      </c>
      <c r="G104" s="56" t="str">
        <f t="shared" si="41"/>
        <v/>
      </c>
      <c r="H104" s="55" t="str">
        <f t="shared" si="42"/>
        <v/>
      </c>
      <c r="I104" s="108" t="str">
        <f t="shared" si="43"/>
        <v/>
      </c>
      <c r="J104" s="116"/>
      <c r="K104" s="116"/>
      <c r="L104" s="55" t="str">
        <f t="shared" si="44"/>
        <v/>
      </c>
      <c r="M104" s="55" t="str">
        <f t="shared" si="45"/>
        <v/>
      </c>
      <c r="N104" s="56" t="str">
        <f t="shared" si="46"/>
        <v/>
      </c>
      <c r="O104" s="55" t="str">
        <f t="shared" si="47"/>
        <v/>
      </c>
      <c r="P104" s="108" t="str">
        <f t="shared" si="48"/>
        <v/>
      </c>
      <c r="Q104" s="116"/>
      <c r="R104" s="116"/>
      <c r="S104" s="55" t="str">
        <f t="shared" si="49"/>
        <v/>
      </c>
      <c r="T104" s="55" t="str">
        <f t="shared" si="50"/>
        <v/>
      </c>
      <c r="U104" s="56" t="str">
        <f t="shared" si="51"/>
        <v/>
      </c>
      <c r="V104" s="55" t="str">
        <f t="shared" si="52"/>
        <v/>
      </c>
      <c r="W104" s="108" t="str">
        <f t="shared" si="53"/>
        <v/>
      </c>
      <c r="X104" s="116"/>
      <c r="Y104" s="116"/>
      <c r="Z104" s="55" t="str">
        <f t="shared" si="54"/>
        <v/>
      </c>
      <c r="AA104" s="55" t="str">
        <f t="shared" si="55"/>
        <v/>
      </c>
      <c r="AB104" s="56" t="str">
        <f t="shared" si="56"/>
        <v/>
      </c>
      <c r="AC104" s="55" t="str">
        <f t="shared" si="57"/>
        <v/>
      </c>
      <c r="AD104" s="108" t="str">
        <f t="shared" si="58"/>
        <v/>
      </c>
      <c r="AE104" s="116">
        <f t="shared" si="59"/>
        <v>0</v>
      </c>
      <c r="AF104" s="117">
        <f t="shared" si="60"/>
        <v>0</v>
      </c>
      <c r="AG104" s="117">
        <f t="shared" si="63"/>
        <v>0</v>
      </c>
      <c r="AH104" s="116">
        <f t="shared" si="64"/>
        <v>0</v>
      </c>
      <c r="AI104" s="116"/>
      <c r="AJ104" s="116"/>
      <c r="AK104" s="69"/>
    </row>
    <row r="105" spans="1:37" x14ac:dyDescent="0.3">
      <c r="A105" s="162" t="s">
        <v>1493</v>
      </c>
      <c r="B105" s="153" t="s">
        <v>1494</v>
      </c>
      <c r="C105" s="116"/>
      <c r="D105" s="116"/>
      <c r="E105" s="55" t="str">
        <f t="shared" si="39"/>
        <v/>
      </c>
      <c r="F105" s="55" t="str">
        <f t="shared" si="40"/>
        <v/>
      </c>
      <c r="G105" s="56" t="str">
        <f t="shared" si="41"/>
        <v/>
      </c>
      <c r="H105" s="55" t="str">
        <f t="shared" si="42"/>
        <v/>
      </c>
      <c r="I105" s="108" t="str">
        <f t="shared" si="43"/>
        <v/>
      </c>
      <c r="J105" s="116"/>
      <c r="K105" s="116"/>
      <c r="L105" s="55" t="str">
        <f t="shared" si="44"/>
        <v/>
      </c>
      <c r="M105" s="55" t="str">
        <f t="shared" si="45"/>
        <v/>
      </c>
      <c r="N105" s="56" t="str">
        <f t="shared" si="46"/>
        <v/>
      </c>
      <c r="O105" s="55" t="str">
        <f t="shared" si="47"/>
        <v/>
      </c>
      <c r="P105" s="108" t="str">
        <f t="shared" si="48"/>
        <v/>
      </c>
      <c r="Q105" s="116"/>
      <c r="R105" s="116"/>
      <c r="S105" s="55" t="str">
        <f t="shared" si="49"/>
        <v/>
      </c>
      <c r="T105" s="55" t="str">
        <f t="shared" si="50"/>
        <v/>
      </c>
      <c r="U105" s="56" t="str">
        <f t="shared" si="51"/>
        <v/>
      </c>
      <c r="V105" s="55" t="str">
        <f t="shared" si="52"/>
        <v/>
      </c>
      <c r="W105" s="108" t="str">
        <f t="shared" si="53"/>
        <v/>
      </c>
      <c r="X105" s="116"/>
      <c r="Y105" s="116"/>
      <c r="Z105" s="55" t="str">
        <f t="shared" si="54"/>
        <v/>
      </c>
      <c r="AA105" s="55" t="str">
        <f t="shared" si="55"/>
        <v/>
      </c>
      <c r="AB105" s="56" t="str">
        <f t="shared" si="56"/>
        <v/>
      </c>
      <c r="AC105" s="55" t="str">
        <f t="shared" si="57"/>
        <v/>
      </c>
      <c r="AD105" s="108" t="str">
        <f t="shared" si="58"/>
        <v/>
      </c>
      <c r="AE105" s="116">
        <f t="shared" si="59"/>
        <v>0</v>
      </c>
      <c r="AF105" s="116">
        <f t="shared" si="60"/>
        <v>0</v>
      </c>
      <c r="AG105" s="116"/>
      <c r="AH105" s="116"/>
      <c r="AI105" s="116">
        <f t="shared" ref="AI105:AJ112" si="65">AE105-AG105</f>
        <v>0</v>
      </c>
      <c r="AJ105" s="116">
        <f t="shared" si="65"/>
        <v>0</v>
      </c>
      <c r="AK105" s="69"/>
    </row>
    <row r="106" spans="1:37" ht="20.399999999999999" x14ac:dyDescent="0.3">
      <c r="A106" s="162" t="s">
        <v>1495</v>
      </c>
      <c r="B106" s="153" t="s">
        <v>1496</v>
      </c>
      <c r="C106" s="116"/>
      <c r="D106" s="116"/>
      <c r="E106" s="55" t="str">
        <f t="shared" si="39"/>
        <v/>
      </c>
      <c r="F106" s="55" t="str">
        <f t="shared" si="40"/>
        <v/>
      </c>
      <c r="G106" s="56" t="str">
        <f t="shared" si="41"/>
        <v/>
      </c>
      <c r="H106" s="55" t="str">
        <f t="shared" si="42"/>
        <v/>
      </c>
      <c r="I106" s="108" t="str">
        <f t="shared" si="43"/>
        <v/>
      </c>
      <c r="J106" s="116"/>
      <c r="K106" s="116"/>
      <c r="L106" s="55" t="str">
        <f t="shared" si="44"/>
        <v/>
      </c>
      <c r="M106" s="55" t="str">
        <f t="shared" si="45"/>
        <v/>
      </c>
      <c r="N106" s="56" t="str">
        <f t="shared" si="46"/>
        <v/>
      </c>
      <c r="O106" s="55" t="str">
        <f t="shared" si="47"/>
        <v/>
      </c>
      <c r="P106" s="108" t="str">
        <f t="shared" si="48"/>
        <v/>
      </c>
      <c r="Q106" s="116"/>
      <c r="R106" s="116"/>
      <c r="S106" s="55" t="str">
        <f t="shared" si="49"/>
        <v/>
      </c>
      <c r="T106" s="55" t="str">
        <f t="shared" si="50"/>
        <v/>
      </c>
      <c r="U106" s="56" t="str">
        <f t="shared" si="51"/>
        <v/>
      </c>
      <c r="V106" s="55" t="str">
        <f t="shared" si="52"/>
        <v/>
      </c>
      <c r="W106" s="108" t="str">
        <f t="shared" si="53"/>
        <v/>
      </c>
      <c r="X106" s="116"/>
      <c r="Y106" s="116"/>
      <c r="Z106" s="55" t="str">
        <f t="shared" si="54"/>
        <v/>
      </c>
      <c r="AA106" s="55" t="str">
        <f t="shared" si="55"/>
        <v/>
      </c>
      <c r="AB106" s="56" t="str">
        <f t="shared" si="56"/>
        <v/>
      </c>
      <c r="AC106" s="55" t="str">
        <f t="shared" si="57"/>
        <v/>
      </c>
      <c r="AD106" s="108" t="str">
        <f t="shared" si="58"/>
        <v/>
      </c>
      <c r="AE106" s="116">
        <f t="shared" si="59"/>
        <v>0</v>
      </c>
      <c r="AF106" s="116">
        <f t="shared" si="60"/>
        <v>0</v>
      </c>
      <c r="AG106" s="116"/>
      <c r="AH106" s="116"/>
      <c r="AI106" s="116">
        <f t="shared" si="65"/>
        <v>0</v>
      </c>
      <c r="AJ106" s="116">
        <f t="shared" si="65"/>
        <v>0</v>
      </c>
      <c r="AK106" s="69"/>
    </row>
    <row r="107" spans="1:37" x14ac:dyDescent="0.3">
      <c r="A107" s="162" t="s">
        <v>1497</v>
      </c>
      <c r="B107" s="153" t="s">
        <v>1498</v>
      </c>
      <c r="C107" s="116"/>
      <c r="D107" s="116"/>
      <c r="E107" s="55" t="str">
        <f t="shared" si="39"/>
        <v/>
      </c>
      <c r="F107" s="55" t="str">
        <f t="shared" si="40"/>
        <v/>
      </c>
      <c r="G107" s="56" t="str">
        <f t="shared" si="41"/>
        <v/>
      </c>
      <c r="H107" s="55" t="str">
        <f t="shared" si="42"/>
        <v/>
      </c>
      <c r="I107" s="108" t="str">
        <f t="shared" si="43"/>
        <v/>
      </c>
      <c r="J107" s="116"/>
      <c r="K107" s="116"/>
      <c r="L107" s="55" t="str">
        <f t="shared" si="44"/>
        <v/>
      </c>
      <c r="M107" s="55" t="str">
        <f t="shared" si="45"/>
        <v/>
      </c>
      <c r="N107" s="56" t="str">
        <f t="shared" si="46"/>
        <v/>
      </c>
      <c r="O107" s="55" t="str">
        <f t="shared" si="47"/>
        <v/>
      </c>
      <c r="P107" s="108" t="str">
        <f t="shared" si="48"/>
        <v/>
      </c>
      <c r="Q107" s="116"/>
      <c r="R107" s="116"/>
      <c r="S107" s="55" t="str">
        <f t="shared" si="49"/>
        <v/>
      </c>
      <c r="T107" s="55" t="str">
        <f t="shared" si="50"/>
        <v/>
      </c>
      <c r="U107" s="56" t="str">
        <f t="shared" si="51"/>
        <v/>
      </c>
      <c r="V107" s="55" t="str">
        <f t="shared" si="52"/>
        <v/>
      </c>
      <c r="W107" s="108" t="str">
        <f t="shared" si="53"/>
        <v/>
      </c>
      <c r="X107" s="116"/>
      <c r="Y107" s="116"/>
      <c r="Z107" s="55" t="str">
        <f t="shared" si="54"/>
        <v/>
      </c>
      <c r="AA107" s="55" t="str">
        <f t="shared" si="55"/>
        <v/>
      </c>
      <c r="AB107" s="56" t="str">
        <f t="shared" si="56"/>
        <v/>
      </c>
      <c r="AC107" s="55" t="str">
        <f t="shared" si="57"/>
        <v/>
      </c>
      <c r="AD107" s="108" t="str">
        <f t="shared" si="58"/>
        <v/>
      </c>
      <c r="AE107" s="116">
        <f t="shared" si="59"/>
        <v>0</v>
      </c>
      <c r="AF107" s="116">
        <f t="shared" si="60"/>
        <v>0</v>
      </c>
      <c r="AG107" s="116"/>
      <c r="AH107" s="116"/>
      <c r="AI107" s="116">
        <f t="shared" si="65"/>
        <v>0</v>
      </c>
      <c r="AJ107" s="116">
        <f t="shared" si="65"/>
        <v>0</v>
      </c>
      <c r="AK107" s="69"/>
    </row>
    <row r="108" spans="1:37" ht="20.399999999999999" x14ac:dyDescent="0.3">
      <c r="A108" s="162" t="s">
        <v>1499</v>
      </c>
      <c r="B108" s="153" t="s">
        <v>1500</v>
      </c>
      <c r="C108" s="116"/>
      <c r="D108" s="116"/>
      <c r="E108" s="55" t="str">
        <f t="shared" si="39"/>
        <v/>
      </c>
      <c r="F108" s="55" t="str">
        <f t="shared" si="40"/>
        <v/>
      </c>
      <c r="G108" s="56" t="str">
        <f t="shared" si="41"/>
        <v/>
      </c>
      <c r="H108" s="55" t="str">
        <f t="shared" si="42"/>
        <v/>
      </c>
      <c r="I108" s="108" t="str">
        <f t="shared" si="43"/>
        <v/>
      </c>
      <c r="J108" s="116"/>
      <c r="K108" s="116"/>
      <c r="L108" s="55" t="str">
        <f t="shared" si="44"/>
        <v/>
      </c>
      <c r="M108" s="55" t="str">
        <f t="shared" si="45"/>
        <v/>
      </c>
      <c r="N108" s="56" t="str">
        <f t="shared" si="46"/>
        <v/>
      </c>
      <c r="O108" s="55" t="str">
        <f t="shared" si="47"/>
        <v/>
      </c>
      <c r="P108" s="108" t="str">
        <f t="shared" si="48"/>
        <v/>
      </c>
      <c r="Q108" s="116"/>
      <c r="R108" s="116"/>
      <c r="S108" s="55" t="str">
        <f t="shared" si="49"/>
        <v/>
      </c>
      <c r="T108" s="55" t="str">
        <f t="shared" si="50"/>
        <v/>
      </c>
      <c r="U108" s="56" t="str">
        <f t="shared" si="51"/>
        <v/>
      </c>
      <c r="V108" s="55" t="str">
        <f t="shared" si="52"/>
        <v/>
      </c>
      <c r="W108" s="108" t="str">
        <f t="shared" si="53"/>
        <v/>
      </c>
      <c r="X108" s="116"/>
      <c r="Y108" s="116"/>
      <c r="Z108" s="55" t="str">
        <f t="shared" si="54"/>
        <v/>
      </c>
      <c r="AA108" s="55" t="str">
        <f t="shared" si="55"/>
        <v/>
      </c>
      <c r="AB108" s="56" t="str">
        <f t="shared" si="56"/>
        <v/>
      </c>
      <c r="AC108" s="55" t="str">
        <f t="shared" si="57"/>
        <v/>
      </c>
      <c r="AD108" s="108" t="str">
        <f t="shared" si="58"/>
        <v/>
      </c>
      <c r="AE108" s="116">
        <f t="shared" si="59"/>
        <v>0</v>
      </c>
      <c r="AF108" s="116">
        <f t="shared" si="60"/>
        <v>0</v>
      </c>
      <c r="AG108" s="116"/>
      <c r="AH108" s="116"/>
      <c r="AI108" s="116">
        <f t="shared" si="65"/>
        <v>0</v>
      </c>
      <c r="AJ108" s="116">
        <f t="shared" si="65"/>
        <v>0</v>
      </c>
      <c r="AK108" s="69"/>
    </row>
    <row r="109" spans="1:37" x14ac:dyDescent="0.3">
      <c r="A109" s="162" t="s">
        <v>1501</v>
      </c>
      <c r="B109" s="153" t="s">
        <v>1502</v>
      </c>
      <c r="C109" s="116"/>
      <c r="D109" s="116"/>
      <c r="E109" s="55" t="str">
        <f t="shared" si="39"/>
        <v/>
      </c>
      <c r="F109" s="55" t="str">
        <f t="shared" si="40"/>
        <v/>
      </c>
      <c r="G109" s="56" t="str">
        <f t="shared" si="41"/>
        <v/>
      </c>
      <c r="H109" s="55" t="str">
        <f t="shared" si="42"/>
        <v/>
      </c>
      <c r="I109" s="108" t="str">
        <f t="shared" si="43"/>
        <v/>
      </c>
      <c r="J109" s="116"/>
      <c r="K109" s="116"/>
      <c r="L109" s="55" t="str">
        <f t="shared" si="44"/>
        <v/>
      </c>
      <c r="M109" s="55" t="str">
        <f t="shared" si="45"/>
        <v/>
      </c>
      <c r="N109" s="56" t="str">
        <f t="shared" si="46"/>
        <v/>
      </c>
      <c r="O109" s="55" t="str">
        <f t="shared" si="47"/>
        <v/>
      </c>
      <c r="P109" s="108" t="str">
        <f t="shared" si="48"/>
        <v/>
      </c>
      <c r="Q109" s="116"/>
      <c r="R109" s="116"/>
      <c r="S109" s="55" t="str">
        <f t="shared" si="49"/>
        <v/>
      </c>
      <c r="T109" s="55" t="str">
        <f t="shared" si="50"/>
        <v/>
      </c>
      <c r="U109" s="56" t="str">
        <f t="shared" si="51"/>
        <v/>
      </c>
      <c r="V109" s="55" t="str">
        <f t="shared" si="52"/>
        <v/>
      </c>
      <c r="W109" s="108" t="str">
        <f t="shared" si="53"/>
        <v/>
      </c>
      <c r="X109" s="116"/>
      <c r="Y109" s="116"/>
      <c r="Z109" s="55" t="str">
        <f t="shared" si="54"/>
        <v/>
      </c>
      <c r="AA109" s="55" t="str">
        <f t="shared" si="55"/>
        <v/>
      </c>
      <c r="AB109" s="56" t="str">
        <f t="shared" si="56"/>
        <v/>
      </c>
      <c r="AC109" s="55" t="str">
        <f t="shared" si="57"/>
        <v/>
      </c>
      <c r="AD109" s="108" t="str">
        <f t="shared" si="58"/>
        <v/>
      </c>
      <c r="AE109" s="116">
        <f t="shared" si="59"/>
        <v>0</v>
      </c>
      <c r="AF109" s="116">
        <f t="shared" si="60"/>
        <v>0</v>
      </c>
      <c r="AG109" s="116"/>
      <c r="AH109" s="116"/>
      <c r="AI109" s="116">
        <f t="shared" si="65"/>
        <v>0</v>
      </c>
      <c r="AJ109" s="116">
        <f t="shared" si="65"/>
        <v>0</v>
      </c>
      <c r="AK109" s="69"/>
    </row>
    <row r="110" spans="1:37" x14ac:dyDescent="0.3">
      <c r="A110" s="162" t="s">
        <v>1503</v>
      </c>
      <c r="B110" s="153" t="s">
        <v>1504</v>
      </c>
      <c r="C110" s="116"/>
      <c r="D110" s="116"/>
      <c r="E110" s="55" t="str">
        <f t="shared" si="39"/>
        <v/>
      </c>
      <c r="F110" s="55" t="str">
        <f t="shared" si="40"/>
        <v/>
      </c>
      <c r="G110" s="56" t="str">
        <f t="shared" si="41"/>
        <v/>
      </c>
      <c r="H110" s="55" t="str">
        <f t="shared" si="42"/>
        <v/>
      </c>
      <c r="I110" s="108" t="str">
        <f t="shared" si="43"/>
        <v/>
      </c>
      <c r="J110" s="116"/>
      <c r="K110" s="116"/>
      <c r="L110" s="55" t="str">
        <f t="shared" si="44"/>
        <v/>
      </c>
      <c r="M110" s="55" t="str">
        <f t="shared" si="45"/>
        <v/>
      </c>
      <c r="N110" s="56" t="str">
        <f t="shared" si="46"/>
        <v/>
      </c>
      <c r="O110" s="55" t="str">
        <f t="shared" si="47"/>
        <v/>
      </c>
      <c r="P110" s="108" t="str">
        <f t="shared" si="48"/>
        <v/>
      </c>
      <c r="Q110" s="116"/>
      <c r="R110" s="116"/>
      <c r="S110" s="55" t="str">
        <f t="shared" si="49"/>
        <v/>
      </c>
      <c r="T110" s="55" t="str">
        <f t="shared" si="50"/>
        <v/>
      </c>
      <c r="U110" s="56" t="str">
        <f t="shared" si="51"/>
        <v/>
      </c>
      <c r="V110" s="55" t="str">
        <f t="shared" si="52"/>
        <v/>
      </c>
      <c r="W110" s="108" t="str">
        <f t="shared" si="53"/>
        <v/>
      </c>
      <c r="X110" s="116"/>
      <c r="Y110" s="116"/>
      <c r="Z110" s="55" t="str">
        <f t="shared" si="54"/>
        <v/>
      </c>
      <c r="AA110" s="55" t="str">
        <f t="shared" si="55"/>
        <v/>
      </c>
      <c r="AB110" s="56" t="str">
        <f t="shared" si="56"/>
        <v/>
      </c>
      <c r="AC110" s="55" t="str">
        <f t="shared" si="57"/>
        <v/>
      </c>
      <c r="AD110" s="108" t="str">
        <f t="shared" si="58"/>
        <v/>
      </c>
      <c r="AE110" s="116">
        <f t="shared" si="59"/>
        <v>0</v>
      </c>
      <c r="AF110" s="116">
        <f t="shared" si="60"/>
        <v>0</v>
      </c>
      <c r="AG110" s="116"/>
      <c r="AH110" s="116"/>
      <c r="AI110" s="116">
        <f t="shared" si="65"/>
        <v>0</v>
      </c>
      <c r="AJ110" s="116">
        <f t="shared" si="65"/>
        <v>0</v>
      </c>
      <c r="AK110" s="69"/>
    </row>
    <row r="111" spans="1:37" x14ac:dyDescent="0.3">
      <c r="A111" s="162" t="s">
        <v>1505</v>
      </c>
      <c r="B111" s="153" t="s">
        <v>1506</v>
      </c>
      <c r="C111" s="116"/>
      <c r="D111" s="116"/>
      <c r="E111" s="55" t="str">
        <f t="shared" si="39"/>
        <v/>
      </c>
      <c r="F111" s="55" t="str">
        <f t="shared" si="40"/>
        <v/>
      </c>
      <c r="G111" s="56" t="str">
        <f t="shared" si="41"/>
        <v/>
      </c>
      <c r="H111" s="55" t="str">
        <f t="shared" si="42"/>
        <v/>
      </c>
      <c r="I111" s="108" t="str">
        <f t="shared" si="43"/>
        <v/>
      </c>
      <c r="J111" s="116"/>
      <c r="K111" s="116"/>
      <c r="L111" s="55" t="str">
        <f t="shared" si="44"/>
        <v/>
      </c>
      <c r="M111" s="55" t="str">
        <f t="shared" si="45"/>
        <v/>
      </c>
      <c r="N111" s="56" t="str">
        <f t="shared" si="46"/>
        <v/>
      </c>
      <c r="O111" s="55" t="str">
        <f t="shared" si="47"/>
        <v/>
      </c>
      <c r="P111" s="108" t="str">
        <f t="shared" si="48"/>
        <v/>
      </c>
      <c r="Q111" s="116"/>
      <c r="R111" s="116"/>
      <c r="S111" s="55" t="str">
        <f t="shared" si="49"/>
        <v/>
      </c>
      <c r="T111" s="55" t="str">
        <f t="shared" si="50"/>
        <v/>
      </c>
      <c r="U111" s="56" t="str">
        <f t="shared" si="51"/>
        <v/>
      </c>
      <c r="V111" s="55" t="str">
        <f t="shared" si="52"/>
        <v/>
      </c>
      <c r="W111" s="108" t="str">
        <f t="shared" si="53"/>
        <v/>
      </c>
      <c r="X111" s="116"/>
      <c r="Y111" s="116"/>
      <c r="Z111" s="55" t="str">
        <f t="shared" si="54"/>
        <v/>
      </c>
      <c r="AA111" s="55" t="str">
        <f t="shared" si="55"/>
        <v/>
      </c>
      <c r="AB111" s="56" t="str">
        <f t="shared" si="56"/>
        <v/>
      </c>
      <c r="AC111" s="55" t="str">
        <f t="shared" si="57"/>
        <v/>
      </c>
      <c r="AD111" s="108" t="str">
        <f t="shared" si="58"/>
        <v/>
      </c>
      <c r="AE111" s="116">
        <f t="shared" si="59"/>
        <v>0</v>
      </c>
      <c r="AF111" s="116">
        <f t="shared" si="60"/>
        <v>0</v>
      </c>
      <c r="AG111" s="116"/>
      <c r="AH111" s="116"/>
      <c r="AI111" s="116">
        <f t="shared" si="65"/>
        <v>0</v>
      </c>
      <c r="AJ111" s="116">
        <f t="shared" si="65"/>
        <v>0</v>
      </c>
      <c r="AK111" s="69"/>
    </row>
    <row r="112" spans="1:37" x14ac:dyDescent="0.3">
      <c r="A112" s="162" t="s">
        <v>1507</v>
      </c>
      <c r="B112" s="153" t="s">
        <v>1068</v>
      </c>
      <c r="C112" s="116"/>
      <c r="D112" s="116"/>
      <c r="E112" s="55" t="str">
        <f t="shared" si="39"/>
        <v/>
      </c>
      <c r="F112" s="55" t="str">
        <f t="shared" si="40"/>
        <v/>
      </c>
      <c r="G112" s="56" t="str">
        <f t="shared" si="41"/>
        <v/>
      </c>
      <c r="H112" s="55" t="str">
        <f t="shared" si="42"/>
        <v/>
      </c>
      <c r="I112" s="108" t="str">
        <f t="shared" si="43"/>
        <v/>
      </c>
      <c r="J112" s="116"/>
      <c r="K112" s="116"/>
      <c r="L112" s="55" t="str">
        <f t="shared" si="44"/>
        <v/>
      </c>
      <c r="M112" s="55" t="str">
        <f t="shared" si="45"/>
        <v/>
      </c>
      <c r="N112" s="56" t="str">
        <f t="shared" si="46"/>
        <v/>
      </c>
      <c r="O112" s="55" t="str">
        <f t="shared" si="47"/>
        <v/>
      </c>
      <c r="P112" s="108" t="str">
        <f t="shared" si="48"/>
        <v/>
      </c>
      <c r="Q112" s="116"/>
      <c r="R112" s="116"/>
      <c r="S112" s="55" t="str">
        <f t="shared" si="49"/>
        <v/>
      </c>
      <c r="T112" s="55" t="str">
        <f t="shared" si="50"/>
        <v/>
      </c>
      <c r="U112" s="56" t="str">
        <f t="shared" si="51"/>
        <v/>
      </c>
      <c r="V112" s="55" t="str">
        <f t="shared" si="52"/>
        <v/>
      </c>
      <c r="W112" s="108" t="str">
        <f t="shared" si="53"/>
        <v/>
      </c>
      <c r="X112" s="116"/>
      <c r="Y112" s="116"/>
      <c r="Z112" s="55" t="str">
        <f t="shared" si="54"/>
        <v/>
      </c>
      <c r="AA112" s="55" t="str">
        <f t="shared" si="55"/>
        <v/>
      </c>
      <c r="AB112" s="56" t="str">
        <f t="shared" si="56"/>
        <v/>
      </c>
      <c r="AC112" s="55" t="str">
        <f t="shared" si="57"/>
        <v/>
      </c>
      <c r="AD112" s="108" t="str">
        <f t="shared" si="58"/>
        <v/>
      </c>
      <c r="AE112" s="116">
        <f t="shared" si="59"/>
        <v>0</v>
      </c>
      <c r="AF112" s="116">
        <f t="shared" si="60"/>
        <v>0</v>
      </c>
      <c r="AG112" s="116"/>
      <c r="AH112" s="116"/>
      <c r="AI112" s="116">
        <f t="shared" si="65"/>
        <v>0</v>
      </c>
      <c r="AJ112" s="116">
        <f t="shared" si="65"/>
        <v>0</v>
      </c>
      <c r="AK112" s="69"/>
    </row>
    <row r="113" spans="1:37" ht="51" x14ac:dyDescent="0.3">
      <c r="A113" s="162" t="s">
        <v>1508</v>
      </c>
      <c r="B113" s="153" t="s">
        <v>5408</v>
      </c>
      <c r="C113" s="116"/>
      <c r="D113" s="116"/>
      <c r="E113" s="55" t="str">
        <f t="shared" ref="E113" si="66">IFERROR(TRUNC(IF(C113&lt;&gt;0,C113/$C$121,"")*100,2),"")</f>
        <v/>
      </c>
      <c r="F113" s="55" t="str">
        <f t="shared" ref="F113" si="67">IFERROR(TRUNC(IF(D113&lt;&gt;0,D113/$D$121,"")*100,2),"")</f>
        <v/>
      </c>
      <c r="G113" s="56" t="str">
        <f t="shared" ref="G113" si="68">IF(OR(C113&lt;&gt;0,D113&lt;&gt;0),C113-D113,"")</f>
        <v/>
      </c>
      <c r="H113" s="55" t="str">
        <f t="shared" ref="H113" si="69">IFERROR(ABS(IF(G113&lt;&gt;0,IF(D113&lt;&gt;0,TRUNC(G113/D113*100,2),IF(C113&lt;&gt;0,TRUNC(G113/C113*100,2),"")),"")),"")</f>
        <v/>
      </c>
      <c r="I113" s="108" t="str">
        <f t="shared" ref="I113" si="70">IF(AND(AE$121=0,AF$121=0),"",IF(OR(N(E113)&lt;&gt;0,N(F113)&lt;&gt;0),IF(OR(N(E113)&gt;4,N(F113)&gt;4),IF(N(H113)&gt;14,"SI","NO"),"NO"),"NO"))</f>
        <v/>
      </c>
      <c r="J113" s="116"/>
      <c r="K113" s="116"/>
      <c r="L113" s="55" t="str">
        <f t="shared" ref="L113" si="71">IFERROR(TRUNC(IF(J113&lt;&gt;0,J113/$J$121,"")*100,2),"")</f>
        <v/>
      </c>
      <c r="M113" s="55" t="str">
        <f t="shared" ref="M113" si="72">IFERROR(TRUNC(IF(K113&lt;&gt;0,K113/$K$121,"")*100,2),"")</f>
        <v/>
      </c>
      <c r="N113" s="56" t="str">
        <f t="shared" ref="N113" si="73">IF(OR(J113&lt;&gt;0,K113&lt;&gt;0),J113-K113,"")</f>
        <v/>
      </c>
      <c r="O113" s="55" t="str">
        <f t="shared" ref="O113" si="74">IFERROR(ABS(IF(N113&lt;&gt;0,IF(K113&lt;&gt;0,TRUNC(N113/K113*100,2),IF(J113&lt;&gt;0,TRUNC(N113/J113*100,2),"")),"")),"")</f>
        <v/>
      </c>
      <c r="P113" s="108" t="str">
        <f t="shared" ref="P113" si="75">IF(AND(AE$121=0,AF$121=0),"",IF(OR(N(L113)&lt;&gt;0,N(M113)&lt;&gt;0),IF(OR(N(L113)&gt;4,N(M113)&gt;4),IF(N(O113)&gt;14,"SI","NO"),"NO"),"NO"))</f>
        <v/>
      </c>
      <c r="Q113" s="116"/>
      <c r="R113" s="116"/>
      <c r="S113" s="55" t="str">
        <f t="shared" ref="S113" si="76">IFERROR(TRUNC(IF(Q113&lt;&gt;0,Q113/$Q$121,"")*100,2),"")</f>
        <v/>
      </c>
      <c r="T113" s="55" t="str">
        <f t="shared" ref="T113" si="77">IFERROR(TRUNC(IF(R113&lt;&gt;0,R113/$R$121,"")*100,2),"")</f>
        <v/>
      </c>
      <c r="U113" s="56" t="str">
        <f t="shared" ref="U113" si="78">IF(OR(Q113&lt;&gt;0,R113&lt;&gt;0),Q113-R113,"")</f>
        <v/>
      </c>
      <c r="V113" s="55" t="str">
        <f t="shared" ref="V113" si="79">IFERROR(ABS(IF(U113&lt;&gt;0,IF(R113&lt;&gt;0,TRUNC(U113/R113*100,2),IF(Q113&lt;&gt;0,TRUNC(U113/Q113*100,2),"")),"")),"")</f>
        <v/>
      </c>
      <c r="W113" s="108" t="str">
        <f t="shared" ref="W113" si="80">IF(AND(AE$121=0,AF$121=0),"",IF(OR(N(S113)&lt;&gt;0,N(T113)&lt;&gt;0),IF(OR(N(S113)&gt;4,N(T113)&gt;4),IF(N(V113)&gt;14,"SI","NO"),"NO"),"NO"))</f>
        <v/>
      </c>
      <c r="X113" s="116"/>
      <c r="Y113" s="116"/>
      <c r="Z113" s="55" t="str">
        <f t="shared" ref="Z113" si="81">IFERROR(TRUNC(IF(X113&lt;&gt;0,X113/$X$121,"")*100,2),"")</f>
        <v/>
      </c>
      <c r="AA113" s="55" t="str">
        <f t="shared" ref="AA113" si="82">IFERROR(TRUNC(IF(Y113&lt;&gt;0,Y113/$Y$121,"")*100,2),"")</f>
        <v/>
      </c>
      <c r="AB113" s="56" t="str">
        <f t="shared" ref="AB113" si="83">IF(OR(X113&lt;&gt;0,Y113&lt;&gt;0),X113-Y113,"")</f>
        <v/>
      </c>
      <c r="AC113" s="55" t="str">
        <f t="shared" ref="AC113" si="84">IFERROR(ABS(IF(AB113&lt;&gt;0,IF(Y113&lt;&gt;0,TRUNC(AB113/Y113*100,2),IF(X113&lt;&gt;0,TRUNC(AB113/X113*100,2),"")),"")),"")</f>
        <v/>
      </c>
      <c r="AD113" s="108" t="str">
        <f t="shared" ref="AD113" si="85">IF(AND(AE$121=0,AF$121=0),"",IF(OR(N(Z113)&lt;&gt;0,N(AA113)&lt;&gt;0),IF(OR(N(Z113)&gt;4,N(AA113)&gt;4),IF(N(AC113)&gt;14,"SI","NO"),"NO"),"NO"))</f>
        <v/>
      </c>
      <c r="AE113" s="116">
        <f t="shared" ref="AE113" si="86">ROUND(C113+J113+Q113+X113,0)</f>
        <v>0</v>
      </c>
      <c r="AF113" s="116">
        <f t="shared" ref="AF113" si="87">ROUND(D113+K113+R113+Y113,0)</f>
        <v>0</v>
      </c>
      <c r="AG113" s="116"/>
      <c r="AH113" s="116"/>
      <c r="AI113" s="116">
        <f t="shared" ref="AI113" si="88">AE113-AG113</f>
        <v>0</v>
      </c>
      <c r="AJ113" s="116">
        <f t="shared" ref="AJ113" si="89">AF113-AH113</f>
        <v>0</v>
      </c>
      <c r="AK113" s="149"/>
    </row>
    <row r="114" spans="1:37" x14ac:dyDescent="0.3">
      <c r="A114" s="162" t="s">
        <v>1509</v>
      </c>
      <c r="B114" s="153" t="s">
        <v>638</v>
      </c>
      <c r="C114" s="52"/>
      <c r="D114" s="52"/>
      <c r="E114" s="57"/>
      <c r="F114" s="57"/>
      <c r="G114" s="52"/>
      <c r="H114" s="57"/>
      <c r="I114" s="58"/>
      <c r="J114" s="52"/>
      <c r="K114" s="52"/>
      <c r="L114" s="57"/>
      <c r="M114" s="57"/>
      <c r="N114" s="52"/>
      <c r="O114" s="57"/>
      <c r="P114" s="58"/>
      <c r="Q114" s="52"/>
      <c r="R114" s="52"/>
      <c r="S114" s="57"/>
      <c r="T114" s="57"/>
      <c r="U114" s="52"/>
      <c r="V114" s="57"/>
      <c r="W114" s="58"/>
      <c r="X114" s="52"/>
      <c r="Y114" s="52"/>
      <c r="Z114" s="57"/>
      <c r="AA114" s="57"/>
      <c r="AB114" s="52"/>
      <c r="AC114" s="57"/>
      <c r="AD114" s="58"/>
      <c r="AE114" s="52"/>
      <c r="AF114" s="52"/>
      <c r="AG114" s="52"/>
      <c r="AH114" s="52"/>
      <c r="AI114" s="52"/>
      <c r="AJ114" s="52"/>
      <c r="AK114" s="69"/>
    </row>
    <row r="115" spans="1:37" x14ac:dyDescent="0.3">
      <c r="A115" s="162" t="s">
        <v>1511</v>
      </c>
      <c r="B115" s="153" t="s">
        <v>1510</v>
      </c>
      <c r="C115" s="54">
        <f>ROUND(SUM(C71:C113)+C114,0)</f>
        <v>0</v>
      </c>
      <c r="D115" s="54">
        <f>ROUND(SUM(D71:D113)+D114,0)</f>
        <v>0</v>
      </c>
      <c r="E115" s="34"/>
      <c r="F115" s="34"/>
      <c r="G115" s="34"/>
      <c r="H115" s="34"/>
      <c r="I115" s="34"/>
      <c r="J115" s="54">
        <f>ROUND(SUM(J71:J113)+J114,0)</f>
        <v>0</v>
      </c>
      <c r="K115" s="54">
        <f>ROUND(SUM(K71:K113)+K114,0)</f>
        <v>0</v>
      </c>
      <c r="L115" s="29"/>
      <c r="M115" s="29"/>
      <c r="N115" s="29"/>
      <c r="O115" s="29"/>
      <c r="P115" s="29"/>
      <c r="Q115" s="54">
        <f>ROUND(SUM(Q71:Q113)+Q114,0)</f>
        <v>0</v>
      </c>
      <c r="R115" s="54">
        <f>ROUND(SUM(R71:R113)+R114,0)</f>
        <v>0</v>
      </c>
      <c r="S115" s="29"/>
      <c r="T115" s="29"/>
      <c r="U115" s="29"/>
      <c r="V115" s="29"/>
      <c r="W115" s="29"/>
      <c r="X115" s="54">
        <f>ROUND(SUM(X71:X113)+X114,0)</f>
        <v>0</v>
      </c>
      <c r="Y115" s="54">
        <f>ROUND(SUM(Y71:Y113)+Y114,0)</f>
        <v>0</v>
      </c>
      <c r="Z115" s="29"/>
      <c r="AA115" s="29"/>
      <c r="AB115" s="29"/>
      <c r="AC115" s="29"/>
      <c r="AD115" s="29"/>
      <c r="AE115" s="54">
        <f t="shared" ref="AE115:AJ115" si="90">ROUND(SUM(AE71:AE113)+AE114,0)</f>
        <v>0</v>
      </c>
      <c r="AF115" s="54">
        <f t="shared" si="90"/>
        <v>0</v>
      </c>
      <c r="AG115" s="54">
        <f t="shared" si="90"/>
        <v>0</v>
      </c>
      <c r="AH115" s="54">
        <f t="shared" si="90"/>
        <v>0</v>
      </c>
      <c r="AI115" s="54">
        <f t="shared" si="90"/>
        <v>0</v>
      </c>
      <c r="AJ115" s="54">
        <f t="shared" si="90"/>
        <v>0</v>
      </c>
      <c r="AK115" s="69"/>
    </row>
    <row r="116" spans="1:37" x14ac:dyDescent="0.3">
      <c r="A116" s="162"/>
      <c r="B116" s="153"/>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69"/>
    </row>
    <row r="117" spans="1:37" x14ac:dyDescent="0.3">
      <c r="A117" s="162" t="s">
        <v>1513</v>
      </c>
      <c r="B117" s="153" t="s">
        <v>1512</v>
      </c>
      <c r="C117" s="54">
        <f>ROUND(C19+C29+C39+C49+C57+C63+C67+C115,0)</f>
        <v>0</v>
      </c>
      <c r="D117" s="54">
        <f>ROUND(D19+D29+D39+D49+D57+D63+D67+D115,0)</f>
        <v>0</v>
      </c>
      <c r="E117" s="29"/>
      <c r="F117" s="29"/>
      <c r="G117" s="29"/>
      <c r="H117" s="29"/>
      <c r="I117" s="29"/>
      <c r="J117" s="54">
        <f>ROUND(J19+J29+J39+J49+J57+J63+J67+J115,0)</f>
        <v>0</v>
      </c>
      <c r="K117" s="54">
        <f>ROUND(K19+K29+K39+K49+K57+K63+K67+K115,0)</f>
        <v>0</v>
      </c>
      <c r="L117" s="29"/>
      <c r="M117" s="29"/>
      <c r="N117" s="29"/>
      <c r="O117" s="29"/>
      <c r="P117" s="29"/>
      <c r="Q117" s="54">
        <f>ROUND(Q19+Q29+Q39+Q49+Q57+Q63+Q67+Q115,0)</f>
        <v>0</v>
      </c>
      <c r="R117" s="54">
        <f>ROUND(R19+R29+R39+R49+R57+R63+R67+R115,0)</f>
        <v>0</v>
      </c>
      <c r="S117" s="29"/>
      <c r="T117" s="29"/>
      <c r="U117" s="29"/>
      <c r="V117" s="29"/>
      <c r="W117" s="29"/>
      <c r="X117" s="54">
        <f>ROUND(X19+X29+X39+X49+X57+X63+X67+X115,0)</f>
        <v>0</v>
      </c>
      <c r="Y117" s="54">
        <f>ROUND(Y19+Y29+Y39+Y49+Y57+Y63+Y67+Y115,0)</f>
        <v>0</v>
      </c>
      <c r="Z117" s="29"/>
      <c r="AA117" s="29"/>
      <c r="AB117" s="29"/>
      <c r="AC117" s="29"/>
      <c r="AD117" s="29"/>
      <c r="AE117" s="54">
        <f t="shared" ref="AE117:AJ117" si="91">ROUND(AE19+AE29+AE39+AE49+AE57+AE63+AE67+AE115,0)</f>
        <v>0</v>
      </c>
      <c r="AF117" s="54">
        <f t="shared" si="91"/>
        <v>0</v>
      </c>
      <c r="AG117" s="54">
        <f t="shared" si="91"/>
        <v>0</v>
      </c>
      <c r="AH117" s="54">
        <f t="shared" si="91"/>
        <v>0</v>
      </c>
      <c r="AI117" s="54">
        <f t="shared" si="91"/>
        <v>0</v>
      </c>
      <c r="AJ117" s="54">
        <f t="shared" si="91"/>
        <v>0</v>
      </c>
      <c r="AK117" s="69"/>
    </row>
    <row r="118" spans="1:37" x14ac:dyDescent="0.3">
      <c r="A118" s="162"/>
      <c r="B118" s="153"/>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69"/>
    </row>
    <row r="119" spans="1:37" x14ac:dyDescent="0.3">
      <c r="A119" s="162" t="s">
        <v>1515</v>
      </c>
      <c r="B119" s="153" t="s">
        <v>1514</v>
      </c>
      <c r="C119" s="116"/>
      <c r="D119" s="116"/>
      <c r="E119" s="29"/>
      <c r="F119" s="29"/>
      <c r="G119" s="29"/>
      <c r="H119" s="29"/>
      <c r="I119" s="29"/>
      <c r="J119" s="116"/>
      <c r="K119" s="116"/>
      <c r="L119" s="29"/>
      <c r="M119" s="29"/>
      <c r="N119" s="29"/>
      <c r="O119" s="29"/>
      <c r="P119" s="29"/>
      <c r="Q119" s="116"/>
      <c r="R119" s="116"/>
      <c r="S119" s="29"/>
      <c r="T119" s="29"/>
      <c r="U119" s="29"/>
      <c r="V119" s="29"/>
      <c r="W119" s="29"/>
      <c r="X119" s="116"/>
      <c r="Y119" s="116"/>
      <c r="Z119" s="29"/>
      <c r="AA119" s="29"/>
      <c r="AB119" s="29"/>
      <c r="AC119" s="29"/>
      <c r="AD119" s="29"/>
      <c r="AE119" s="116">
        <f>ROUND(C119+J119+Q119+X119,0)</f>
        <v>0</v>
      </c>
      <c r="AF119" s="116">
        <f>ROUND(D119+K119+R119+Y119,0)</f>
        <v>0</v>
      </c>
      <c r="AG119" s="116"/>
      <c r="AH119" s="116"/>
      <c r="AI119" s="116">
        <f>AE119-AG119</f>
        <v>0</v>
      </c>
      <c r="AJ119" s="116">
        <f>AF119-AH119</f>
        <v>0</v>
      </c>
      <c r="AK119" s="69"/>
    </row>
    <row r="120" spans="1:37" x14ac:dyDescent="0.3">
      <c r="A120" s="162"/>
      <c r="B120" s="153"/>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69"/>
    </row>
    <row r="121" spans="1:37" x14ac:dyDescent="0.3">
      <c r="A121" s="162" t="s">
        <v>5409</v>
      </c>
      <c r="B121" s="153" t="s">
        <v>1516</v>
      </c>
      <c r="C121" s="73">
        <f>C117+C119</f>
        <v>0</v>
      </c>
      <c r="D121" s="117">
        <f>D117+D119</f>
        <v>0</v>
      </c>
      <c r="E121" s="29"/>
      <c r="F121" s="29"/>
      <c r="G121" s="29"/>
      <c r="H121" s="29"/>
      <c r="I121" s="29"/>
      <c r="J121" s="73">
        <f>J117+J119</f>
        <v>0</v>
      </c>
      <c r="K121" s="117">
        <f>K117+K119</f>
        <v>0</v>
      </c>
      <c r="L121" s="29"/>
      <c r="M121" s="29"/>
      <c r="N121" s="29"/>
      <c r="O121" s="29"/>
      <c r="P121" s="29"/>
      <c r="Q121" s="73">
        <f>Q117+Q119</f>
        <v>0</v>
      </c>
      <c r="R121" s="117">
        <f>R117+R119</f>
        <v>0</v>
      </c>
      <c r="S121" s="29"/>
      <c r="T121" s="29"/>
      <c r="U121" s="29"/>
      <c r="V121" s="29"/>
      <c r="W121" s="29"/>
      <c r="X121" s="73">
        <f>X117+X119</f>
        <v>0</v>
      </c>
      <c r="Y121" s="117">
        <f>Y117+Y119</f>
        <v>0</v>
      </c>
      <c r="Z121" s="29"/>
      <c r="AA121" s="29"/>
      <c r="AB121" s="29"/>
      <c r="AC121" s="29"/>
      <c r="AD121" s="29"/>
      <c r="AE121" s="54">
        <f t="shared" ref="AE121:AJ121" si="92">AE117+AE119</f>
        <v>0</v>
      </c>
      <c r="AF121" s="54">
        <f t="shared" si="92"/>
        <v>0</v>
      </c>
      <c r="AG121" s="54">
        <f t="shared" si="92"/>
        <v>0</v>
      </c>
      <c r="AH121" s="54">
        <f t="shared" si="92"/>
        <v>0</v>
      </c>
      <c r="AI121" s="54">
        <f t="shared" si="92"/>
        <v>0</v>
      </c>
      <c r="AJ121" s="54">
        <f t="shared" si="92"/>
        <v>0</v>
      </c>
      <c r="AK121" s="69"/>
    </row>
    <row r="122" spans="1:37" x14ac:dyDescent="0.3">
      <c r="A122" s="163"/>
      <c r="B122" s="160"/>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69"/>
    </row>
    <row r="123" spans="1:37" ht="8.1" customHeight="1" x14ac:dyDescent="0.3">
      <c r="A123" s="166" t="s">
        <v>0</v>
      </c>
      <c r="B123" s="152"/>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99"/>
  <sheetViews>
    <sheetView workbookViewId="0"/>
  </sheetViews>
  <sheetFormatPr defaultColWidth="11.5546875" defaultRowHeight="14.4" x14ac:dyDescent="0.3"/>
  <cols>
    <col min="1" max="1" width="14.33203125" style="107" customWidth="1"/>
    <col min="2" max="2" width="35.6640625" style="107" customWidth="1"/>
    <col min="3" max="4" width="18.6640625" style="107" customWidth="1"/>
    <col min="5" max="5" width="1.6640625" style="107" customWidth="1"/>
    <col min="6" max="16384" width="11.5546875" style="107"/>
  </cols>
  <sheetData>
    <row r="1" spans="1:5" ht="31.8" x14ac:dyDescent="0.3">
      <c r="A1" s="42" t="s">
        <v>0</v>
      </c>
      <c r="B1" s="41" t="s">
        <v>5604</v>
      </c>
      <c r="C1" s="41"/>
      <c r="D1" s="42"/>
      <c r="E1" s="69" t="s">
        <v>0</v>
      </c>
    </row>
    <row r="2" spans="1:5" x14ac:dyDescent="0.3">
      <c r="A2" s="78" t="s">
        <v>5597</v>
      </c>
      <c r="B2" s="78" t="s">
        <v>5598</v>
      </c>
      <c r="C2" s="79" t="s">
        <v>5660</v>
      </c>
      <c r="D2" s="79" t="s">
        <v>586</v>
      </c>
      <c r="E2" s="69" t="s">
        <v>0</v>
      </c>
    </row>
    <row r="3" spans="1:5" x14ac:dyDescent="0.3">
      <c r="A3" s="163"/>
      <c r="B3" s="160"/>
      <c r="C3" s="47"/>
      <c r="D3" s="47"/>
      <c r="E3" s="69"/>
    </row>
    <row r="4" spans="1:5" x14ac:dyDescent="0.3">
      <c r="A4" s="163"/>
      <c r="B4" s="51" t="s">
        <v>5626</v>
      </c>
      <c r="C4" s="49"/>
      <c r="D4" s="47"/>
      <c r="E4" s="69"/>
    </row>
    <row r="5" spans="1:5" ht="52.2" x14ac:dyDescent="0.3">
      <c r="A5" s="163"/>
      <c r="B5" s="71" t="s">
        <v>5628</v>
      </c>
      <c r="C5" s="47"/>
      <c r="D5" s="71"/>
      <c r="E5" s="69"/>
    </row>
    <row r="6" spans="1:5" x14ac:dyDescent="0.3">
      <c r="A6" s="163"/>
      <c r="B6" s="71" t="s">
        <v>0</v>
      </c>
      <c r="C6" s="47"/>
      <c r="D6" s="47"/>
      <c r="E6" s="69"/>
    </row>
    <row r="7" spans="1:5" x14ac:dyDescent="0.3">
      <c r="A7" s="163"/>
      <c r="B7" s="53" t="s">
        <v>0</v>
      </c>
      <c r="C7" s="18"/>
      <c r="D7" s="18"/>
      <c r="E7" s="69"/>
    </row>
    <row r="8" spans="1:5" ht="61.2" x14ac:dyDescent="0.3">
      <c r="A8" s="163"/>
      <c r="B8" s="129" t="s">
        <v>5629</v>
      </c>
      <c r="C8" s="18"/>
      <c r="D8" s="18"/>
      <c r="E8" s="69"/>
    </row>
    <row r="9" spans="1:5" x14ac:dyDescent="0.3">
      <c r="A9" s="163"/>
      <c r="B9" s="160"/>
      <c r="C9" s="18"/>
      <c r="D9" s="18"/>
      <c r="E9" s="69"/>
    </row>
    <row r="10" spans="1:5" x14ac:dyDescent="0.3">
      <c r="A10" s="162" t="s">
        <v>1265</v>
      </c>
      <c r="B10" s="153" t="s">
        <v>1266</v>
      </c>
      <c r="C10" s="117">
        <f>ROUND(D18,0)</f>
        <v>0</v>
      </c>
      <c r="D10" s="116"/>
      <c r="E10" s="69"/>
    </row>
    <row r="11" spans="1:5" x14ac:dyDescent="0.3">
      <c r="A11" s="162"/>
      <c r="B11" s="153"/>
      <c r="C11" s="18"/>
      <c r="D11" s="18"/>
      <c r="E11" s="69"/>
    </row>
    <row r="12" spans="1:5" x14ac:dyDescent="0.3">
      <c r="A12" s="162"/>
      <c r="B12" s="153" t="s">
        <v>1267</v>
      </c>
      <c r="C12" s="18"/>
      <c r="D12" s="18"/>
      <c r="E12" s="69"/>
    </row>
    <row r="13" spans="1:5" x14ac:dyDescent="0.3">
      <c r="A13" s="162"/>
      <c r="B13" s="153"/>
      <c r="C13" s="18"/>
      <c r="D13" s="18"/>
      <c r="E13" s="69"/>
    </row>
    <row r="14" spans="1:5" x14ac:dyDescent="0.3">
      <c r="A14" s="162" t="s">
        <v>1268</v>
      </c>
      <c r="B14" s="153" t="s">
        <v>1269</v>
      </c>
      <c r="C14" s="116"/>
      <c r="D14" s="116"/>
      <c r="E14" s="69"/>
    </row>
    <row r="15" spans="1:5" x14ac:dyDescent="0.3">
      <c r="A15" s="164"/>
      <c r="B15" s="153"/>
      <c r="C15" s="18"/>
      <c r="D15" s="18"/>
      <c r="E15" s="69"/>
    </row>
    <row r="16" spans="1:5" x14ac:dyDescent="0.3">
      <c r="A16" s="164"/>
      <c r="B16" s="153" t="s">
        <v>890</v>
      </c>
      <c r="C16" s="18"/>
      <c r="D16" s="18"/>
      <c r="E16" s="69"/>
    </row>
    <row r="17" spans="1:5" x14ac:dyDescent="0.3">
      <c r="A17" s="162"/>
      <c r="B17" s="153"/>
      <c r="C17" s="18"/>
      <c r="D17" s="18"/>
      <c r="E17" s="69"/>
    </row>
    <row r="18" spans="1:5" x14ac:dyDescent="0.3">
      <c r="A18" s="162" t="s">
        <v>1270</v>
      </c>
      <c r="B18" s="153" t="s">
        <v>1271</v>
      </c>
      <c r="C18" s="116"/>
      <c r="D18" s="116"/>
      <c r="E18" s="69"/>
    </row>
    <row r="19" spans="1:5" ht="20.399999999999999" x14ac:dyDescent="0.3">
      <c r="A19" s="162" t="s">
        <v>1272</v>
      </c>
      <c r="B19" s="154" t="s">
        <v>1273</v>
      </c>
      <c r="C19" s="116">
        <f>ROUND(C10+C14-C18,0)</f>
        <v>0</v>
      </c>
      <c r="D19" s="116">
        <f>ROUND(D10+D14-D18,0)</f>
        <v>0</v>
      </c>
      <c r="E19" s="69"/>
    </row>
    <row r="20" spans="1:5" x14ac:dyDescent="0.3">
      <c r="A20" s="162"/>
      <c r="B20" s="153"/>
      <c r="C20" s="18"/>
      <c r="D20" s="18"/>
      <c r="E20" s="69"/>
    </row>
    <row r="21" spans="1:5" x14ac:dyDescent="0.3">
      <c r="A21" s="162"/>
      <c r="B21" s="153" t="s">
        <v>1267</v>
      </c>
      <c r="C21" s="18"/>
      <c r="D21" s="18"/>
      <c r="E21" s="69"/>
    </row>
    <row r="22" spans="1:5" x14ac:dyDescent="0.3">
      <c r="A22" s="162"/>
      <c r="B22" s="153"/>
      <c r="C22" s="18"/>
      <c r="D22" s="18"/>
      <c r="E22" s="69"/>
    </row>
    <row r="23" spans="1:5" x14ac:dyDescent="0.3">
      <c r="A23" s="162" t="s">
        <v>1274</v>
      </c>
      <c r="B23" s="153" t="s">
        <v>1275</v>
      </c>
      <c r="C23" s="116"/>
      <c r="D23" s="116"/>
      <c r="E23" s="69"/>
    </row>
    <row r="24" spans="1:5" x14ac:dyDescent="0.3">
      <c r="A24" s="162" t="s">
        <v>1276</v>
      </c>
      <c r="B24" s="153" t="s">
        <v>1277</v>
      </c>
      <c r="C24" s="116">
        <f>ROUND(C19+C23,0)</f>
        <v>0</v>
      </c>
      <c r="D24" s="116">
        <f>ROUND(D19+D23,0)</f>
        <v>0</v>
      </c>
      <c r="E24" s="69"/>
    </row>
    <row r="25" spans="1:5" x14ac:dyDescent="0.3">
      <c r="A25" s="162"/>
      <c r="B25" s="153"/>
      <c r="C25" s="18"/>
      <c r="D25" s="18"/>
      <c r="E25" s="69"/>
    </row>
    <row r="26" spans="1:5" x14ac:dyDescent="0.3">
      <c r="A26" s="162"/>
      <c r="B26" s="153" t="s">
        <v>1267</v>
      </c>
      <c r="C26" s="18"/>
      <c r="D26" s="18"/>
      <c r="E26" s="69"/>
    </row>
    <row r="27" spans="1:5" x14ac:dyDescent="0.3">
      <c r="A27" s="162"/>
      <c r="B27" s="153"/>
      <c r="C27" s="18"/>
      <c r="D27" s="18"/>
      <c r="E27" s="69"/>
    </row>
    <row r="28" spans="1:5" x14ac:dyDescent="0.3">
      <c r="A28" s="162" t="s">
        <v>1278</v>
      </c>
      <c r="B28" s="153" t="s">
        <v>1279</v>
      </c>
      <c r="C28" s="116"/>
      <c r="D28" s="116"/>
      <c r="E28" s="69"/>
    </row>
    <row r="29" spans="1:5" x14ac:dyDescent="0.3">
      <c r="A29" s="162" t="s">
        <v>1280</v>
      </c>
      <c r="B29" s="154" t="s">
        <v>1281</v>
      </c>
      <c r="C29" s="116"/>
      <c r="D29" s="116"/>
      <c r="E29" s="69"/>
    </row>
    <row r="30" spans="1:5" x14ac:dyDescent="0.3">
      <c r="A30" s="162" t="s">
        <v>1282</v>
      </c>
      <c r="B30" s="153" t="s">
        <v>1283</v>
      </c>
      <c r="C30" s="68">
        <f>IF(Generales!C37="SI",ROUND('ANEXO 7'!C121,0),IF(Generales!C38="SI",ROUND('ANEXO 7'!C121,0),IF(Generales!C39="SI",ROUND('ANEXO 7'!C121,0),0)))</f>
        <v>0</v>
      </c>
      <c r="D30" s="192">
        <f>IF(Generales!C37="SI",ROUND('ANEXO 7'!D121,0),IF(Generales!C38="SI",ROUND('ANEXO 7'!D121,0),IF(Generales!C39="SI",ROUND('ANEXO 7'!D121,0),0)))</f>
        <v>0</v>
      </c>
      <c r="E30" s="69"/>
    </row>
    <row r="31" spans="1:5" x14ac:dyDescent="0.3">
      <c r="A31" s="162"/>
      <c r="B31" s="153"/>
      <c r="C31" s="18"/>
      <c r="D31" s="18"/>
      <c r="E31" s="69"/>
    </row>
    <row r="32" spans="1:5" x14ac:dyDescent="0.3">
      <c r="A32" s="162" t="s">
        <v>1284</v>
      </c>
      <c r="B32" s="153" t="s">
        <v>5700</v>
      </c>
      <c r="C32" s="116">
        <f>ROUND(C24+C28+C29+C30,0)</f>
        <v>0</v>
      </c>
      <c r="D32" s="116">
        <f>ROUND(D24+D28+D29+D30,0)</f>
        <v>0</v>
      </c>
      <c r="E32" s="69"/>
    </row>
    <row r="33" spans="1:5" x14ac:dyDescent="0.3">
      <c r="A33" s="162"/>
      <c r="B33" s="153"/>
      <c r="C33" s="18"/>
      <c r="D33" s="18"/>
      <c r="E33" s="69"/>
    </row>
    <row r="34" spans="1:5" x14ac:dyDescent="0.3">
      <c r="A34" s="162"/>
      <c r="B34" s="153" t="s">
        <v>1267</v>
      </c>
      <c r="C34" s="18"/>
      <c r="D34" s="18"/>
      <c r="E34" s="69"/>
    </row>
    <row r="35" spans="1:5" x14ac:dyDescent="0.3">
      <c r="A35" s="162"/>
      <c r="B35" s="153"/>
      <c r="C35" s="18"/>
      <c r="D35" s="18"/>
      <c r="E35" s="69"/>
    </row>
    <row r="36" spans="1:5" ht="20.399999999999999" x14ac:dyDescent="0.3">
      <c r="A36" s="162" t="s">
        <v>1285</v>
      </c>
      <c r="B36" s="153" t="s">
        <v>1286</v>
      </c>
      <c r="C36" s="116">
        <f>ROUND(D41,0)</f>
        <v>0</v>
      </c>
      <c r="D36" s="116"/>
      <c r="E36" s="69"/>
    </row>
    <row r="37" spans="1:5" x14ac:dyDescent="0.3">
      <c r="A37" s="162" t="s">
        <v>1287</v>
      </c>
      <c r="B37" s="153" t="s">
        <v>1288</v>
      </c>
      <c r="C37" s="116"/>
      <c r="D37" s="116"/>
      <c r="E37" s="69"/>
    </row>
    <row r="38" spans="1:5" x14ac:dyDescent="0.3">
      <c r="A38" s="162"/>
      <c r="B38" s="153"/>
      <c r="C38" s="18"/>
      <c r="D38" s="18"/>
      <c r="E38" s="69"/>
    </row>
    <row r="39" spans="1:5" x14ac:dyDescent="0.3">
      <c r="A39" s="162"/>
      <c r="B39" s="153" t="s">
        <v>890</v>
      </c>
      <c r="C39" s="18"/>
      <c r="D39" s="18"/>
      <c r="E39" s="69"/>
    </row>
    <row r="40" spans="1:5" x14ac:dyDescent="0.3">
      <c r="A40" s="162"/>
      <c r="B40" s="153"/>
      <c r="C40" s="18"/>
      <c r="D40" s="18"/>
      <c r="E40" s="69"/>
    </row>
    <row r="41" spans="1:5" ht="20.399999999999999" x14ac:dyDescent="0.3">
      <c r="A41" s="162" t="s">
        <v>1289</v>
      </c>
      <c r="B41" s="153" t="s">
        <v>1290</v>
      </c>
      <c r="C41" s="116"/>
      <c r="D41" s="116"/>
      <c r="E41" s="69"/>
    </row>
    <row r="42" spans="1:5" x14ac:dyDescent="0.3">
      <c r="A42" s="162"/>
      <c r="B42" s="153"/>
      <c r="C42" s="18"/>
      <c r="D42" s="18"/>
      <c r="E42" s="69"/>
    </row>
    <row r="43" spans="1:5" x14ac:dyDescent="0.3">
      <c r="A43" s="162" t="s">
        <v>1291</v>
      </c>
      <c r="B43" s="153" t="s">
        <v>1292</v>
      </c>
      <c r="C43" s="116">
        <f>ROUND(C32+C36+C37-C41,0)</f>
        <v>0</v>
      </c>
      <c r="D43" s="116">
        <f>ROUND(D32+D36+D37-D41,0)</f>
        <v>0</v>
      </c>
      <c r="E43" s="69"/>
    </row>
    <row r="44" spans="1:5" x14ac:dyDescent="0.3">
      <c r="A44" s="162"/>
      <c r="B44" s="153"/>
      <c r="C44" s="18"/>
      <c r="D44" s="18"/>
      <c r="E44" s="69"/>
    </row>
    <row r="45" spans="1:5" x14ac:dyDescent="0.3">
      <c r="A45" s="162"/>
      <c r="B45" s="153" t="s">
        <v>1267</v>
      </c>
      <c r="C45" s="18"/>
      <c r="D45" s="18"/>
      <c r="E45" s="69"/>
    </row>
    <row r="46" spans="1:5" x14ac:dyDescent="0.3">
      <c r="A46" s="162"/>
      <c r="B46" s="153"/>
      <c r="C46" s="18"/>
      <c r="D46" s="18"/>
      <c r="E46" s="69"/>
    </row>
    <row r="47" spans="1:5" ht="20.399999999999999" x14ac:dyDescent="0.3">
      <c r="A47" s="162" t="s">
        <v>1293</v>
      </c>
      <c r="B47" s="153" t="s">
        <v>1294</v>
      </c>
      <c r="C47" s="116">
        <f>ROUND(D52,0)</f>
        <v>0</v>
      </c>
      <c r="D47" s="116"/>
      <c r="E47" s="69"/>
    </row>
    <row r="48" spans="1:5" x14ac:dyDescent="0.3">
      <c r="A48" s="162" t="s">
        <v>1295</v>
      </c>
      <c r="B48" s="153" t="s">
        <v>1296</v>
      </c>
      <c r="C48" s="116"/>
      <c r="D48" s="116"/>
      <c r="E48" s="69"/>
    </row>
    <row r="49" spans="1:5" x14ac:dyDescent="0.3">
      <c r="A49" s="162"/>
      <c r="B49" s="153"/>
      <c r="C49" s="18"/>
      <c r="D49" s="18"/>
      <c r="E49" s="69"/>
    </row>
    <row r="50" spans="1:5" x14ac:dyDescent="0.3">
      <c r="A50" s="162"/>
      <c r="B50" s="153" t="s">
        <v>890</v>
      </c>
      <c r="C50" s="18"/>
      <c r="D50" s="18"/>
      <c r="E50" s="69"/>
    </row>
    <row r="51" spans="1:5" x14ac:dyDescent="0.3">
      <c r="A51" s="162"/>
      <c r="B51" s="153"/>
      <c r="C51" s="18"/>
      <c r="D51" s="18"/>
      <c r="E51" s="69"/>
    </row>
    <row r="52" spans="1:5" ht="20.399999999999999" x14ac:dyDescent="0.3">
      <c r="A52" s="162" t="s">
        <v>1297</v>
      </c>
      <c r="B52" s="153" t="s">
        <v>1298</v>
      </c>
      <c r="C52" s="116"/>
      <c r="D52" s="116"/>
      <c r="E52" s="69"/>
    </row>
    <row r="53" spans="1:5" ht="20.399999999999999" x14ac:dyDescent="0.3">
      <c r="A53" s="162" t="s">
        <v>1299</v>
      </c>
      <c r="B53" s="153" t="s">
        <v>1300</v>
      </c>
      <c r="C53" s="116"/>
      <c r="D53" s="116"/>
      <c r="E53" s="69"/>
    </row>
    <row r="54" spans="1:5" x14ac:dyDescent="0.3">
      <c r="A54" s="162" t="s">
        <v>1301</v>
      </c>
      <c r="B54" s="153" t="s">
        <v>1302</v>
      </c>
      <c r="C54" s="52"/>
      <c r="D54" s="52"/>
      <c r="E54" s="69"/>
    </row>
    <row r="55" spans="1:5" x14ac:dyDescent="0.3">
      <c r="A55" s="162"/>
      <c r="B55" s="153"/>
      <c r="C55" s="18"/>
      <c r="D55" s="18"/>
      <c r="E55" s="69"/>
    </row>
    <row r="56" spans="1:5" x14ac:dyDescent="0.3">
      <c r="A56" s="162" t="s">
        <v>1303</v>
      </c>
      <c r="B56" s="153" t="s">
        <v>1304</v>
      </c>
      <c r="C56" s="73">
        <f>ROUND(C43+C47+C48-C52-C53-C54,0)</f>
        <v>0</v>
      </c>
      <c r="D56" s="117">
        <f>ROUND(D43+D47+D48-D52-D53-D54,0)</f>
        <v>0</v>
      </c>
      <c r="E56" s="69"/>
    </row>
    <row r="57" spans="1:5" x14ac:dyDescent="0.3">
      <c r="A57" s="162"/>
      <c r="B57" s="153"/>
      <c r="C57" s="18"/>
      <c r="D57" s="18"/>
      <c r="E57" s="69"/>
    </row>
    <row r="58" spans="1:5" ht="20.399999999999999" x14ac:dyDescent="0.3">
      <c r="A58" s="162" t="s">
        <v>1305</v>
      </c>
      <c r="B58" s="153" t="s">
        <v>1306</v>
      </c>
      <c r="C58" s="116"/>
      <c r="D58" s="116"/>
      <c r="E58" s="69"/>
    </row>
    <row r="59" spans="1:5" x14ac:dyDescent="0.3">
      <c r="A59" s="162"/>
      <c r="B59" s="153"/>
      <c r="C59" s="18"/>
      <c r="D59" s="18"/>
      <c r="E59" s="69"/>
    </row>
    <row r="60" spans="1:5" x14ac:dyDescent="0.3">
      <c r="A60" s="162" t="s">
        <v>1307</v>
      </c>
      <c r="B60" s="153" t="s">
        <v>1308</v>
      </c>
      <c r="C60" s="116">
        <f>ROUND(C56-C58,0)</f>
        <v>0</v>
      </c>
      <c r="D60" s="116">
        <f>ROUND(D56-D58,0)</f>
        <v>0</v>
      </c>
      <c r="E60" s="69"/>
    </row>
    <row r="61" spans="1:5" x14ac:dyDescent="0.3">
      <c r="A61" s="162"/>
      <c r="B61" s="153"/>
      <c r="C61" s="18"/>
      <c r="D61" s="18"/>
      <c r="E61" s="69"/>
    </row>
    <row r="62" spans="1:5" x14ac:dyDescent="0.3">
      <c r="A62" s="162"/>
      <c r="B62" s="153" t="s">
        <v>890</v>
      </c>
      <c r="C62" s="18"/>
      <c r="D62" s="18"/>
      <c r="E62" s="69"/>
    </row>
    <row r="63" spans="1:5" x14ac:dyDescent="0.3">
      <c r="A63" s="162"/>
      <c r="B63" s="153"/>
      <c r="C63" s="18"/>
      <c r="D63" s="18"/>
      <c r="E63" s="69"/>
    </row>
    <row r="64" spans="1:5" ht="20.399999999999999" x14ac:dyDescent="0.3">
      <c r="A64" s="162" t="s">
        <v>1309</v>
      </c>
      <c r="B64" s="153" t="s">
        <v>1310</v>
      </c>
      <c r="C64" s="116"/>
      <c r="D64" s="116"/>
      <c r="E64" s="69"/>
    </row>
    <row r="65" spans="1:5" x14ac:dyDescent="0.3">
      <c r="A65" s="162" t="s">
        <v>1311</v>
      </c>
      <c r="B65" s="153" t="s">
        <v>1312</v>
      </c>
      <c r="C65" s="116"/>
      <c r="D65" s="116"/>
      <c r="E65" s="69"/>
    </row>
    <row r="66" spans="1:5" x14ac:dyDescent="0.3">
      <c r="A66" s="162" t="s">
        <v>1313</v>
      </c>
      <c r="B66" s="153" t="s">
        <v>1314</v>
      </c>
      <c r="C66" s="193">
        <f>'ANEXO 7'!C84</f>
        <v>0</v>
      </c>
      <c r="D66" s="116"/>
      <c r="E66" s="69"/>
    </row>
    <row r="67" spans="1:5" ht="20.399999999999999" x14ac:dyDescent="0.3">
      <c r="A67" s="162" t="s">
        <v>1315</v>
      </c>
      <c r="B67" s="153" t="s">
        <v>1316</v>
      </c>
      <c r="C67" s="193">
        <f>'ANEXO 7'!C63</f>
        <v>0</v>
      </c>
      <c r="D67" s="116"/>
      <c r="E67" s="69"/>
    </row>
    <row r="68" spans="1:5" x14ac:dyDescent="0.3">
      <c r="A68" s="162" t="s">
        <v>1317</v>
      </c>
      <c r="B68" s="153" t="s">
        <v>1318</v>
      </c>
      <c r="C68" s="52"/>
      <c r="D68" s="52"/>
      <c r="E68" s="69"/>
    </row>
    <row r="69" spans="1:5" x14ac:dyDescent="0.3">
      <c r="A69" s="162"/>
      <c r="B69" s="153"/>
      <c r="C69" s="18"/>
      <c r="D69" s="18"/>
      <c r="E69" s="69"/>
    </row>
    <row r="70" spans="1:5" x14ac:dyDescent="0.3">
      <c r="A70" s="162"/>
      <c r="B70" s="153"/>
      <c r="C70" s="18"/>
      <c r="D70" s="18"/>
      <c r="E70" s="69"/>
    </row>
    <row r="71" spans="1:5" x14ac:dyDescent="0.3">
      <c r="A71" s="162"/>
      <c r="B71" s="153" t="s">
        <v>1267</v>
      </c>
      <c r="C71" s="18"/>
      <c r="D71" s="18"/>
      <c r="E71" s="69"/>
    </row>
    <row r="72" spans="1:5" ht="20.399999999999999" x14ac:dyDescent="0.3">
      <c r="A72" s="162" t="s">
        <v>1319</v>
      </c>
      <c r="B72" s="153" t="s">
        <v>5701</v>
      </c>
      <c r="C72" s="116"/>
      <c r="D72" s="116"/>
      <c r="E72" s="69"/>
    </row>
    <row r="73" spans="1:5" x14ac:dyDescent="0.3">
      <c r="A73" s="162" t="s">
        <v>1320</v>
      </c>
      <c r="B73" s="153" t="s">
        <v>1321</v>
      </c>
      <c r="C73" s="52"/>
      <c r="D73" s="52"/>
      <c r="E73" s="69"/>
    </row>
    <row r="74" spans="1:5" x14ac:dyDescent="0.3">
      <c r="A74" s="162"/>
      <c r="B74" s="153"/>
      <c r="C74" s="18"/>
      <c r="D74" s="18"/>
      <c r="E74" s="69"/>
    </row>
    <row r="75" spans="1:5" ht="20.399999999999999" x14ac:dyDescent="0.3">
      <c r="A75" s="162" t="s">
        <v>1322</v>
      </c>
      <c r="B75" s="153" t="s">
        <v>1323</v>
      </c>
      <c r="C75" s="117">
        <f>ROUND(C60-C64-C65-C66-C67-C68+C72+C73,0)</f>
        <v>0</v>
      </c>
      <c r="D75" s="116">
        <f>ROUND(D60-D64-D65-D66-D67-D68+D72+D73,0)</f>
        <v>0</v>
      </c>
      <c r="E75" s="69"/>
    </row>
    <row r="76" spans="1:5" x14ac:dyDescent="0.3">
      <c r="A76" s="162"/>
      <c r="B76" s="153"/>
      <c r="C76" s="18"/>
      <c r="D76" s="18"/>
      <c r="E76" s="69"/>
    </row>
    <row r="77" spans="1:5" x14ac:dyDescent="0.3">
      <c r="A77" s="162"/>
      <c r="B77" s="153"/>
      <c r="C77" s="29"/>
      <c r="D77" s="29"/>
      <c r="E77" s="69"/>
    </row>
    <row r="78" spans="1:5" ht="20.399999999999999" x14ac:dyDescent="0.3">
      <c r="A78" s="162"/>
      <c r="B78" s="179" t="s">
        <v>1324</v>
      </c>
      <c r="C78" s="18"/>
      <c r="D78" s="18"/>
      <c r="E78" s="69"/>
    </row>
    <row r="79" spans="1:5" x14ac:dyDescent="0.3">
      <c r="A79" s="162"/>
      <c r="B79" s="153"/>
      <c r="C79" s="18"/>
      <c r="D79" s="18"/>
      <c r="E79" s="69"/>
    </row>
    <row r="80" spans="1:5" x14ac:dyDescent="0.3">
      <c r="A80" s="162" t="s">
        <v>1325</v>
      </c>
      <c r="B80" s="153" t="s">
        <v>1283</v>
      </c>
      <c r="C80" s="68">
        <f>IF(Generales!C40="SI",ROUND('ANEXO 7'!C121,0),0)</f>
        <v>0</v>
      </c>
      <c r="D80" s="192">
        <f>IF(Generales!C40="SI",ROUND('ANEXO 7'!D121,0),0)</f>
        <v>0</v>
      </c>
      <c r="E80" s="69"/>
    </row>
    <row r="81" spans="1:5" x14ac:dyDescent="0.3">
      <c r="A81" s="162" t="s">
        <v>1326</v>
      </c>
      <c r="B81" s="153" t="s">
        <v>1302</v>
      </c>
      <c r="C81" s="52"/>
      <c r="D81" s="52"/>
      <c r="E81" s="69"/>
    </row>
    <row r="82" spans="1:5" x14ac:dyDescent="0.3">
      <c r="A82" s="162" t="s">
        <v>1327</v>
      </c>
      <c r="B82" s="153" t="s">
        <v>1304</v>
      </c>
      <c r="C82" s="73">
        <f>+C80+C81</f>
        <v>0</v>
      </c>
      <c r="D82" s="117">
        <f>+D80+D81</f>
        <v>0</v>
      </c>
      <c r="E82" s="69"/>
    </row>
    <row r="83" spans="1:5" x14ac:dyDescent="0.3">
      <c r="A83" s="162"/>
      <c r="B83" s="153"/>
      <c r="C83" s="18"/>
      <c r="D83" s="18"/>
      <c r="E83" s="69"/>
    </row>
    <row r="84" spans="1:5" ht="20.399999999999999" x14ac:dyDescent="0.3">
      <c r="A84" s="162" t="s">
        <v>1328</v>
      </c>
      <c r="B84" s="153" t="s">
        <v>1306</v>
      </c>
      <c r="C84" s="116"/>
      <c r="D84" s="116"/>
      <c r="E84" s="69"/>
    </row>
    <row r="85" spans="1:5" x14ac:dyDescent="0.3">
      <c r="A85" s="162"/>
      <c r="B85" s="153"/>
      <c r="C85" s="18"/>
      <c r="D85" s="18"/>
      <c r="E85" s="69"/>
    </row>
    <row r="86" spans="1:5" x14ac:dyDescent="0.3">
      <c r="A86" s="162" t="s">
        <v>1329</v>
      </c>
      <c r="B86" s="153" t="s">
        <v>1308</v>
      </c>
      <c r="C86" s="116">
        <f>ROUND(C82-C84,0)</f>
        <v>0</v>
      </c>
      <c r="D86" s="116">
        <f>ROUND(D82-D84,0)</f>
        <v>0</v>
      </c>
      <c r="E86" s="69"/>
    </row>
    <row r="87" spans="1:5" x14ac:dyDescent="0.3">
      <c r="A87" s="162"/>
      <c r="B87" s="153"/>
      <c r="C87" s="18"/>
      <c r="D87" s="18"/>
      <c r="E87" s="69"/>
    </row>
    <row r="88" spans="1:5" x14ac:dyDescent="0.3">
      <c r="A88" s="162"/>
      <c r="B88" s="153" t="s">
        <v>890</v>
      </c>
      <c r="C88" s="18"/>
      <c r="D88" s="18"/>
      <c r="E88" s="69"/>
    </row>
    <row r="89" spans="1:5" x14ac:dyDescent="0.3">
      <c r="A89" s="162"/>
      <c r="B89" s="153"/>
      <c r="C89" s="18"/>
      <c r="D89" s="18"/>
      <c r="E89" s="69"/>
    </row>
    <row r="90" spans="1:5" ht="20.399999999999999" x14ac:dyDescent="0.3">
      <c r="A90" s="162" t="s">
        <v>1330</v>
      </c>
      <c r="B90" s="153" t="s">
        <v>5702</v>
      </c>
      <c r="C90" s="116"/>
      <c r="D90" s="116"/>
      <c r="E90" s="69"/>
    </row>
    <row r="91" spans="1:5" x14ac:dyDescent="0.3">
      <c r="A91" s="162" t="s">
        <v>1331</v>
      </c>
      <c r="B91" s="153" t="s">
        <v>1332</v>
      </c>
      <c r="C91" s="116"/>
      <c r="D91" s="116"/>
      <c r="E91" s="69"/>
    </row>
    <row r="92" spans="1:5" x14ac:dyDescent="0.3">
      <c r="A92" s="162"/>
      <c r="B92" s="153"/>
      <c r="C92" s="18"/>
      <c r="D92" s="18"/>
      <c r="E92" s="69"/>
    </row>
    <row r="93" spans="1:5" x14ac:dyDescent="0.3">
      <c r="A93" s="162"/>
      <c r="B93" s="153" t="s">
        <v>1267</v>
      </c>
      <c r="C93" s="18"/>
      <c r="D93" s="18"/>
      <c r="E93" s="69"/>
    </row>
    <row r="94" spans="1:5" x14ac:dyDescent="0.3">
      <c r="A94" s="162"/>
      <c r="B94" s="153"/>
      <c r="C94" s="18"/>
      <c r="D94" s="18"/>
      <c r="E94" s="69"/>
    </row>
    <row r="95" spans="1:5" x14ac:dyDescent="0.3">
      <c r="A95" s="162" t="s">
        <v>1333</v>
      </c>
      <c r="B95" s="153" t="s">
        <v>1334</v>
      </c>
      <c r="C95" s="116"/>
      <c r="D95" s="116"/>
      <c r="E95" s="69"/>
    </row>
    <row r="96" spans="1:5" x14ac:dyDescent="0.3">
      <c r="A96" s="162" t="s">
        <v>1335</v>
      </c>
      <c r="B96" s="153" t="s">
        <v>1321</v>
      </c>
      <c r="C96" s="52"/>
      <c r="D96" s="52"/>
      <c r="E96" s="69"/>
    </row>
    <row r="97" spans="1:5" x14ac:dyDescent="0.3">
      <c r="A97" s="162"/>
      <c r="B97" s="153"/>
      <c r="C97" s="18"/>
      <c r="D97" s="18"/>
      <c r="E97" s="69"/>
    </row>
    <row r="98" spans="1:5" ht="20.399999999999999" x14ac:dyDescent="0.3">
      <c r="A98" s="162" t="s">
        <v>1336</v>
      </c>
      <c r="B98" s="153" t="s">
        <v>1323</v>
      </c>
      <c r="C98" s="117">
        <f>ROUND(C86-C90-C91+C95+C96,0)</f>
        <v>0</v>
      </c>
      <c r="D98" s="116">
        <f>ROUND(D86-D90-D91+D95+D96,0)</f>
        <v>0</v>
      </c>
      <c r="E98" s="69"/>
    </row>
    <row r="99" spans="1:5" ht="8.1" customHeight="1" x14ac:dyDescent="0.3">
      <c r="A99" s="70" t="s">
        <v>0</v>
      </c>
      <c r="B99" s="152"/>
      <c r="C99" s="70"/>
      <c r="D99" s="70"/>
      <c r="E9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70"/>
  <sheetViews>
    <sheetView zoomScaleNormal="100" workbookViewId="0"/>
  </sheetViews>
  <sheetFormatPr defaultColWidth="11.5546875" defaultRowHeight="14.4" x14ac:dyDescent="0.3"/>
  <cols>
    <col min="1" max="1" width="14.33203125" style="107" customWidth="1"/>
    <col min="2" max="2" width="35.6640625" style="107" customWidth="1"/>
    <col min="3" max="8" width="18.6640625" style="107" customWidth="1"/>
    <col min="9" max="9" width="1.6640625" style="107" customWidth="1"/>
    <col min="10" max="16384" width="11.5546875" style="107"/>
  </cols>
  <sheetData>
    <row r="1" spans="1:9" ht="31.8" x14ac:dyDescent="0.3">
      <c r="A1" s="42" t="s">
        <v>0</v>
      </c>
      <c r="B1" s="41" t="s">
        <v>5605</v>
      </c>
      <c r="C1" s="41"/>
      <c r="D1" s="42"/>
      <c r="E1" s="42" t="s">
        <v>0</v>
      </c>
      <c r="F1" s="42" t="s">
        <v>0</v>
      </c>
      <c r="G1" s="42" t="s">
        <v>0</v>
      </c>
      <c r="H1" s="42" t="s">
        <v>0</v>
      </c>
      <c r="I1" s="69" t="s">
        <v>0</v>
      </c>
    </row>
    <row r="2" spans="1:9" ht="71.400000000000006" x14ac:dyDescent="0.3">
      <c r="A2" s="121" t="s">
        <v>5597</v>
      </c>
      <c r="B2" s="121" t="s">
        <v>5598</v>
      </c>
      <c r="C2" s="45">
        <v>2017</v>
      </c>
      <c r="D2" s="43">
        <v>2016</v>
      </c>
      <c r="E2" s="45" t="s">
        <v>5682</v>
      </c>
      <c r="F2" s="45" t="s">
        <v>5684</v>
      </c>
      <c r="G2" s="45" t="s">
        <v>5683</v>
      </c>
      <c r="H2" s="45" t="s">
        <v>5685</v>
      </c>
      <c r="I2" s="69" t="s">
        <v>0</v>
      </c>
    </row>
    <row r="3" spans="1:9" x14ac:dyDescent="0.3">
      <c r="A3" s="163"/>
      <c r="B3" s="160"/>
      <c r="C3" s="47"/>
      <c r="D3" s="47"/>
      <c r="E3" s="47"/>
      <c r="F3" s="47"/>
      <c r="G3" s="47"/>
      <c r="H3" s="47"/>
      <c r="I3" s="69"/>
    </row>
    <row r="4" spans="1:9" x14ac:dyDescent="0.3">
      <c r="A4" s="163"/>
      <c r="B4" s="51" t="s">
        <v>5626</v>
      </c>
      <c r="C4" s="49"/>
      <c r="D4" s="47"/>
      <c r="E4" s="47"/>
      <c r="F4" s="47"/>
      <c r="G4" s="47"/>
      <c r="H4" s="47"/>
      <c r="I4" s="69"/>
    </row>
    <row r="5" spans="1:9" x14ac:dyDescent="0.3">
      <c r="A5" s="163"/>
      <c r="B5" s="18" t="s">
        <v>0</v>
      </c>
      <c r="C5" s="47"/>
      <c r="D5" s="47"/>
      <c r="E5" s="47"/>
      <c r="F5" s="47"/>
      <c r="G5" s="47"/>
      <c r="H5" s="47"/>
      <c r="I5" s="69"/>
    </row>
    <row r="6" spans="1:9" x14ac:dyDescent="0.3">
      <c r="A6" s="163"/>
      <c r="B6" s="51" t="s">
        <v>924</v>
      </c>
      <c r="C6" s="49"/>
      <c r="D6" s="47"/>
      <c r="E6" s="47"/>
      <c r="F6" s="47"/>
      <c r="G6" s="47"/>
      <c r="H6" s="47"/>
      <c r="I6" s="69"/>
    </row>
    <row r="7" spans="1:9" x14ac:dyDescent="0.3">
      <c r="A7" s="163"/>
      <c r="B7" s="51" t="s">
        <v>0</v>
      </c>
      <c r="C7" s="49"/>
      <c r="D7" s="47"/>
      <c r="E7" s="47"/>
      <c r="F7" s="47"/>
      <c r="G7" s="47"/>
      <c r="H7" s="47"/>
      <c r="I7" s="69"/>
    </row>
    <row r="8" spans="1:9" x14ac:dyDescent="0.3">
      <c r="A8" s="163"/>
      <c r="B8" s="51" t="s">
        <v>753</v>
      </c>
      <c r="C8" s="51"/>
      <c r="D8" s="47"/>
      <c r="E8" s="47"/>
      <c r="F8" s="47"/>
      <c r="G8" s="47"/>
      <c r="H8" s="47"/>
      <c r="I8" s="69"/>
    </row>
    <row r="9" spans="1:9" x14ac:dyDescent="0.3">
      <c r="A9" s="163"/>
      <c r="B9" s="160"/>
      <c r="C9" s="47"/>
      <c r="D9" s="47"/>
      <c r="E9" s="47"/>
      <c r="F9" s="47"/>
      <c r="G9" s="47"/>
      <c r="H9" s="47"/>
      <c r="I9" s="69"/>
    </row>
    <row r="10" spans="1:9" x14ac:dyDescent="0.3">
      <c r="A10" s="162" t="s">
        <v>1517</v>
      </c>
      <c r="B10" s="153" t="s">
        <v>1518</v>
      </c>
      <c r="C10" s="116">
        <f t="shared" ref="C10:D12" si="0">ROUND(E10+G10,0)</f>
        <v>0</v>
      </c>
      <c r="D10" s="116">
        <f t="shared" si="0"/>
        <v>0</v>
      </c>
      <c r="E10" s="116"/>
      <c r="F10" s="116"/>
      <c r="G10" s="116"/>
      <c r="H10" s="116"/>
      <c r="I10" s="69"/>
    </row>
    <row r="11" spans="1:9" x14ac:dyDescent="0.3">
      <c r="A11" s="162" t="s">
        <v>1519</v>
      </c>
      <c r="B11" s="153" t="s">
        <v>1520</v>
      </c>
      <c r="C11" s="116">
        <f t="shared" si="0"/>
        <v>0</v>
      </c>
      <c r="D11" s="116">
        <f t="shared" si="0"/>
        <v>0</v>
      </c>
      <c r="E11" s="116"/>
      <c r="F11" s="116"/>
      <c r="G11" s="116"/>
      <c r="H11" s="116"/>
      <c r="I11" s="69"/>
    </row>
    <row r="12" spans="1:9" x14ac:dyDescent="0.3">
      <c r="A12" s="162" t="s">
        <v>1521</v>
      </c>
      <c r="B12" s="153" t="s">
        <v>1522</v>
      </c>
      <c r="C12" s="116">
        <f t="shared" si="0"/>
        <v>0</v>
      </c>
      <c r="D12" s="116">
        <f t="shared" si="0"/>
        <v>0</v>
      </c>
      <c r="E12" s="116"/>
      <c r="F12" s="116"/>
      <c r="G12" s="116"/>
      <c r="H12" s="116"/>
      <c r="I12" s="69"/>
    </row>
    <row r="13" spans="1:9" x14ac:dyDescent="0.3">
      <c r="A13" s="162"/>
      <c r="B13" s="153"/>
      <c r="C13" s="18"/>
      <c r="D13" s="18"/>
      <c r="E13" s="18"/>
      <c r="F13" s="18"/>
      <c r="G13" s="18"/>
      <c r="H13" s="18"/>
      <c r="I13" s="69"/>
    </row>
    <row r="14" spans="1:9" x14ac:dyDescent="0.3">
      <c r="A14" s="162"/>
      <c r="B14" s="153" t="s">
        <v>1523</v>
      </c>
      <c r="C14" s="51"/>
      <c r="D14" s="18"/>
      <c r="E14" s="18"/>
      <c r="F14" s="18"/>
      <c r="G14" s="18"/>
      <c r="H14" s="18"/>
      <c r="I14" s="69"/>
    </row>
    <row r="15" spans="1:9" x14ac:dyDescent="0.3">
      <c r="A15" s="162"/>
      <c r="B15" s="153"/>
      <c r="C15" s="18"/>
      <c r="D15" s="18"/>
      <c r="E15" s="18"/>
      <c r="F15" s="18"/>
      <c r="G15" s="18"/>
      <c r="H15" s="18"/>
      <c r="I15" s="69"/>
    </row>
    <row r="16" spans="1:9" x14ac:dyDescent="0.3">
      <c r="A16" s="162" t="s">
        <v>1524</v>
      </c>
      <c r="B16" s="153" t="s">
        <v>1518</v>
      </c>
      <c r="C16" s="116">
        <f t="shared" ref="C16:D19" si="1">ROUND(E16+G16,0)</f>
        <v>0</v>
      </c>
      <c r="D16" s="116">
        <f t="shared" si="1"/>
        <v>0</v>
      </c>
      <c r="E16" s="116"/>
      <c r="F16" s="116"/>
      <c r="G16" s="116"/>
      <c r="H16" s="116"/>
      <c r="I16" s="69"/>
    </row>
    <row r="17" spans="1:9" x14ac:dyDescent="0.3">
      <c r="A17" s="162" t="s">
        <v>1525</v>
      </c>
      <c r="B17" s="153" t="s">
        <v>1520</v>
      </c>
      <c r="C17" s="116">
        <f t="shared" si="1"/>
        <v>0</v>
      </c>
      <c r="D17" s="116">
        <f t="shared" si="1"/>
        <v>0</v>
      </c>
      <c r="E17" s="116"/>
      <c r="F17" s="116"/>
      <c r="G17" s="116"/>
      <c r="H17" s="116"/>
      <c r="I17" s="69"/>
    </row>
    <row r="18" spans="1:9" x14ac:dyDescent="0.3">
      <c r="A18" s="162" t="s">
        <v>1526</v>
      </c>
      <c r="B18" s="153" t="s">
        <v>1522</v>
      </c>
      <c r="C18" s="116">
        <f t="shared" si="1"/>
        <v>0</v>
      </c>
      <c r="D18" s="116">
        <f t="shared" si="1"/>
        <v>0</v>
      </c>
      <c r="E18" s="116"/>
      <c r="F18" s="116"/>
      <c r="G18" s="116"/>
      <c r="H18" s="116"/>
      <c r="I18" s="69"/>
    </row>
    <row r="19" spans="1:9" x14ac:dyDescent="0.3">
      <c r="A19" s="162" t="s">
        <v>1527</v>
      </c>
      <c r="B19" s="153" t="s">
        <v>1514</v>
      </c>
      <c r="C19" s="116">
        <f t="shared" si="1"/>
        <v>0</v>
      </c>
      <c r="D19" s="116">
        <f t="shared" si="1"/>
        <v>0</v>
      </c>
      <c r="E19" s="116"/>
      <c r="F19" s="116"/>
      <c r="G19" s="116"/>
      <c r="H19" s="116"/>
      <c r="I19" s="69"/>
    </row>
    <row r="20" spans="1:9" x14ac:dyDescent="0.3">
      <c r="A20" s="162" t="s">
        <v>1528</v>
      </c>
      <c r="B20" s="153" t="s">
        <v>1529</v>
      </c>
      <c r="C20" s="77">
        <f t="shared" ref="C20:H20" si="2">ROUND(SUM(C10:C19),0)</f>
        <v>0</v>
      </c>
      <c r="D20" s="54">
        <f t="shared" si="2"/>
        <v>0</v>
      </c>
      <c r="E20" s="54">
        <f t="shared" si="2"/>
        <v>0</v>
      </c>
      <c r="F20" s="54">
        <f t="shared" si="2"/>
        <v>0</v>
      </c>
      <c r="G20" s="54">
        <f t="shared" si="2"/>
        <v>0</v>
      </c>
      <c r="H20" s="54">
        <f t="shared" si="2"/>
        <v>0</v>
      </c>
      <c r="I20" s="69"/>
    </row>
    <row r="21" spans="1:9" x14ac:dyDescent="0.3">
      <c r="A21" s="162"/>
      <c r="B21" s="153"/>
      <c r="C21" s="18"/>
      <c r="D21" s="18"/>
      <c r="E21" s="18"/>
      <c r="F21" s="18"/>
      <c r="G21" s="18"/>
      <c r="H21" s="18"/>
      <c r="I21" s="69"/>
    </row>
    <row r="22" spans="1:9" x14ac:dyDescent="0.3">
      <c r="A22" s="162"/>
      <c r="B22" s="153" t="s">
        <v>926</v>
      </c>
      <c r="C22" s="51"/>
      <c r="D22" s="18"/>
      <c r="E22" s="18"/>
      <c r="F22" s="18"/>
      <c r="G22" s="18"/>
      <c r="H22" s="18"/>
      <c r="I22" s="69"/>
    </row>
    <row r="23" spans="1:9" x14ac:dyDescent="0.3">
      <c r="A23" s="162"/>
      <c r="B23" s="153"/>
      <c r="C23" s="51"/>
      <c r="D23" s="18"/>
      <c r="E23" s="18"/>
      <c r="F23" s="18"/>
      <c r="G23" s="18"/>
      <c r="H23" s="18"/>
      <c r="I23" s="69"/>
    </row>
    <row r="24" spans="1:9" x14ac:dyDescent="0.3">
      <c r="A24" s="162"/>
      <c r="B24" s="153" t="s">
        <v>753</v>
      </c>
      <c r="C24" s="51"/>
      <c r="D24" s="18"/>
      <c r="E24" s="18"/>
      <c r="F24" s="18"/>
      <c r="G24" s="18"/>
      <c r="H24" s="18"/>
      <c r="I24" s="69"/>
    </row>
    <row r="25" spans="1:9" x14ac:dyDescent="0.3">
      <c r="A25" s="162"/>
      <c r="B25" s="153"/>
      <c r="C25" s="18"/>
      <c r="D25" s="18"/>
      <c r="E25" s="18"/>
      <c r="F25" s="18"/>
      <c r="G25" s="18"/>
      <c r="H25" s="18"/>
      <c r="I25" s="69"/>
    </row>
    <row r="26" spans="1:9" x14ac:dyDescent="0.3">
      <c r="A26" s="162" t="s">
        <v>1530</v>
      </c>
      <c r="B26" s="153" t="s">
        <v>1518</v>
      </c>
      <c r="C26" s="116">
        <f t="shared" ref="C26:D28" si="3">ROUND(E26+G26,0)</f>
        <v>0</v>
      </c>
      <c r="D26" s="116">
        <f t="shared" si="3"/>
        <v>0</v>
      </c>
      <c r="E26" s="116"/>
      <c r="F26" s="116"/>
      <c r="G26" s="116"/>
      <c r="H26" s="116"/>
      <c r="I26" s="69"/>
    </row>
    <row r="27" spans="1:9" x14ac:dyDescent="0.3">
      <c r="A27" s="162" t="s">
        <v>1531</v>
      </c>
      <c r="B27" s="153" t="s">
        <v>1520</v>
      </c>
      <c r="C27" s="116">
        <f t="shared" si="3"/>
        <v>0</v>
      </c>
      <c r="D27" s="116">
        <f t="shared" si="3"/>
        <v>0</v>
      </c>
      <c r="E27" s="116"/>
      <c r="F27" s="116"/>
      <c r="G27" s="116"/>
      <c r="H27" s="116"/>
      <c r="I27" s="69"/>
    </row>
    <row r="28" spans="1:9" x14ac:dyDescent="0.3">
      <c r="A28" s="162" t="s">
        <v>1532</v>
      </c>
      <c r="B28" s="153" t="s">
        <v>1522</v>
      </c>
      <c r="C28" s="116">
        <f t="shared" si="3"/>
        <v>0</v>
      </c>
      <c r="D28" s="116">
        <f t="shared" si="3"/>
        <v>0</v>
      </c>
      <c r="E28" s="116"/>
      <c r="F28" s="116"/>
      <c r="G28" s="116"/>
      <c r="H28" s="116"/>
      <c r="I28" s="69"/>
    </row>
    <row r="29" spans="1:9" x14ac:dyDescent="0.3">
      <c r="A29" s="162"/>
      <c r="B29" s="153"/>
      <c r="C29" s="18"/>
      <c r="D29" s="18"/>
      <c r="E29" s="18"/>
      <c r="F29" s="18"/>
      <c r="G29" s="18"/>
      <c r="H29" s="18"/>
      <c r="I29" s="69"/>
    </row>
    <row r="30" spans="1:9" x14ac:dyDescent="0.3">
      <c r="A30" s="162"/>
      <c r="B30" s="153" t="s">
        <v>1523</v>
      </c>
      <c r="C30" s="51"/>
      <c r="D30" s="18"/>
      <c r="E30" s="18"/>
      <c r="F30" s="18"/>
      <c r="G30" s="18"/>
      <c r="H30" s="18"/>
      <c r="I30" s="69"/>
    </row>
    <row r="31" spans="1:9" x14ac:dyDescent="0.3">
      <c r="A31" s="162"/>
      <c r="B31" s="153"/>
      <c r="C31" s="18"/>
      <c r="D31" s="18"/>
      <c r="E31" s="18"/>
      <c r="F31" s="18"/>
      <c r="G31" s="18"/>
      <c r="H31" s="18"/>
      <c r="I31" s="69"/>
    </row>
    <row r="32" spans="1:9" x14ac:dyDescent="0.3">
      <c r="A32" s="162" t="s">
        <v>1533</v>
      </c>
      <c r="B32" s="153" t="s">
        <v>1518</v>
      </c>
      <c r="C32" s="116">
        <f t="shared" ref="C32:D35" si="4">ROUND(E32+G32,0)</f>
        <v>0</v>
      </c>
      <c r="D32" s="116">
        <f t="shared" si="4"/>
        <v>0</v>
      </c>
      <c r="E32" s="116"/>
      <c r="F32" s="116"/>
      <c r="G32" s="116"/>
      <c r="H32" s="116"/>
      <c r="I32" s="69"/>
    </row>
    <row r="33" spans="1:9" x14ac:dyDescent="0.3">
      <c r="A33" s="162" t="s">
        <v>1534</v>
      </c>
      <c r="B33" s="153" t="s">
        <v>1520</v>
      </c>
      <c r="C33" s="116">
        <f t="shared" si="4"/>
        <v>0</v>
      </c>
      <c r="D33" s="116">
        <f t="shared" si="4"/>
        <v>0</v>
      </c>
      <c r="E33" s="116"/>
      <c r="F33" s="116"/>
      <c r="G33" s="116"/>
      <c r="H33" s="116"/>
      <c r="I33" s="69"/>
    </row>
    <row r="34" spans="1:9" x14ac:dyDescent="0.3">
      <c r="A34" s="162" t="s">
        <v>1535</v>
      </c>
      <c r="B34" s="153" t="s">
        <v>1522</v>
      </c>
      <c r="C34" s="116">
        <f t="shared" si="4"/>
        <v>0</v>
      </c>
      <c r="D34" s="116">
        <f t="shared" si="4"/>
        <v>0</v>
      </c>
      <c r="E34" s="116"/>
      <c r="F34" s="116"/>
      <c r="G34" s="116"/>
      <c r="H34" s="116"/>
      <c r="I34" s="69"/>
    </row>
    <row r="35" spans="1:9" x14ac:dyDescent="0.3">
      <c r="A35" s="162" t="s">
        <v>1536</v>
      </c>
      <c r="B35" s="153" t="s">
        <v>1514</v>
      </c>
      <c r="C35" s="116">
        <f t="shared" si="4"/>
        <v>0</v>
      </c>
      <c r="D35" s="116">
        <f t="shared" si="4"/>
        <v>0</v>
      </c>
      <c r="E35" s="116"/>
      <c r="F35" s="116"/>
      <c r="G35" s="116"/>
      <c r="H35" s="116"/>
      <c r="I35" s="69"/>
    </row>
    <row r="36" spans="1:9" x14ac:dyDescent="0.3">
      <c r="A36" s="162" t="s">
        <v>1537</v>
      </c>
      <c r="B36" s="153" t="s">
        <v>1538</v>
      </c>
      <c r="C36" s="77">
        <f t="shared" ref="C36:H36" si="5">ROUND(SUM(C26:C35),0)</f>
        <v>0</v>
      </c>
      <c r="D36" s="54">
        <f t="shared" si="5"/>
        <v>0</v>
      </c>
      <c r="E36" s="54">
        <f t="shared" si="5"/>
        <v>0</v>
      </c>
      <c r="F36" s="54">
        <f t="shared" si="5"/>
        <v>0</v>
      </c>
      <c r="G36" s="54">
        <f t="shared" si="5"/>
        <v>0</v>
      </c>
      <c r="H36" s="54">
        <f t="shared" si="5"/>
        <v>0</v>
      </c>
      <c r="I36" s="69"/>
    </row>
    <row r="37" spans="1:9" x14ac:dyDescent="0.3">
      <c r="A37" s="162"/>
      <c r="B37" s="153"/>
      <c r="C37" s="18"/>
      <c r="D37" s="18"/>
      <c r="E37" s="18"/>
      <c r="F37" s="18"/>
      <c r="G37" s="18"/>
      <c r="H37" s="18"/>
      <c r="I37" s="69"/>
    </row>
    <row r="38" spans="1:9" x14ac:dyDescent="0.3">
      <c r="A38" s="162"/>
      <c r="B38" s="153" t="s">
        <v>1539</v>
      </c>
      <c r="C38" s="51"/>
      <c r="D38" s="18"/>
      <c r="E38" s="18"/>
      <c r="F38" s="18"/>
      <c r="G38" s="18"/>
      <c r="H38" s="18"/>
      <c r="I38" s="69"/>
    </row>
    <row r="39" spans="1:9" x14ac:dyDescent="0.3">
      <c r="A39" s="162"/>
      <c r="B39" s="153"/>
      <c r="C39" s="18"/>
      <c r="D39" s="18"/>
      <c r="E39" s="18"/>
      <c r="F39" s="18"/>
      <c r="G39" s="18"/>
      <c r="H39" s="18"/>
      <c r="I39" s="69"/>
    </row>
    <row r="40" spans="1:9" x14ac:dyDescent="0.3">
      <c r="A40" s="162" t="s">
        <v>1540</v>
      </c>
      <c r="B40" s="153" t="s">
        <v>930</v>
      </c>
      <c r="C40" s="116">
        <f t="shared" ref="C40:D43" si="6">ROUND(E40+G40,0)</f>
        <v>0</v>
      </c>
      <c r="D40" s="117">
        <f t="shared" si="6"/>
        <v>0</v>
      </c>
      <c r="E40" s="117"/>
      <c r="F40" s="116"/>
      <c r="G40" s="116"/>
      <c r="H40" s="116"/>
      <c r="I40" s="69"/>
    </row>
    <row r="41" spans="1:9" x14ac:dyDescent="0.3">
      <c r="A41" s="162" t="s">
        <v>1541</v>
      </c>
      <c r="B41" s="153" t="s">
        <v>1514</v>
      </c>
      <c r="C41" s="116">
        <f t="shared" si="6"/>
        <v>0</v>
      </c>
      <c r="D41" s="117">
        <f t="shared" si="6"/>
        <v>0</v>
      </c>
      <c r="E41" s="117"/>
      <c r="F41" s="116"/>
      <c r="G41" s="116"/>
      <c r="H41" s="116"/>
      <c r="I41" s="69"/>
    </row>
    <row r="42" spans="1:9" x14ac:dyDescent="0.3">
      <c r="A42" s="162" t="s">
        <v>1542</v>
      </c>
      <c r="B42" s="153" t="s">
        <v>928</v>
      </c>
      <c r="C42" s="116">
        <f t="shared" si="6"/>
        <v>0</v>
      </c>
      <c r="D42" s="117">
        <f t="shared" si="6"/>
        <v>0</v>
      </c>
      <c r="E42" s="117"/>
      <c r="F42" s="116"/>
      <c r="G42" s="116"/>
      <c r="H42" s="116"/>
      <c r="I42" s="69"/>
    </row>
    <row r="43" spans="1:9" x14ac:dyDescent="0.3">
      <c r="A43" s="162" t="s">
        <v>1543</v>
      </c>
      <c r="B43" s="153" t="s">
        <v>1514</v>
      </c>
      <c r="C43" s="116">
        <f t="shared" si="6"/>
        <v>0</v>
      </c>
      <c r="D43" s="117">
        <f t="shared" si="6"/>
        <v>0</v>
      </c>
      <c r="E43" s="117"/>
      <c r="F43" s="116"/>
      <c r="G43" s="116"/>
      <c r="H43" s="116"/>
      <c r="I43" s="69"/>
    </row>
    <row r="44" spans="1:9" x14ac:dyDescent="0.3">
      <c r="A44" s="162" t="s">
        <v>1544</v>
      </c>
      <c r="B44" s="153" t="s">
        <v>1545</v>
      </c>
      <c r="C44" s="54">
        <f t="shared" ref="C44:H44" si="7">ROUND(SUM(C42:C43)+SUM(C40:C41),0)</f>
        <v>0</v>
      </c>
      <c r="D44" s="54">
        <f t="shared" si="7"/>
        <v>0</v>
      </c>
      <c r="E44" s="54">
        <f t="shared" si="7"/>
        <v>0</v>
      </c>
      <c r="F44" s="54">
        <f t="shared" si="7"/>
        <v>0</v>
      </c>
      <c r="G44" s="54">
        <f t="shared" si="7"/>
        <v>0</v>
      </c>
      <c r="H44" s="54">
        <f t="shared" si="7"/>
        <v>0</v>
      </c>
      <c r="I44" s="69"/>
    </row>
    <row r="45" spans="1:9" x14ac:dyDescent="0.3">
      <c r="A45" s="162"/>
      <c r="B45" s="153"/>
      <c r="C45" s="18"/>
      <c r="D45" s="18"/>
      <c r="E45" s="18"/>
      <c r="F45" s="18"/>
      <c r="G45" s="18"/>
      <c r="H45" s="18"/>
      <c r="I45" s="69"/>
    </row>
    <row r="46" spans="1:9" x14ac:dyDescent="0.3">
      <c r="A46" s="162"/>
      <c r="B46" s="153" t="s">
        <v>1546</v>
      </c>
      <c r="C46" s="51"/>
      <c r="D46" s="18"/>
      <c r="E46" s="18"/>
      <c r="F46" s="18"/>
      <c r="G46" s="18"/>
      <c r="H46" s="18"/>
      <c r="I46" s="69"/>
    </row>
    <row r="47" spans="1:9" x14ac:dyDescent="0.3">
      <c r="A47" s="162"/>
      <c r="B47" s="153"/>
      <c r="C47" s="18"/>
      <c r="D47" s="18"/>
      <c r="E47" s="18"/>
      <c r="F47" s="18"/>
      <c r="G47" s="18"/>
      <c r="H47" s="18"/>
      <c r="I47" s="69"/>
    </row>
    <row r="48" spans="1:9" ht="20.399999999999999" x14ac:dyDescent="0.3">
      <c r="A48" s="162" t="s">
        <v>1547</v>
      </c>
      <c r="B48" s="153" t="s">
        <v>932</v>
      </c>
      <c r="C48" s="116">
        <f t="shared" ref="C48:D51" si="8">ROUND(E48+G48,0)</f>
        <v>0</v>
      </c>
      <c r="D48" s="117">
        <f t="shared" si="8"/>
        <v>0</v>
      </c>
      <c r="E48" s="117"/>
      <c r="F48" s="116"/>
      <c r="G48" s="116"/>
      <c r="H48" s="116"/>
      <c r="I48" s="69"/>
    </row>
    <row r="49" spans="1:9" x14ac:dyDescent="0.3">
      <c r="A49" s="162" t="s">
        <v>1548</v>
      </c>
      <c r="B49" s="153" t="s">
        <v>1514</v>
      </c>
      <c r="C49" s="116">
        <f t="shared" si="8"/>
        <v>0</v>
      </c>
      <c r="D49" s="117">
        <f t="shared" si="8"/>
        <v>0</v>
      </c>
      <c r="E49" s="117"/>
      <c r="F49" s="116"/>
      <c r="G49" s="116"/>
      <c r="H49" s="116"/>
      <c r="I49" s="69"/>
    </row>
    <row r="50" spans="1:9" ht="20.399999999999999" x14ac:dyDescent="0.3">
      <c r="A50" s="162" t="s">
        <v>1549</v>
      </c>
      <c r="B50" s="153" t="s">
        <v>934</v>
      </c>
      <c r="C50" s="116">
        <f t="shared" si="8"/>
        <v>0</v>
      </c>
      <c r="D50" s="117">
        <f t="shared" si="8"/>
        <v>0</v>
      </c>
      <c r="E50" s="117"/>
      <c r="F50" s="116"/>
      <c r="G50" s="116"/>
      <c r="H50" s="116"/>
      <c r="I50" s="69"/>
    </row>
    <row r="51" spans="1:9" x14ac:dyDescent="0.3">
      <c r="A51" s="162" t="s">
        <v>1550</v>
      </c>
      <c r="B51" s="153" t="s">
        <v>1514</v>
      </c>
      <c r="C51" s="116">
        <f t="shared" si="8"/>
        <v>0</v>
      </c>
      <c r="D51" s="117">
        <f t="shared" si="8"/>
        <v>0</v>
      </c>
      <c r="E51" s="117"/>
      <c r="F51" s="116"/>
      <c r="G51" s="116"/>
      <c r="H51" s="116"/>
      <c r="I51" s="69"/>
    </row>
    <row r="52" spans="1:9" ht="20.399999999999999" x14ac:dyDescent="0.3">
      <c r="A52" s="162" t="s">
        <v>1551</v>
      </c>
      <c r="B52" s="153" t="s">
        <v>1552</v>
      </c>
      <c r="C52" s="54">
        <f t="shared" ref="C52:H52" si="9">ROUND(SUM(C48:C49)+SUM(C50:C51),0)</f>
        <v>0</v>
      </c>
      <c r="D52" s="54">
        <f t="shared" si="9"/>
        <v>0</v>
      </c>
      <c r="E52" s="54">
        <f t="shared" si="9"/>
        <v>0</v>
      </c>
      <c r="F52" s="54">
        <f t="shared" si="9"/>
        <v>0</v>
      </c>
      <c r="G52" s="54">
        <f t="shared" si="9"/>
        <v>0</v>
      </c>
      <c r="H52" s="54">
        <f t="shared" si="9"/>
        <v>0</v>
      </c>
      <c r="I52" s="69"/>
    </row>
    <row r="53" spans="1:9" x14ac:dyDescent="0.3">
      <c r="A53" s="162"/>
      <c r="B53" s="153"/>
      <c r="C53" s="18"/>
      <c r="D53" s="18"/>
      <c r="E53" s="18"/>
      <c r="F53" s="18"/>
      <c r="G53" s="18"/>
      <c r="H53" s="18"/>
      <c r="I53" s="69"/>
    </row>
    <row r="54" spans="1:9" ht="20.399999999999999" x14ac:dyDescent="0.3">
      <c r="A54" s="162"/>
      <c r="B54" s="153" t="s">
        <v>1553</v>
      </c>
      <c r="C54" s="18"/>
      <c r="D54" s="18"/>
      <c r="E54" s="18"/>
      <c r="F54" s="18"/>
      <c r="G54" s="18"/>
      <c r="H54" s="18"/>
      <c r="I54" s="69"/>
    </row>
    <row r="55" spans="1:9" x14ac:dyDescent="0.3">
      <c r="A55" s="162"/>
      <c r="B55" s="153"/>
      <c r="C55" s="18"/>
      <c r="D55" s="18"/>
      <c r="E55" s="18"/>
      <c r="F55" s="18"/>
      <c r="G55" s="18"/>
      <c r="H55" s="18"/>
      <c r="I55" s="69"/>
    </row>
    <row r="56" spans="1:9" ht="20.399999999999999" x14ac:dyDescent="0.3">
      <c r="A56" s="162" t="s">
        <v>1554</v>
      </c>
      <c r="B56" s="153" t="s">
        <v>936</v>
      </c>
      <c r="C56" s="116">
        <f t="shared" ref="C56:D59" si="10">ROUND(E56+G56,0)</f>
        <v>0</v>
      </c>
      <c r="D56" s="116">
        <f t="shared" si="10"/>
        <v>0</v>
      </c>
      <c r="E56" s="116"/>
      <c r="F56" s="116"/>
      <c r="G56" s="116"/>
      <c r="H56" s="116"/>
      <c r="I56" s="69"/>
    </row>
    <row r="57" spans="1:9" x14ac:dyDescent="0.3">
      <c r="A57" s="162" t="s">
        <v>1555</v>
      </c>
      <c r="B57" s="153" t="s">
        <v>1514</v>
      </c>
      <c r="C57" s="116">
        <f t="shared" si="10"/>
        <v>0</v>
      </c>
      <c r="D57" s="116">
        <f t="shared" si="10"/>
        <v>0</v>
      </c>
      <c r="E57" s="116"/>
      <c r="F57" s="116"/>
      <c r="G57" s="116"/>
      <c r="H57" s="116"/>
      <c r="I57" s="69"/>
    </row>
    <row r="58" spans="1:9" ht="20.399999999999999" x14ac:dyDescent="0.3">
      <c r="A58" s="162" t="s">
        <v>1556</v>
      </c>
      <c r="B58" s="153" t="s">
        <v>938</v>
      </c>
      <c r="C58" s="116">
        <f t="shared" si="10"/>
        <v>0</v>
      </c>
      <c r="D58" s="116">
        <f t="shared" si="10"/>
        <v>0</v>
      </c>
      <c r="E58" s="116"/>
      <c r="F58" s="116"/>
      <c r="G58" s="116"/>
      <c r="H58" s="116"/>
      <c r="I58" s="69"/>
    </row>
    <row r="59" spans="1:9" x14ac:dyDescent="0.3">
      <c r="A59" s="162" t="s">
        <v>1557</v>
      </c>
      <c r="B59" s="153" t="s">
        <v>1514</v>
      </c>
      <c r="C59" s="116">
        <f t="shared" si="10"/>
        <v>0</v>
      </c>
      <c r="D59" s="116">
        <f t="shared" si="10"/>
        <v>0</v>
      </c>
      <c r="E59" s="116"/>
      <c r="F59" s="116"/>
      <c r="G59" s="116"/>
      <c r="H59" s="116"/>
      <c r="I59" s="69"/>
    </row>
    <row r="60" spans="1:9" ht="20.399999999999999" x14ac:dyDescent="0.3">
      <c r="A60" s="162" t="s">
        <v>1558</v>
      </c>
      <c r="B60" s="153" t="s">
        <v>1559</v>
      </c>
      <c r="C60" s="54">
        <f t="shared" ref="C60:H60" si="11">ROUND(SUM(C56:C57)+SUM(C58:C59),0)</f>
        <v>0</v>
      </c>
      <c r="D60" s="54">
        <f t="shared" si="11"/>
        <v>0</v>
      </c>
      <c r="E60" s="54">
        <f t="shared" si="11"/>
        <v>0</v>
      </c>
      <c r="F60" s="54">
        <f t="shared" si="11"/>
        <v>0</v>
      </c>
      <c r="G60" s="54">
        <f t="shared" si="11"/>
        <v>0</v>
      </c>
      <c r="H60" s="54">
        <f t="shared" si="11"/>
        <v>0</v>
      </c>
      <c r="I60" s="69"/>
    </row>
    <row r="61" spans="1:9" x14ac:dyDescent="0.3">
      <c r="A61" s="162"/>
      <c r="B61" s="153"/>
      <c r="C61" s="18"/>
      <c r="D61" s="18"/>
      <c r="E61" s="18"/>
      <c r="F61" s="18"/>
      <c r="G61" s="18"/>
      <c r="H61" s="18"/>
      <c r="I61" s="69"/>
    </row>
    <row r="62" spans="1:9" x14ac:dyDescent="0.3">
      <c r="A62" s="162"/>
      <c r="B62" s="153" t="s">
        <v>1560</v>
      </c>
      <c r="C62" s="51"/>
      <c r="D62" s="18"/>
      <c r="E62" s="18"/>
      <c r="F62" s="18"/>
      <c r="G62" s="18"/>
      <c r="H62" s="18"/>
      <c r="I62" s="69"/>
    </row>
    <row r="63" spans="1:9" x14ac:dyDescent="0.3">
      <c r="A63" s="162"/>
      <c r="B63" s="153"/>
      <c r="C63" s="18"/>
      <c r="D63" s="18"/>
      <c r="E63" s="18"/>
      <c r="F63" s="18"/>
      <c r="G63" s="18"/>
      <c r="H63" s="18"/>
      <c r="I63" s="69"/>
    </row>
    <row r="64" spans="1:9" x14ac:dyDescent="0.3">
      <c r="A64" s="162" t="s">
        <v>1561</v>
      </c>
      <c r="B64" s="153" t="s">
        <v>1562</v>
      </c>
      <c r="C64" s="52"/>
      <c r="D64" s="52"/>
      <c r="E64" s="52"/>
      <c r="F64" s="52"/>
      <c r="G64" s="52"/>
      <c r="H64" s="52"/>
      <c r="I64" s="69"/>
    </row>
    <row r="65" spans="1:9" x14ac:dyDescent="0.3">
      <c r="A65" s="162" t="s">
        <v>1563</v>
      </c>
      <c r="B65" s="153" t="s">
        <v>1514</v>
      </c>
      <c r="C65" s="116">
        <f>ROUND(E65+G65,0)</f>
        <v>0</v>
      </c>
      <c r="D65" s="117">
        <f>ROUND(F65+H65,0)</f>
        <v>0</v>
      </c>
      <c r="E65" s="117"/>
      <c r="F65" s="116"/>
      <c r="G65" s="116"/>
      <c r="H65" s="116"/>
      <c r="I65" s="69"/>
    </row>
    <row r="66" spans="1:9" x14ac:dyDescent="0.3">
      <c r="A66" s="162" t="s">
        <v>1564</v>
      </c>
      <c r="B66" s="153" t="s">
        <v>1565</v>
      </c>
      <c r="C66" s="52"/>
      <c r="D66" s="52"/>
      <c r="E66" s="52"/>
      <c r="F66" s="52"/>
      <c r="G66" s="52"/>
      <c r="H66" s="52"/>
      <c r="I66" s="69"/>
    </row>
    <row r="67" spans="1:9" x14ac:dyDescent="0.3">
      <c r="A67" s="162" t="s">
        <v>1566</v>
      </c>
      <c r="B67" s="153" t="s">
        <v>1514</v>
      </c>
      <c r="C67" s="116">
        <f>ROUND(E67+G67,0)</f>
        <v>0</v>
      </c>
      <c r="D67" s="117">
        <f>ROUND(F67+H67,0)</f>
        <v>0</v>
      </c>
      <c r="E67" s="117"/>
      <c r="F67" s="116"/>
      <c r="G67" s="116"/>
      <c r="H67" s="116"/>
      <c r="I67" s="69"/>
    </row>
    <row r="68" spans="1:9" x14ac:dyDescent="0.3">
      <c r="A68" s="162" t="s">
        <v>1567</v>
      </c>
      <c r="B68" s="153" t="s">
        <v>1568</v>
      </c>
      <c r="C68" s="54">
        <f t="shared" ref="C68:H68" si="12">ROUND(C64+C65+C66+C67,0)</f>
        <v>0</v>
      </c>
      <c r="D68" s="54">
        <f t="shared" si="12"/>
        <v>0</v>
      </c>
      <c r="E68" s="54">
        <f t="shared" si="12"/>
        <v>0</v>
      </c>
      <c r="F68" s="54">
        <f t="shared" si="12"/>
        <v>0</v>
      </c>
      <c r="G68" s="54">
        <f t="shared" si="12"/>
        <v>0</v>
      </c>
      <c r="H68" s="54">
        <f t="shared" si="12"/>
        <v>0</v>
      </c>
      <c r="I68" s="69"/>
    </row>
    <row r="69" spans="1:9" ht="20.399999999999999" x14ac:dyDescent="0.3">
      <c r="A69" s="162" t="s">
        <v>1569</v>
      </c>
      <c r="B69" s="153" t="s">
        <v>1570</v>
      </c>
      <c r="C69" s="116">
        <f t="shared" ref="C69:H69" si="13">ROUND(C20-C36+C44+C52+C60+C68,0)</f>
        <v>0</v>
      </c>
      <c r="D69" s="116">
        <f t="shared" si="13"/>
        <v>0</v>
      </c>
      <c r="E69" s="116">
        <f t="shared" si="13"/>
        <v>0</v>
      </c>
      <c r="F69" s="116">
        <f t="shared" si="13"/>
        <v>0</v>
      </c>
      <c r="G69" s="116">
        <f t="shared" si="13"/>
        <v>0</v>
      </c>
      <c r="H69" s="116">
        <f t="shared" si="13"/>
        <v>0</v>
      </c>
      <c r="I69" s="69"/>
    </row>
    <row r="70" spans="1:9" ht="8.1" customHeight="1" x14ac:dyDescent="0.3">
      <c r="A70" s="70" t="s">
        <v>0</v>
      </c>
      <c r="B70" s="152"/>
      <c r="C70" s="70"/>
      <c r="D70" s="70"/>
      <c r="E70" s="70"/>
      <c r="F70" s="70"/>
      <c r="G70" s="70"/>
      <c r="H70" s="70"/>
      <c r="I70"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100"/>
  <sheetViews>
    <sheetView workbookViewId="0"/>
  </sheetViews>
  <sheetFormatPr defaultColWidth="11.5546875" defaultRowHeight="14.4" x14ac:dyDescent="0.3"/>
  <cols>
    <col min="1" max="1" width="14.33203125" style="107" customWidth="1"/>
    <col min="2" max="2" width="35.6640625" style="107" customWidth="1"/>
    <col min="3" max="8" width="18.6640625" style="107" customWidth="1"/>
    <col min="9" max="9" width="1.6640625" style="107" customWidth="1"/>
    <col min="10" max="16384" width="11.5546875" style="107"/>
  </cols>
  <sheetData>
    <row r="1" spans="1:9" x14ac:dyDescent="0.3">
      <c r="A1" s="42" t="s">
        <v>0</v>
      </c>
      <c r="B1" s="42" t="s">
        <v>5606</v>
      </c>
      <c r="C1" s="42"/>
      <c r="D1" s="42"/>
      <c r="E1" s="42" t="s">
        <v>0</v>
      </c>
      <c r="F1" s="42" t="s">
        <v>0</v>
      </c>
      <c r="G1" s="42" t="s">
        <v>0</v>
      </c>
      <c r="H1" s="42" t="s">
        <v>0</v>
      </c>
      <c r="I1" s="69" t="s">
        <v>0</v>
      </c>
    </row>
    <row r="2" spans="1:9" ht="30.6" x14ac:dyDescent="0.3">
      <c r="A2" s="121" t="s">
        <v>5597</v>
      </c>
      <c r="B2" s="121" t="s">
        <v>5598</v>
      </c>
      <c r="C2" s="43" t="s">
        <v>5661</v>
      </c>
      <c r="D2" s="45" t="s">
        <v>5662</v>
      </c>
      <c r="E2" s="45" t="s">
        <v>5663</v>
      </c>
      <c r="F2" s="43" t="s">
        <v>886</v>
      </c>
      <c r="G2" s="45" t="s">
        <v>887</v>
      </c>
      <c r="H2" s="45" t="s">
        <v>5664</v>
      </c>
      <c r="I2" s="69" t="s">
        <v>0</v>
      </c>
    </row>
    <row r="3" spans="1:9" x14ac:dyDescent="0.3">
      <c r="A3" s="163"/>
      <c r="B3" s="46" t="s">
        <v>0</v>
      </c>
      <c r="C3" s="18"/>
      <c r="D3" s="18"/>
      <c r="E3" s="18"/>
      <c r="F3" s="18"/>
      <c r="G3" s="18"/>
      <c r="H3" s="18"/>
      <c r="I3" s="69"/>
    </row>
    <row r="4" spans="1:9" x14ac:dyDescent="0.3">
      <c r="A4" s="163"/>
      <c r="B4" s="51" t="s">
        <v>5626</v>
      </c>
      <c r="C4" s="49"/>
      <c r="D4" s="49"/>
      <c r="E4" s="49"/>
      <c r="F4" s="47"/>
      <c r="G4" s="47"/>
      <c r="H4" s="47"/>
      <c r="I4" s="69"/>
    </row>
    <row r="5" spans="1:9" ht="52.2" x14ac:dyDescent="0.3">
      <c r="A5" s="163"/>
      <c r="B5" s="71" t="s">
        <v>5630</v>
      </c>
      <c r="C5" s="47"/>
      <c r="D5" s="47"/>
      <c r="E5" s="47"/>
      <c r="F5" s="71"/>
      <c r="G5" s="71"/>
      <c r="H5" s="71"/>
      <c r="I5" s="69"/>
    </row>
    <row r="6" spans="1:9" x14ac:dyDescent="0.3">
      <c r="A6" s="163"/>
      <c r="B6" s="160"/>
      <c r="C6" s="47"/>
      <c r="D6" s="47"/>
      <c r="E6" s="47"/>
      <c r="F6" s="47"/>
      <c r="G6" s="47"/>
      <c r="H6" s="47"/>
      <c r="I6" s="69"/>
    </row>
    <row r="7" spans="1:9" x14ac:dyDescent="0.3">
      <c r="A7" s="162" t="s">
        <v>888</v>
      </c>
      <c r="B7" s="153" t="s">
        <v>889</v>
      </c>
      <c r="C7" s="68">
        <f>ROUND('ANEXO 5'!C43,0)</f>
        <v>0</v>
      </c>
      <c r="D7" s="117"/>
      <c r="E7" s="117">
        <f>ROUND(C7-D7,0)</f>
        <v>0</v>
      </c>
      <c r="F7" s="192">
        <f>ROUND('ANEXO 5'!D43,0)</f>
        <v>0</v>
      </c>
      <c r="G7" s="117"/>
      <c r="H7" s="117">
        <f>ROUND(F7-G7,0)</f>
        <v>0</v>
      </c>
      <c r="I7" s="69"/>
    </row>
    <row r="8" spans="1:9" x14ac:dyDescent="0.3">
      <c r="A8" s="162"/>
      <c r="B8" s="153"/>
      <c r="C8" s="20"/>
      <c r="D8" s="20"/>
      <c r="E8" s="20"/>
      <c r="F8" s="20"/>
      <c r="G8" s="20"/>
      <c r="H8" s="20"/>
      <c r="I8" s="69"/>
    </row>
    <row r="9" spans="1:9" x14ac:dyDescent="0.3">
      <c r="A9" s="162"/>
      <c r="B9" s="153" t="s">
        <v>890</v>
      </c>
      <c r="C9" s="20"/>
      <c r="D9" s="20"/>
      <c r="E9" s="20"/>
      <c r="F9" s="20"/>
      <c r="G9" s="20"/>
      <c r="H9" s="20"/>
      <c r="I9" s="69"/>
    </row>
    <row r="10" spans="1:9" x14ac:dyDescent="0.3">
      <c r="A10" s="162"/>
      <c r="B10" s="153"/>
      <c r="C10" s="20"/>
      <c r="D10" s="20"/>
      <c r="E10" s="20"/>
      <c r="F10" s="20"/>
      <c r="G10" s="20"/>
      <c r="H10" s="20"/>
      <c r="I10" s="69"/>
    </row>
    <row r="11" spans="1:9" x14ac:dyDescent="0.3">
      <c r="A11" s="162" t="s">
        <v>891</v>
      </c>
      <c r="B11" s="153" t="s">
        <v>892</v>
      </c>
      <c r="C11" s="68">
        <f>ROUND('ANEXO 6'!C56+'ANEXO 6'!C82,0)</f>
        <v>0</v>
      </c>
      <c r="D11" s="117"/>
      <c r="E11" s="117">
        <f>ROUND(C11-D11,0)</f>
        <v>0</v>
      </c>
      <c r="F11" s="192">
        <f>ROUND('ANEXO 6'!D56+'ANEXO 6'!D82,0)</f>
        <v>0</v>
      </c>
      <c r="G11" s="117"/>
      <c r="H11" s="117">
        <f>ROUND(F11-G11,0)</f>
        <v>0</v>
      </c>
      <c r="I11" s="69"/>
    </row>
    <row r="12" spans="1:9" x14ac:dyDescent="0.3">
      <c r="A12" s="162"/>
      <c r="B12" s="153"/>
      <c r="C12" s="18"/>
      <c r="D12" s="18"/>
      <c r="E12" s="18"/>
      <c r="F12" s="20"/>
      <c r="G12" s="20"/>
      <c r="H12" s="20"/>
      <c r="I12" s="69"/>
    </row>
    <row r="13" spans="1:9" x14ac:dyDescent="0.3">
      <c r="A13" s="162" t="s">
        <v>893</v>
      </c>
      <c r="B13" s="153" t="s">
        <v>894</v>
      </c>
      <c r="C13" s="72">
        <f t="shared" ref="C13:H13" si="0">ROUND(IF(C7-C11&lt;0,-C7+C11, 0),0)</f>
        <v>0</v>
      </c>
      <c r="D13" s="72">
        <f t="shared" si="0"/>
        <v>0</v>
      </c>
      <c r="E13" s="72">
        <f t="shared" si="0"/>
        <v>0</v>
      </c>
      <c r="F13" s="72">
        <f t="shared" si="0"/>
        <v>0</v>
      </c>
      <c r="G13" s="72">
        <f t="shared" si="0"/>
        <v>0</v>
      </c>
      <c r="H13" s="72">
        <f t="shared" si="0"/>
        <v>0</v>
      </c>
      <c r="I13" s="69"/>
    </row>
    <row r="14" spans="1:9" x14ac:dyDescent="0.3">
      <c r="A14" s="162" t="s">
        <v>895</v>
      </c>
      <c r="B14" s="153" t="s">
        <v>896</v>
      </c>
      <c r="C14" s="72">
        <f t="shared" ref="C14:H14" si="1">ROUND(IF(C7-C11&gt;0,C7-C11, 0),0)</f>
        <v>0</v>
      </c>
      <c r="D14" s="72">
        <f t="shared" si="1"/>
        <v>0</v>
      </c>
      <c r="E14" s="72">
        <f t="shared" si="1"/>
        <v>0</v>
      </c>
      <c r="F14" s="72">
        <f t="shared" si="1"/>
        <v>0</v>
      </c>
      <c r="G14" s="72">
        <f t="shared" si="1"/>
        <v>0</v>
      </c>
      <c r="H14" s="72">
        <f t="shared" si="1"/>
        <v>0</v>
      </c>
      <c r="I14" s="69"/>
    </row>
    <row r="15" spans="1:9" x14ac:dyDescent="0.3">
      <c r="A15" s="162"/>
      <c r="B15" s="153"/>
      <c r="C15" s="18"/>
      <c r="D15" s="18"/>
      <c r="E15" s="18"/>
      <c r="F15" s="18"/>
      <c r="G15" s="18"/>
      <c r="H15" s="18"/>
      <c r="I15" s="69"/>
    </row>
    <row r="16" spans="1:9" x14ac:dyDescent="0.3">
      <c r="A16" s="162"/>
      <c r="B16" s="153" t="s">
        <v>890</v>
      </c>
      <c r="C16" s="18"/>
      <c r="D16" s="18"/>
      <c r="E16" s="18"/>
      <c r="F16" s="18"/>
      <c r="G16" s="18"/>
      <c r="H16" s="18"/>
      <c r="I16" s="69"/>
    </row>
    <row r="17" spans="1:9" x14ac:dyDescent="0.3">
      <c r="A17" s="162"/>
      <c r="B17" s="153"/>
      <c r="C17" s="18"/>
      <c r="D17" s="18"/>
      <c r="E17" s="18"/>
      <c r="F17" s="18"/>
      <c r="G17" s="18"/>
      <c r="H17" s="18"/>
      <c r="I17" s="69"/>
    </row>
    <row r="18" spans="1:9" x14ac:dyDescent="0.3">
      <c r="A18" s="162"/>
      <c r="B18" s="154" t="s">
        <v>897</v>
      </c>
      <c r="C18" s="18"/>
      <c r="D18" s="18"/>
      <c r="E18" s="18"/>
      <c r="F18" s="18"/>
      <c r="G18" s="18"/>
      <c r="H18" s="18"/>
      <c r="I18" s="69"/>
    </row>
    <row r="19" spans="1:9" x14ac:dyDescent="0.3">
      <c r="A19" s="162"/>
      <c r="B19" s="153"/>
      <c r="C19" s="18"/>
      <c r="D19" s="18"/>
      <c r="E19" s="18"/>
      <c r="F19" s="18"/>
      <c r="G19" s="18"/>
      <c r="H19" s="18"/>
      <c r="I19" s="69"/>
    </row>
    <row r="20" spans="1:9" x14ac:dyDescent="0.3">
      <c r="A20" s="162" t="s">
        <v>898</v>
      </c>
      <c r="B20" s="153" t="s">
        <v>899</v>
      </c>
      <c r="C20" s="68">
        <f>ROUND('ANEXO 7'!X121,0)</f>
        <v>0</v>
      </c>
      <c r="D20" s="117"/>
      <c r="E20" s="117">
        <f>ROUND(C20-D20,0)</f>
        <v>0</v>
      </c>
      <c r="F20" s="192">
        <f>ROUND('ANEXO 7'!Y121,0)</f>
        <v>0</v>
      </c>
      <c r="G20" s="117"/>
      <c r="H20" s="117">
        <f>ROUND(F20-G20,0)</f>
        <v>0</v>
      </c>
      <c r="I20" s="69"/>
    </row>
    <row r="21" spans="1:9" x14ac:dyDescent="0.3">
      <c r="A21" s="162" t="s">
        <v>900</v>
      </c>
      <c r="B21" s="153" t="s">
        <v>901</v>
      </c>
      <c r="C21" s="68">
        <f>ROUND('ANEXO 7'!Q121,0)</f>
        <v>0</v>
      </c>
      <c r="D21" s="117"/>
      <c r="E21" s="117">
        <f>ROUND(C21-D21,0)</f>
        <v>0</v>
      </c>
      <c r="F21" s="192">
        <f>ROUND('ANEXO 7'!R121,0)</f>
        <v>0</v>
      </c>
      <c r="G21" s="117"/>
      <c r="H21" s="117">
        <f>ROUND(F21-G21,0)</f>
        <v>0</v>
      </c>
      <c r="I21" s="69"/>
    </row>
    <row r="22" spans="1:9" x14ac:dyDescent="0.3">
      <c r="A22" s="162" t="s">
        <v>902</v>
      </c>
      <c r="B22" s="153" t="s">
        <v>903</v>
      </c>
      <c r="C22" s="68">
        <f>ROUND('ANEXO 7'!J121,0)</f>
        <v>0</v>
      </c>
      <c r="D22" s="117"/>
      <c r="E22" s="117">
        <f>ROUND(C22-D22,0)</f>
        <v>0</v>
      </c>
      <c r="F22" s="192">
        <f>ROUND('ANEXO 7'!K121,0)</f>
        <v>0</v>
      </c>
      <c r="G22" s="117"/>
      <c r="H22" s="117">
        <f>ROUND(F22-G22,0)</f>
        <v>0</v>
      </c>
      <c r="I22" s="69"/>
    </row>
    <row r="23" spans="1:9" x14ac:dyDescent="0.3">
      <c r="A23" s="162" t="s">
        <v>904</v>
      </c>
      <c r="B23" s="153" t="s">
        <v>905</v>
      </c>
      <c r="C23" s="54">
        <f t="shared" ref="C23:H23" si="2">ROUND(SUM(C20:C22),0)</f>
        <v>0</v>
      </c>
      <c r="D23" s="54">
        <f t="shared" si="2"/>
        <v>0</v>
      </c>
      <c r="E23" s="54">
        <f t="shared" si="2"/>
        <v>0</v>
      </c>
      <c r="F23" s="54">
        <f t="shared" si="2"/>
        <v>0</v>
      </c>
      <c r="G23" s="54">
        <f t="shared" si="2"/>
        <v>0</v>
      </c>
      <c r="H23" s="54">
        <f t="shared" si="2"/>
        <v>0</v>
      </c>
      <c r="I23" s="69"/>
    </row>
    <row r="24" spans="1:9" x14ac:dyDescent="0.3">
      <c r="A24" s="162"/>
      <c r="B24" s="153"/>
      <c r="C24" s="18"/>
      <c r="D24" s="18"/>
      <c r="E24" s="18"/>
      <c r="F24" s="18"/>
      <c r="G24" s="18"/>
      <c r="H24" s="18"/>
      <c r="I24" s="69"/>
    </row>
    <row r="25" spans="1:9" x14ac:dyDescent="0.3">
      <c r="A25" s="162" t="s">
        <v>906</v>
      </c>
      <c r="B25" s="153" t="s">
        <v>907</v>
      </c>
      <c r="C25" s="72">
        <f t="shared" ref="C25:H25" si="3">ROUND(IF(C14-C13-C23&lt;0,C13-C14+C23, 0),0)</f>
        <v>0</v>
      </c>
      <c r="D25" s="72">
        <f t="shared" si="3"/>
        <v>0</v>
      </c>
      <c r="E25" s="72">
        <f t="shared" si="3"/>
        <v>0</v>
      </c>
      <c r="F25" s="72">
        <f t="shared" si="3"/>
        <v>0</v>
      </c>
      <c r="G25" s="72">
        <f t="shared" si="3"/>
        <v>0</v>
      </c>
      <c r="H25" s="72">
        <f t="shared" si="3"/>
        <v>0</v>
      </c>
      <c r="I25" s="69"/>
    </row>
    <row r="26" spans="1:9" x14ac:dyDescent="0.3">
      <c r="A26" s="162" t="s">
        <v>908</v>
      </c>
      <c r="B26" s="153" t="s">
        <v>909</v>
      </c>
      <c r="C26" s="72">
        <f t="shared" ref="C26:H26" si="4">ROUND(IF(C14-C13-C23&gt;0,-C13+C14-C23, 0),0)</f>
        <v>0</v>
      </c>
      <c r="D26" s="72">
        <f t="shared" si="4"/>
        <v>0</v>
      </c>
      <c r="E26" s="72">
        <f t="shared" si="4"/>
        <v>0</v>
      </c>
      <c r="F26" s="72">
        <f t="shared" si="4"/>
        <v>0</v>
      </c>
      <c r="G26" s="72">
        <f t="shared" si="4"/>
        <v>0</v>
      </c>
      <c r="H26" s="72">
        <f t="shared" si="4"/>
        <v>0</v>
      </c>
      <c r="I26" s="69"/>
    </row>
    <row r="27" spans="1:9" x14ac:dyDescent="0.3">
      <c r="A27" s="162"/>
      <c r="B27" s="153"/>
      <c r="C27" s="18"/>
      <c r="D27" s="18"/>
      <c r="E27" s="18"/>
      <c r="F27" s="18"/>
      <c r="G27" s="18"/>
      <c r="H27" s="18"/>
      <c r="I27" s="69"/>
    </row>
    <row r="28" spans="1:9" x14ac:dyDescent="0.3">
      <c r="A28" s="162"/>
      <c r="B28" s="153" t="s">
        <v>910</v>
      </c>
      <c r="C28" s="18"/>
      <c r="D28" s="18"/>
      <c r="E28" s="18"/>
      <c r="F28" s="18"/>
      <c r="G28" s="18"/>
      <c r="H28" s="18"/>
      <c r="I28" s="69"/>
    </row>
    <row r="29" spans="1:9" x14ac:dyDescent="0.3">
      <c r="A29" s="162"/>
      <c r="B29" s="153"/>
      <c r="C29" s="18"/>
      <c r="D29" s="18"/>
      <c r="E29" s="18"/>
      <c r="F29" s="18"/>
      <c r="G29" s="18"/>
      <c r="H29" s="18"/>
      <c r="I29" s="69"/>
    </row>
    <row r="30" spans="1:9" x14ac:dyDescent="0.3">
      <c r="A30" s="162"/>
      <c r="B30" s="154" t="s">
        <v>911</v>
      </c>
      <c r="C30" s="18"/>
      <c r="D30" s="18"/>
      <c r="E30" s="18"/>
      <c r="F30" s="18"/>
      <c r="G30" s="18"/>
      <c r="H30" s="18"/>
      <c r="I30" s="69"/>
    </row>
    <row r="31" spans="1:9" x14ac:dyDescent="0.3">
      <c r="A31" s="162"/>
      <c r="B31" s="153"/>
      <c r="C31" s="18"/>
      <c r="D31" s="18"/>
      <c r="E31" s="18"/>
      <c r="F31" s="18"/>
      <c r="G31" s="18"/>
      <c r="H31" s="18"/>
      <c r="I31" s="69"/>
    </row>
    <row r="32" spans="1:9" ht="20.399999999999999" x14ac:dyDescent="0.3">
      <c r="A32" s="162" t="s">
        <v>912</v>
      </c>
      <c r="B32" s="153" t="s">
        <v>913</v>
      </c>
      <c r="C32" s="117"/>
      <c r="D32" s="117"/>
      <c r="E32" s="117">
        <f>ROUND(C32-D32,0)</f>
        <v>0</v>
      </c>
      <c r="F32" s="117"/>
      <c r="G32" s="117"/>
      <c r="H32" s="117">
        <f>ROUND(F32-G32,0)</f>
        <v>0</v>
      </c>
      <c r="I32" s="69"/>
    </row>
    <row r="33" spans="1:9" ht="20.399999999999999" x14ac:dyDescent="0.3">
      <c r="A33" s="162" t="s">
        <v>914</v>
      </c>
      <c r="B33" s="153" t="s">
        <v>915</v>
      </c>
      <c r="C33" s="117"/>
      <c r="D33" s="117"/>
      <c r="E33" s="117">
        <f>ROUND(C33-D33,0)</f>
        <v>0</v>
      </c>
      <c r="F33" s="117"/>
      <c r="G33" s="117"/>
      <c r="H33" s="117">
        <f>ROUND(F33-G33,0)</f>
        <v>0</v>
      </c>
      <c r="I33" s="69"/>
    </row>
    <row r="34" spans="1:9" x14ac:dyDescent="0.3">
      <c r="A34" s="162" t="s">
        <v>916</v>
      </c>
      <c r="B34" s="153" t="s">
        <v>917</v>
      </c>
      <c r="C34" s="117"/>
      <c r="D34" s="117"/>
      <c r="E34" s="117">
        <f>ROUND(C34-D34,0)</f>
        <v>0</v>
      </c>
      <c r="F34" s="117"/>
      <c r="G34" s="117"/>
      <c r="H34" s="117">
        <f>ROUND(F34-G34,0)</f>
        <v>0</v>
      </c>
      <c r="I34" s="69"/>
    </row>
    <row r="35" spans="1:9" ht="20.399999999999999" x14ac:dyDescent="0.3">
      <c r="A35" s="162" t="s">
        <v>918</v>
      </c>
      <c r="B35" s="153" t="s">
        <v>919</v>
      </c>
      <c r="C35" s="117"/>
      <c r="D35" s="117"/>
      <c r="E35" s="117">
        <f>ROUND(C35-D35,0)</f>
        <v>0</v>
      </c>
      <c r="F35" s="117"/>
      <c r="G35" s="117"/>
      <c r="H35" s="117">
        <f>ROUND(F35-G35,0)</f>
        <v>0</v>
      </c>
      <c r="I35" s="69"/>
    </row>
    <row r="36" spans="1:9" x14ac:dyDescent="0.3">
      <c r="A36" s="162" t="s">
        <v>920</v>
      </c>
      <c r="B36" s="153" t="s">
        <v>921</v>
      </c>
      <c r="C36" s="54">
        <f t="shared" ref="C36:H36" si="5">ROUND(SUM(C32:C35),0)</f>
        <v>0</v>
      </c>
      <c r="D36" s="54">
        <f t="shared" si="5"/>
        <v>0</v>
      </c>
      <c r="E36" s="54">
        <f t="shared" si="5"/>
        <v>0</v>
      </c>
      <c r="F36" s="54">
        <f t="shared" si="5"/>
        <v>0</v>
      </c>
      <c r="G36" s="54">
        <f t="shared" si="5"/>
        <v>0</v>
      </c>
      <c r="H36" s="54">
        <f t="shared" si="5"/>
        <v>0</v>
      </c>
      <c r="I36" s="69"/>
    </row>
    <row r="37" spans="1:9" x14ac:dyDescent="0.3">
      <c r="A37" s="162"/>
      <c r="B37" s="153"/>
      <c r="C37" s="18"/>
      <c r="D37" s="18"/>
      <c r="E37" s="18"/>
      <c r="F37" s="18"/>
      <c r="G37" s="18"/>
      <c r="H37" s="18"/>
      <c r="I37" s="69"/>
    </row>
    <row r="38" spans="1:9" x14ac:dyDescent="0.3">
      <c r="A38" s="163"/>
      <c r="B38" s="160"/>
      <c r="C38" s="18"/>
      <c r="D38" s="18"/>
      <c r="E38" s="18"/>
      <c r="F38" s="18"/>
      <c r="G38" s="18"/>
      <c r="H38" s="18"/>
      <c r="I38" s="69"/>
    </row>
    <row r="39" spans="1:9" x14ac:dyDescent="0.3">
      <c r="A39" s="162"/>
      <c r="B39" s="153" t="s">
        <v>922</v>
      </c>
      <c r="C39" s="18"/>
      <c r="D39" s="18"/>
      <c r="E39" s="18"/>
      <c r="F39" s="18"/>
      <c r="G39" s="18"/>
      <c r="H39" s="18"/>
      <c r="I39" s="69"/>
    </row>
    <row r="40" spans="1:9" x14ac:dyDescent="0.3">
      <c r="A40" s="162"/>
      <c r="B40" s="153"/>
      <c r="C40" s="18"/>
      <c r="D40" s="18"/>
      <c r="E40" s="18"/>
      <c r="F40" s="18"/>
      <c r="G40" s="18"/>
      <c r="H40" s="18"/>
      <c r="I40" s="69"/>
    </row>
    <row r="41" spans="1:9" x14ac:dyDescent="0.3">
      <c r="A41" s="162" t="s">
        <v>923</v>
      </c>
      <c r="B41" s="153" t="s">
        <v>924</v>
      </c>
      <c r="C41" s="68">
        <f>ROUND('ANEXO 8'!C20,0)</f>
        <v>0</v>
      </c>
      <c r="D41" s="117"/>
      <c r="E41" s="117">
        <f t="shared" ref="E41:E50" si="6">ROUND(C41-D41,0)</f>
        <v>0</v>
      </c>
      <c r="F41" s="192">
        <f>ROUND('ANEXO 8'!D20,0)</f>
        <v>0</v>
      </c>
      <c r="G41" s="117"/>
      <c r="H41" s="117">
        <f t="shared" ref="H41:H50" si="7">ROUND(F41-G41,0)</f>
        <v>0</v>
      </c>
      <c r="I41" s="69"/>
    </row>
    <row r="42" spans="1:9" x14ac:dyDescent="0.3">
      <c r="A42" s="162" t="s">
        <v>925</v>
      </c>
      <c r="B42" s="153" t="s">
        <v>926</v>
      </c>
      <c r="C42" s="68">
        <f>ROUND('ANEXO 8'!C36,0)</f>
        <v>0</v>
      </c>
      <c r="D42" s="117"/>
      <c r="E42" s="117">
        <f t="shared" si="6"/>
        <v>0</v>
      </c>
      <c r="F42" s="192">
        <f>ROUND('ANEXO 8'!D36,0)</f>
        <v>0</v>
      </c>
      <c r="G42" s="117"/>
      <c r="H42" s="117">
        <f t="shared" si="7"/>
        <v>0</v>
      </c>
      <c r="I42" s="69"/>
    </row>
    <row r="43" spans="1:9" x14ac:dyDescent="0.3">
      <c r="A43" s="162" t="s">
        <v>927</v>
      </c>
      <c r="B43" s="153" t="s">
        <v>928</v>
      </c>
      <c r="C43" s="54">
        <f>ROUND('ANEXO 8'!C42+'ANEXO 8'!C43,0)</f>
        <v>0</v>
      </c>
      <c r="D43" s="117"/>
      <c r="E43" s="117">
        <f t="shared" si="6"/>
        <v>0</v>
      </c>
      <c r="F43" s="192">
        <f>ROUND('ANEXO 8'!D42+'ANEXO 8'!D43,0)</f>
        <v>0</v>
      </c>
      <c r="G43" s="36"/>
      <c r="H43" s="36">
        <f t="shared" si="7"/>
        <v>0</v>
      </c>
      <c r="I43" s="69"/>
    </row>
    <row r="44" spans="1:9" x14ac:dyDescent="0.3">
      <c r="A44" s="162" t="s">
        <v>929</v>
      </c>
      <c r="B44" s="153" t="s">
        <v>930</v>
      </c>
      <c r="C44" s="54">
        <f>ROUND('ANEXO 8'!C40+'ANEXO 8'!C41,0)</f>
        <v>0</v>
      </c>
      <c r="D44" s="117"/>
      <c r="E44" s="117">
        <f t="shared" si="6"/>
        <v>0</v>
      </c>
      <c r="F44" s="192">
        <f>ROUND('ANEXO 8'!D40+'ANEXO 8'!D41,0)</f>
        <v>0</v>
      </c>
      <c r="G44" s="36"/>
      <c r="H44" s="36">
        <f t="shared" si="7"/>
        <v>0</v>
      </c>
      <c r="I44" s="69"/>
    </row>
    <row r="45" spans="1:9" ht="20.399999999999999" x14ac:dyDescent="0.3">
      <c r="A45" s="162" t="s">
        <v>931</v>
      </c>
      <c r="B45" s="153" t="s">
        <v>932</v>
      </c>
      <c r="C45" s="54">
        <f>ROUND('ANEXO 8'!C48+'ANEXO 8'!C49,0)</f>
        <v>0</v>
      </c>
      <c r="D45" s="117"/>
      <c r="E45" s="117">
        <f t="shared" si="6"/>
        <v>0</v>
      </c>
      <c r="F45" s="192">
        <f>ROUND('ANEXO 8'!D48+'ANEXO 8'!D49,0)</f>
        <v>0</v>
      </c>
      <c r="G45" s="36"/>
      <c r="H45" s="36">
        <f t="shared" si="7"/>
        <v>0</v>
      </c>
      <c r="I45" s="69"/>
    </row>
    <row r="46" spans="1:9" ht="20.399999999999999" x14ac:dyDescent="0.3">
      <c r="A46" s="162" t="s">
        <v>933</v>
      </c>
      <c r="B46" s="153" t="s">
        <v>934</v>
      </c>
      <c r="C46" s="54">
        <f>ROUND('ANEXO 8'!C50+'ANEXO 8'!C51,0)</f>
        <v>0</v>
      </c>
      <c r="D46" s="117"/>
      <c r="E46" s="117">
        <f t="shared" si="6"/>
        <v>0</v>
      </c>
      <c r="F46" s="192">
        <f>ROUND('ANEXO 8'!D50+'ANEXO 8'!D51,0)</f>
        <v>0</v>
      </c>
      <c r="G46" s="36"/>
      <c r="H46" s="36">
        <f t="shared" si="7"/>
        <v>0</v>
      </c>
      <c r="I46" s="69"/>
    </row>
    <row r="47" spans="1:9" ht="20.399999999999999" x14ac:dyDescent="0.3">
      <c r="A47" s="162" t="s">
        <v>935</v>
      </c>
      <c r="B47" s="153" t="s">
        <v>936</v>
      </c>
      <c r="C47" s="54">
        <f>ROUND('ANEXO 8'!C56+'ANEXO 8'!C57,0)</f>
        <v>0</v>
      </c>
      <c r="D47" s="117"/>
      <c r="E47" s="117">
        <f t="shared" si="6"/>
        <v>0</v>
      </c>
      <c r="F47" s="192">
        <f>ROUND('ANEXO 8'!D56+'ANEXO 8'!D57,0)</f>
        <v>0</v>
      </c>
      <c r="G47" s="36"/>
      <c r="H47" s="36">
        <f t="shared" si="7"/>
        <v>0</v>
      </c>
      <c r="I47" s="69"/>
    </row>
    <row r="48" spans="1:9" ht="20.399999999999999" x14ac:dyDescent="0.3">
      <c r="A48" s="162" t="s">
        <v>937</v>
      </c>
      <c r="B48" s="153" t="s">
        <v>938</v>
      </c>
      <c r="C48" s="54">
        <f>ROUND('ANEXO 8'!C58+'ANEXO 8'!C59,0)</f>
        <v>0</v>
      </c>
      <c r="D48" s="117"/>
      <c r="E48" s="117">
        <f t="shared" si="6"/>
        <v>0</v>
      </c>
      <c r="F48" s="192">
        <f>ROUND('ANEXO 8'!D58+'ANEXO 8'!D59,0)</f>
        <v>0</v>
      </c>
      <c r="G48" s="36"/>
      <c r="H48" s="36">
        <f t="shared" si="7"/>
        <v>0</v>
      </c>
      <c r="I48" s="69"/>
    </row>
    <row r="49" spans="1:9" x14ac:dyDescent="0.3">
      <c r="A49" s="162" t="s">
        <v>939</v>
      </c>
      <c r="B49" s="153" t="s">
        <v>940</v>
      </c>
      <c r="C49" s="54">
        <f>ROUND('ANEXO 8'!C64+'ANEXO 8'!C65,0)</f>
        <v>0</v>
      </c>
      <c r="D49" s="117"/>
      <c r="E49" s="117">
        <f t="shared" si="6"/>
        <v>0</v>
      </c>
      <c r="F49" s="192">
        <f>ROUND('ANEXO 8'!D64+'ANEXO 8'!D65,0)</f>
        <v>0</v>
      </c>
      <c r="G49" s="36"/>
      <c r="H49" s="36">
        <f t="shared" si="7"/>
        <v>0</v>
      </c>
      <c r="I49" s="69"/>
    </row>
    <row r="50" spans="1:9" x14ac:dyDescent="0.3">
      <c r="A50" s="162" t="s">
        <v>941</v>
      </c>
      <c r="B50" s="153" t="s">
        <v>942</v>
      </c>
      <c r="C50" s="54">
        <f>ROUND('ANEXO 8'!C66+'ANEXO 8'!C67,0)</f>
        <v>0</v>
      </c>
      <c r="D50" s="117"/>
      <c r="E50" s="117">
        <f t="shared" si="6"/>
        <v>0</v>
      </c>
      <c r="F50" s="192">
        <f>ROUND('ANEXO 8'!D66+'ANEXO 8'!D67,0)</f>
        <v>0</v>
      </c>
      <c r="G50" s="36"/>
      <c r="H50" s="36">
        <f t="shared" si="7"/>
        <v>0</v>
      </c>
      <c r="I50" s="69"/>
    </row>
    <row r="51" spans="1:9" x14ac:dyDescent="0.3">
      <c r="A51" s="162" t="s">
        <v>943</v>
      </c>
      <c r="B51" s="153" t="s">
        <v>905</v>
      </c>
      <c r="C51" s="116">
        <f t="shared" ref="C51:H51" si="8">ROUND(C41+C43+C45-C42+C44+C46+C47+C48+C49+C50,0)</f>
        <v>0</v>
      </c>
      <c r="D51" s="116">
        <f t="shared" si="8"/>
        <v>0</v>
      </c>
      <c r="E51" s="116">
        <f t="shared" si="8"/>
        <v>0</v>
      </c>
      <c r="F51" s="117">
        <f t="shared" si="8"/>
        <v>0</v>
      </c>
      <c r="G51" s="117">
        <f t="shared" si="8"/>
        <v>0</v>
      </c>
      <c r="H51" s="117">
        <f t="shared" si="8"/>
        <v>0</v>
      </c>
      <c r="I51" s="69"/>
    </row>
    <row r="52" spans="1:9" x14ac:dyDescent="0.3">
      <c r="A52" s="162"/>
      <c r="B52" s="153"/>
      <c r="C52" s="18"/>
      <c r="D52" s="18"/>
      <c r="E52" s="18"/>
      <c r="F52" s="18"/>
      <c r="G52" s="18"/>
      <c r="H52" s="18"/>
      <c r="I52" s="69"/>
    </row>
    <row r="53" spans="1:9" x14ac:dyDescent="0.3">
      <c r="A53" s="162"/>
      <c r="B53" s="153" t="s">
        <v>910</v>
      </c>
      <c r="C53" s="18"/>
      <c r="D53" s="18"/>
      <c r="E53" s="18"/>
      <c r="F53" s="18"/>
      <c r="G53" s="18"/>
      <c r="H53" s="18"/>
      <c r="I53" s="69"/>
    </row>
    <row r="54" spans="1:9" x14ac:dyDescent="0.3">
      <c r="A54" s="162"/>
      <c r="B54" s="153"/>
      <c r="C54" s="18"/>
      <c r="D54" s="18"/>
      <c r="E54" s="18"/>
      <c r="F54" s="18"/>
      <c r="G54" s="18"/>
      <c r="H54" s="18"/>
      <c r="I54" s="69"/>
    </row>
    <row r="55" spans="1:9" ht="20.399999999999999" x14ac:dyDescent="0.3">
      <c r="A55" s="162"/>
      <c r="B55" s="153" t="s">
        <v>944</v>
      </c>
      <c r="C55" s="18"/>
      <c r="D55" s="18"/>
      <c r="E55" s="18"/>
      <c r="F55" s="18"/>
      <c r="G55" s="18"/>
      <c r="H55" s="18"/>
      <c r="I55" s="69"/>
    </row>
    <row r="56" spans="1:9" x14ac:dyDescent="0.3">
      <c r="A56" s="162"/>
      <c r="B56" s="153"/>
      <c r="C56" s="18"/>
      <c r="D56" s="18"/>
      <c r="E56" s="18"/>
      <c r="F56" s="18"/>
      <c r="G56" s="18"/>
      <c r="H56" s="18"/>
      <c r="I56" s="69"/>
    </row>
    <row r="57" spans="1:9" ht="40.799999999999997" x14ac:dyDescent="0.3">
      <c r="A57" s="162" t="s">
        <v>945</v>
      </c>
      <c r="B57" s="153" t="s">
        <v>946</v>
      </c>
      <c r="C57" s="72"/>
      <c r="D57" s="72"/>
      <c r="E57" s="72">
        <f>ROUND(C57-D57,0)</f>
        <v>0</v>
      </c>
      <c r="F57" s="72"/>
      <c r="G57" s="72"/>
      <c r="H57" s="72">
        <f>ROUND(F57-G57,0)</f>
        <v>0</v>
      </c>
      <c r="I57" s="69"/>
    </row>
    <row r="58" spans="1:9" ht="40.799999999999997" x14ac:dyDescent="0.3">
      <c r="A58" s="162" t="s">
        <v>947</v>
      </c>
      <c r="B58" s="153" t="s">
        <v>948</v>
      </c>
      <c r="C58" s="72"/>
      <c r="D58" s="72"/>
      <c r="E58" s="72">
        <f>ROUND(C58-D58,0)</f>
        <v>0</v>
      </c>
      <c r="F58" s="72"/>
      <c r="G58" s="72"/>
      <c r="H58" s="72">
        <f>ROUND(F58-G58,0)</f>
        <v>0</v>
      </c>
      <c r="I58" s="69"/>
    </row>
    <row r="59" spans="1:9" x14ac:dyDescent="0.3">
      <c r="A59" s="162"/>
      <c r="B59" s="153"/>
      <c r="C59" s="18"/>
      <c r="D59" s="18"/>
      <c r="E59" s="18"/>
      <c r="F59" s="18"/>
      <c r="G59" s="18"/>
      <c r="H59" s="18"/>
      <c r="I59" s="69"/>
    </row>
    <row r="60" spans="1:9" x14ac:dyDescent="0.3">
      <c r="A60" s="162" t="s">
        <v>949</v>
      </c>
      <c r="B60" s="153" t="s">
        <v>950</v>
      </c>
      <c r="C60" s="73">
        <f t="shared" ref="C60:H60" si="9">ROUND(IF(C26-C25+C36+C51-C57+C58&lt;0,C25-C26-C36-C51+C57-C58, 0),0)</f>
        <v>0</v>
      </c>
      <c r="D60" s="72">
        <f t="shared" si="9"/>
        <v>0</v>
      </c>
      <c r="E60" s="72">
        <f t="shared" si="9"/>
        <v>0</v>
      </c>
      <c r="F60" s="72">
        <f t="shared" si="9"/>
        <v>0</v>
      </c>
      <c r="G60" s="72">
        <f t="shared" si="9"/>
        <v>0</v>
      </c>
      <c r="H60" s="72">
        <f t="shared" si="9"/>
        <v>0</v>
      </c>
      <c r="I60" s="69"/>
    </row>
    <row r="61" spans="1:9" x14ac:dyDescent="0.3">
      <c r="A61" s="162" t="s">
        <v>951</v>
      </c>
      <c r="B61" s="153" t="s">
        <v>952</v>
      </c>
      <c r="C61" s="73">
        <f t="shared" ref="C61:H61" si="10">ROUND(IF(C26-C25+C36+C51-C57+C58&gt;0,C26-C25+C36+C51-C57+C58, 0),0)</f>
        <v>0</v>
      </c>
      <c r="D61" s="72">
        <f t="shared" si="10"/>
        <v>0</v>
      </c>
      <c r="E61" s="72">
        <f t="shared" si="10"/>
        <v>0</v>
      </c>
      <c r="F61" s="72">
        <f t="shared" si="10"/>
        <v>0</v>
      </c>
      <c r="G61" s="72">
        <f t="shared" si="10"/>
        <v>0</v>
      </c>
      <c r="H61" s="72">
        <f t="shared" si="10"/>
        <v>0</v>
      </c>
      <c r="I61" s="69"/>
    </row>
    <row r="62" spans="1:9" x14ac:dyDescent="0.3">
      <c r="A62" s="162"/>
      <c r="B62" s="153"/>
      <c r="C62" s="18"/>
      <c r="D62" s="18"/>
      <c r="E62" s="18"/>
      <c r="F62" s="18"/>
      <c r="G62" s="18"/>
      <c r="H62" s="18"/>
      <c r="I62" s="69"/>
    </row>
    <row r="63" spans="1:9" x14ac:dyDescent="0.3">
      <c r="A63" s="162"/>
      <c r="B63" s="153" t="s">
        <v>890</v>
      </c>
      <c r="C63" s="18"/>
      <c r="D63" s="18"/>
      <c r="E63" s="18"/>
      <c r="F63" s="18"/>
      <c r="G63" s="18"/>
      <c r="H63" s="18"/>
      <c r="I63" s="69"/>
    </row>
    <row r="64" spans="1:9" x14ac:dyDescent="0.3">
      <c r="A64" s="162"/>
      <c r="B64" s="153"/>
      <c r="C64" s="18"/>
      <c r="D64" s="18"/>
      <c r="E64" s="18"/>
      <c r="F64" s="18"/>
      <c r="G64" s="18"/>
      <c r="H64" s="18"/>
      <c r="I64" s="69"/>
    </row>
    <row r="65" spans="1:9" x14ac:dyDescent="0.3">
      <c r="A65" s="162"/>
      <c r="B65" s="153" t="s">
        <v>953</v>
      </c>
      <c r="C65" s="18"/>
      <c r="D65" s="18"/>
      <c r="E65" s="18"/>
      <c r="F65" s="18"/>
      <c r="G65" s="18"/>
      <c r="H65" s="18"/>
      <c r="I65" s="69"/>
    </row>
    <row r="66" spans="1:9" x14ac:dyDescent="0.3">
      <c r="A66" s="162"/>
      <c r="B66" s="153"/>
      <c r="C66" s="18"/>
      <c r="D66" s="18"/>
      <c r="E66" s="18"/>
      <c r="F66" s="18"/>
      <c r="G66" s="18"/>
      <c r="H66" s="18"/>
      <c r="I66" s="69"/>
    </row>
    <row r="67" spans="1:9" x14ac:dyDescent="0.3">
      <c r="A67" s="162" t="s">
        <v>954</v>
      </c>
      <c r="B67" s="153" t="s">
        <v>775</v>
      </c>
      <c r="C67" s="116"/>
      <c r="D67" s="116"/>
      <c r="E67" s="116">
        <f>ROUND(C67-D67,0)</f>
        <v>0</v>
      </c>
      <c r="F67" s="116"/>
      <c r="G67" s="116"/>
      <c r="H67" s="116">
        <f>ROUND(F67-G67,0)</f>
        <v>0</v>
      </c>
      <c r="I67" s="69"/>
    </row>
    <row r="68" spans="1:9" x14ac:dyDescent="0.3">
      <c r="A68" s="162" t="s">
        <v>955</v>
      </c>
      <c r="B68" s="153" t="s">
        <v>737</v>
      </c>
      <c r="C68" s="116"/>
      <c r="D68" s="116"/>
      <c r="E68" s="116">
        <f>ROUND(C68-D68,0)</f>
        <v>0</v>
      </c>
      <c r="F68" s="117"/>
      <c r="G68" s="117"/>
      <c r="H68" s="117">
        <f>ROUND(F68-G68,0)</f>
        <v>0</v>
      </c>
      <c r="I68" s="69"/>
    </row>
    <row r="69" spans="1:9" x14ac:dyDescent="0.3">
      <c r="A69" s="162" t="s">
        <v>956</v>
      </c>
      <c r="B69" s="153" t="s">
        <v>957</v>
      </c>
      <c r="C69" s="52"/>
      <c r="D69" s="52"/>
      <c r="E69" s="52"/>
      <c r="F69" s="52"/>
      <c r="G69" s="52"/>
      <c r="H69" s="52"/>
      <c r="I69" s="69"/>
    </row>
    <row r="70" spans="1:9" x14ac:dyDescent="0.3">
      <c r="A70" s="162" t="s">
        <v>958</v>
      </c>
      <c r="B70" s="153" t="s">
        <v>905</v>
      </c>
      <c r="C70" s="116">
        <f t="shared" ref="C70:H70" si="11">ROUND(SUM(C67:C68)+C69,0)</f>
        <v>0</v>
      </c>
      <c r="D70" s="116">
        <f t="shared" si="11"/>
        <v>0</v>
      </c>
      <c r="E70" s="116">
        <f t="shared" si="11"/>
        <v>0</v>
      </c>
      <c r="F70" s="117">
        <f t="shared" si="11"/>
        <v>0</v>
      </c>
      <c r="G70" s="117">
        <f t="shared" si="11"/>
        <v>0</v>
      </c>
      <c r="H70" s="117">
        <f t="shared" si="11"/>
        <v>0</v>
      </c>
      <c r="I70" s="69"/>
    </row>
    <row r="71" spans="1:9" x14ac:dyDescent="0.3">
      <c r="A71" s="162"/>
      <c r="B71" s="153"/>
      <c r="C71" s="18"/>
      <c r="D71" s="18"/>
      <c r="E71" s="18"/>
      <c r="F71" s="18"/>
      <c r="G71" s="18"/>
      <c r="H71" s="18"/>
      <c r="I71" s="69"/>
    </row>
    <row r="72" spans="1:9" x14ac:dyDescent="0.3">
      <c r="A72" s="162"/>
      <c r="B72" s="153" t="s">
        <v>910</v>
      </c>
      <c r="C72" s="18"/>
      <c r="D72" s="18"/>
      <c r="E72" s="18"/>
      <c r="F72" s="18"/>
      <c r="G72" s="18"/>
      <c r="H72" s="18"/>
      <c r="I72" s="69"/>
    </row>
    <row r="73" spans="1:9" x14ac:dyDescent="0.3">
      <c r="A73" s="162"/>
      <c r="B73" s="153"/>
      <c r="C73" s="20"/>
      <c r="D73" s="20"/>
      <c r="E73" s="20"/>
      <c r="F73" s="20"/>
      <c r="G73" s="20"/>
      <c r="H73" s="20"/>
      <c r="I73" s="69"/>
    </row>
    <row r="74" spans="1:9" x14ac:dyDescent="0.3">
      <c r="A74" s="162" t="s">
        <v>959</v>
      </c>
      <c r="B74" s="153" t="s">
        <v>859</v>
      </c>
      <c r="C74" s="73">
        <f t="shared" ref="C74:H74" si="12">IF(C61-C60-C70&lt;0,C60-C61+C70,0)</f>
        <v>0</v>
      </c>
      <c r="D74" s="72">
        <f t="shared" si="12"/>
        <v>0</v>
      </c>
      <c r="E74" s="72">
        <f t="shared" si="12"/>
        <v>0</v>
      </c>
      <c r="F74" s="72">
        <f t="shared" si="12"/>
        <v>0</v>
      </c>
      <c r="G74" s="72">
        <f t="shared" si="12"/>
        <v>0</v>
      </c>
      <c r="H74" s="72">
        <f t="shared" si="12"/>
        <v>0</v>
      </c>
      <c r="I74" s="69"/>
    </row>
    <row r="75" spans="1:9" x14ac:dyDescent="0.3">
      <c r="A75" s="162" t="s">
        <v>960</v>
      </c>
      <c r="B75" s="153" t="s">
        <v>961</v>
      </c>
      <c r="C75" s="73">
        <f t="shared" ref="C75:H75" si="13">IF(C61-C60-C70&gt;0,C61-C60-C70,0)</f>
        <v>0</v>
      </c>
      <c r="D75" s="72">
        <f t="shared" si="13"/>
        <v>0</v>
      </c>
      <c r="E75" s="72">
        <f t="shared" si="13"/>
        <v>0</v>
      </c>
      <c r="F75" s="72">
        <f t="shared" si="13"/>
        <v>0</v>
      </c>
      <c r="G75" s="72">
        <f t="shared" si="13"/>
        <v>0</v>
      </c>
      <c r="H75" s="72">
        <f t="shared" si="13"/>
        <v>0</v>
      </c>
      <c r="I75" s="69"/>
    </row>
    <row r="76" spans="1:9" x14ac:dyDescent="0.3">
      <c r="A76" s="162"/>
      <c r="B76" s="153"/>
      <c r="C76" s="18"/>
      <c r="D76" s="18"/>
      <c r="E76" s="18"/>
      <c r="F76" s="18"/>
      <c r="G76" s="18"/>
      <c r="H76" s="18"/>
      <c r="I76" s="69"/>
    </row>
    <row r="77" spans="1:9" x14ac:dyDescent="0.3">
      <c r="A77" s="162"/>
      <c r="B77" s="153" t="s">
        <v>910</v>
      </c>
      <c r="C77" s="18"/>
      <c r="D77" s="18"/>
      <c r="E77" s="18"/>
      <c r="F77" s="18"/>
      <c r="G77" s="18"/>
      <c r="H77" s="18"/>
      <c r="I77" s="69"/>
    </row>
    <row r="78" spans="1:9" x14ac:dyDescent="0.3">
      <c r="A78" s="162"/>
      <c r="B78" s="153"/>
      <c r="C78" s="18"/>
      <c r="D78" s="18"/>
      <c r="E78" s="18"/>
      <c r="F78" s="18"/>
      <c r="G78" s="18"/>
      <c r="H78" s="18"/>
      <c r="I78" s="69"/>
    </row>
    <row r="79" spans="1:9" x14ac:dyDescent="0.3">
      <c r="A79" s="162"/>
      <c r="B79" s="153" t="s">
        <v>962</v>
      </c>
      <c r="C79" s="18"/>
      <c r="D79" s="18"/>
      <c r="E79" s="18"/>
      <c r="F79" s="18"/>
      <c r="G79" s="18"/>
      <c r="H79" s="18"/>
      <c r="I79" s="69"/>
    </row>
    <row r="80" spans="1:9" x14ac:dyDescent="0.3">
      <c r="A80" s="162"/>
      <c r="B80" s="153"/>
      <c r="C80" s="18"/>
      <c r="D80" s="18"/>
      <c r="E80" s="18"/>
      <c r="F80" s="18"/>
      <c r="G80" s="18"/>
      <c r="H80" s="18"/>
      <c r="I80" s="69"/>
    </row>
    <row r="81" spans="1:9" ht="20.399999999999999" x14ac:dyDescent="0.3">
      <c r="A81" s="162" t="s">
        <v>963</v>
      </c>
      <c r="B81" s="153" t="s">
        <v>5410</v>
      </c>
      <c r="C81" s="117"/>
      <c r="D81" s="117"/>
      <c r="E81" s="117">
        <f t="shared" ref="E81:E90" si="14">ROUND(C81-D81,0)</f>
        <v>0</v>
      </c>
      <c r="F81" s="117"/>
      <c r="G81" s="117"/>
      <c r="H81" s="117">
        <f t="shared" ref="H81:H90" si="15">ROUND(F81-G81,0)</f>
        <v>0</v>
      </c>
      <c r="I81" s="69"/>
    </row>
    <row r="82" spans="1:9" ht="30.6" x14ac:dyDescent="0.3">
      <c r="A82" s="162" t="s">
        <v>964</v>
      </c>
      <c r="B82" s="153" t="s">
        <v>5411</v>
      </c>
      <c r="C82" s="117"/>
      <c r="D82" s="117"/>
      <c r="E82" s="117">
        <f t="shared" si="14"/>
        <v>0</v>
      </c>
      <c r="F82" s="117"/>
      <c r="G82" s="117"/>
      <c r="H82" s="117">
        <f t="shared" si="15"/>
        <v>0</v>
      </c>
      <c r="I82" s="69"/>
    </row>
    <row r="83" spans="1:9" ht="20.399999999999999" x14ac:dyDescent="0.3">
      <c r="A83" s="162" t="s">
        <v>965</v>
      </c>
      <c r="B83" s="153" t="s">
        <v>966</v>
      </c>
      <c r="C83" s="117"/>
      <c r="D83" s="117"/>
      <c r="E83" s="117">
        <f t="shared" si="14"/>
        <v>0</v>
      </c>
      <c r="F83" s="117"/>
      <c r="G83" s="117"/>
      <c r="H83" s="117">
        <f t="shared" si="15"/>
        <v>0</v>
      </c>
      <c r="I83" s="69"/>
    </row>
    <row r="84" spans="1:9" ht="20.399999999999999" x14ac:dyDescent="0.3">
      <c r="A84" s="162" t="s">
        <v>967</v>
      </c>
      <c r="B84" s="153" t="s">
        <v>968</v>
      </c>
      <c r="C84" s="117"/>
      <c r="D84" s="117"/>
      <c r="E84" s="117">
        <f t="shared" si="14"/>
        <v>0</v>
      </c>
      <c r="F84" s="117"/>
      <c r="G84" s="117"/>
      <c r="H84" s="117">
        <f t="shared" si="15"/>
        <v>0</v>
      </c>
      <c r="I84" s="69"/>
    </row>
    <row r="85" spans="1:9" ht="30.6" x14ac:dyDescent="0.3">
      <c r="A85" s="162" t="s">
        <v>969</v>
      </c>
      <c r="B85" s="153" t="s">
        <v>970</v>
      </c>
      <c r="C85" s="117"/>
      <c r="D85" s="117"/>
      <c r="E85" s="117">
        <f t="shared" si="14"/>
        <v>0</v>
      </c>
      <c r="F85" s="117"/>
      <c r="G85" s="117"/>
      <c r="H85" s="117">
        <f t="shared" si="15"/>
        <v>0</v>
      </c>
      <c r="I85" s="69"/>
    </row>
    <row r="86" spans="1:9" ht="30.6" x14ac:dyDescent="0.3">
      <c r="A86" s="162" t="s">
        <v>971</v>
      </c>
      <c r="B86" s="153" t="s">
        <v>972</v>
      </c>
      <c r="C86" s="117"/>
      <c r="D86" s="117"/>
      <c r="E86" s="117">
        <f t="shared" si="14"/>
        <v>0</v>
      </c>
      <c r="F86" s="117"/>
      <c r="G86" s="117"/>
      <c r="H86" s="117">
        <f t="shared" si="15"/>
        <v>0</v>
      </c>
      <c r="I86" s="69"/>
    </row>
    <row r="87" spans="1:9" ht="20.399999999999999" x14ac:dyDescent="0.3">
      <c r="A87" s="162" t="s">
        <v>973</v>
      </c>
      <c r="B87" s="153" t="s">
        <v>5421</v>
      </c>
      <c r="C87" s="117"/>
      <c r="D87" s="117"/>
      <c r="E87" s="117">
        <f t="shared" si="14"/>
        <v>0</v>
      </c>
      <c r="F87" s="117"/>
      <c r="G87" s="117"/>
      <c r="H87" s="117">
        <f t="shared" si="15"/>
        <v>0</v>
      </c>
      <c r="I87" s="69"/>
    </row>
    <row r="88" spans="1:9" ht="20.399999999999999" x14ac:dyDescent="0.3">
      <c r="A88" s="162" t="s">
        <v>974</v>
      </c>
      <c r="B88" s="153" t="s">
        <v>5412</v>
      </c>
      <c r="C88" s="117"/>
      <c r="D88" s="117"/>
      <c r="E88" s="117">
        <f t="shared" si="14"/>
        <v>0</v>
      </c>
      <c r="F88" s="117"/>
      <c r="G88" s="117"/>
      <c r="H88" s="117">
        <f t="shared" si="15"/>
        <v>0</v>
      </c>
      <c r="I88" s="69"/>
    </row>
    <row r="89" spans="1:9" ht="20.399999999999999" x14ac:dyDescent="0.3">
      <c r="A89" s="162" t="s">
        <v>975</v>
      </c>
      <c r="B89" s="153" t="s">
        <v>976</v>
      </c>
      <c r="C89" s="117"/>
      <c r="D89" s="117"/>
      <c r="E89" s="117">
        <f t="shared" si="14"/>
        <v>0</v>
      </c>
      <c r="F89" s="117"/>
      <c r="G89" s="117"/>
      <c r="H89" s="117">
        <f t="shared" si="15"/>
        <v>0</v>
      </c>
      <c r="I89" s="69"/>
    </row>
    <row r="90" spans="1:9" x14ac:dyDescent="0.3">
      <c r="A90" s="162" t="s">
        <v>977</v>
      </c>
      <c r="B90" s="153" t="s">
        <v>978</v>
      </c>
      <c r="C90" s="117"/>
      <c r="D90" s="117"/>
      <c r="E90" s="117">
        <f t="shared" si="14"/>
        <v>0</v>
      </c>
      <c r="F90" s="117"/>
      <c r="G90" s="117"/>
      <c r="H90" s="117">
        <f t="shared" si="15"/>
        <v>0</v>
      </c>
      <c r="I90" s="69"/>
    </row>
    <row r="91" spans="1:9" x14ac:dyDescent="0.3">
      <c r="A91" s="162" t="s">
        <v>979</v>
      </c>
      <c r="B91" s="153" t="s">
        <v>638</v>
      </c>
      <c r="C91" s="52"/>
      <c r="D91" s="52"/>
      <c r="E91" s="52"/>
      <c r="F91" s="52"/>
      <c r="G91" s="52"/>
      <c r="H91" s="52"/>
      <c r="I91" s="69"/>
    </row>
    <row r="92" spans="1:9" x14ac:dyDescent="0.3">
      <c r="A92" s="162" t="s">
        <v>980</v>
      </c>
      <c r="B92" s="153" t="s">
        <v>981</v>
      </c>
      <c r="C92" s="54">
        <f t="shared" ref="C92:H92" si="16">ROUND(SUM(C81:C91),0)</f>
        <v>0</v>
      </c>
      <c r="D92" s="54">
        <f t="shared" si="16"/>
        <v>0</v>
      </c>
      <c r="E92" s="54">
        <f t="shared" si="16"/>
        <v>0</v>
      </c>
      <c r="F92" s="54">
        <f t="shared" si="16"/>
        <v>0</v>
      </c>
      <c r="G92" s="54">
        <f t="shared" si="16"/>
        <v>0</v>
      </c>
      <c r="H92" s="54">
        <f t="shared" si="16"/>
        <v>0</v>
      </c>
      <c r="I92" s="69"/>
    </row>
    <row r="93" spans="1:9" x14ac:dyDescent="0.3">
      <c r="A93" s="162"/>
      <c r="B93" s="153"/>
      <c r="C93" s="20"/>
      <c r="D93" s="20"/>
      <c r="E93" s="20"/>
      <c r="F93" s="20"/>
      <c r="G93" s="20"/>
      <c r="H93" s="20"/>
      <c r="I93" s="69"/>
    </row>
    <row r="94" spans="1:9" x14ac:dyDescent="0.3">
      <c r="A94" s="162" t="s">
        <v>982</v>
      </c>
      <c r="B94" s="153" t="s">
        <v>983</v>
      </c>
      <c r="C94" s="117">
        <f t="shared" ref="C94:H94" si="17">IF(C75-C74+C92&lt;0,(C74-C75+C92)*-1,0)</f>
        <v>0</v>
      </c>
      <c r="D94" s="117">
        <f t="shared" si="17"/>
        <v>0</v>
      </c>
      <c r="E94" s="117">
        <f t="shared" si="17"/>
        <v>0</v>
      </c>
      <c r="F94" s="117">
        <f t="shared" si="17"/>
        <v>0</v>
      </c>
      <c r="G94" s="117">
        <f t="shared" si="17"/>
        <v>0</v>
      </c>
      <c r="H94" s="117">
        <f t="shared" si="17"/>
        <v>0</v>
      </c>
      <c r="I94" s="69"/>
    </row>
    <row r="95" spans="1:9" x14ac:dyDescent="0.3">
      <c r="A95" s="162" t="s">
        <v>984</v>
      </c>
      <c r="B95" s="153" t="s">
        <v>985</v>
      </c>
      <c r="C95" s="117">
        <f t="shared" ref="C95:H95" si="18">IF(C75-C74+C92&gt;0,C75-C74+C92,0)</f>
        <v>0</v>
      </c>
      <c r="D95" s="117">
        <f t="shared" si="18"/>
        <v>0</v>
      </c>
      <c r="E95" s="117">
        <f t="shared" si="18"/>
        <v>0</v>
      </c>
      <c r="F95" s="117">
        <f t="shared" si="18"/>
        <v>0</v>
      </c>
      <c r="G95" s="117">
        <f t="shared" si="18"/>
        <v>0</v>
      </c>
      <c r="H95" s="117">
        <f t="shared" si="18"/>
        <v>0</v>
      </c>
      <c r="I95" s="69"/>
    </row>
    <row r="96" spans="1:9" x14ac:dyDescent="0.3">
      <c r="A96" s="162"/>
      <c r="B96" s="153"/>
      <c r="C96" s="20"/>
      <c r="D96" s="20"/>
      <c r="E96" s="20"/>
      <c r="F96" s="20"/>
      <c r="G96" s="20"/>
      <c r="H96" s="20"/>
      <c r="I96" s="69"/>
    </row>
    <row r="97" spans="1:9" x14ac:dyDescent="0.3">
      <c r="A97" s="162" t="s">
        <v>986</v>
      </c>
      <c r="B97" s="153" t="s">
        <v>5692</v>
      </c>
      <c r="C97" s="74"/>
      <c r="D97" s="74"/>
      <c r="E97" s="74"/>
      <c r="F97" s="74"/>
      <c r="G97" s="74"/>
      <c r="H97" s="74"/>
      <c r="I97" s="69"/>
    </row>
    <row r="98" spans="1:9" x14ac:dyDescent="0.3">
      <c r="A98" s="163"/>
      <c r="B98" s="160"/>
      <c r="C98" s="20"/>
      <c r="D98" s="20"/>
      <c r="E98" s="20"/>
      <c r="F98" s="20"/>
      <c r="G98" s="20"/>
      <c r="H98" s="20"/>
      <c r="I98" s="69"/>
    </row>
    <row r="99" spans="1:9" ht="21.6" x14ac:dyDescent="0.3">
      <c r="A99" s="163"/>
      <c r="B99" s="174" t="s">
        <v>885</v>
      </c>
      <c r="C99" s="20"/>
      <c r="D99" s="20"/>
      <c r="E99" s="20"/>
      <c r="F99" s="20"/>
      <c r="G99" s="20"/>
      <c r="H99" s="20"/>
      <c r="I99" s="69"/>
    </row>
    <row r="100" spans="1:9" ht="8.1" customHeight="1" x14ac:dyDescent="0.3">
      <c r="A100" s="152"/>
      <c r="B100" s="152"/>
      <c r="C100" s="70"/>
      <c r="D100" s="70"/>
      <c r="E100" s="70"/>
      <c r="F100" s="70"/>
      <c r="G100" s="70"/>
      <c r="H100" s="70"/>
      <c r="I100"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184"/>
  <sheetViews>
    <sheetView zoomScaleNormal="100" workbookViewId="0"/>
  </sheetViews>
  <sheetFormatPr defaultColWidth="11.5546875" defaultRowHeight="14.4" x14ac:dyDescent="0.3"/>
  <cols>
    <col min="1" max="1" width="14.33203125" style="107" customWidth="1"/>
    <col min="2" max="2" width="35.6640625" style="107" customWidth="1"/>
    <col min="3" max="7" width="18.6640625" style="107" customWidth="1"/>
    <col min="8" max="10" width="40.6640625" style="107" customWidth="1"/>
    <col min="11" max="11" width="18.6640625" style="107" customWidth="1"/>
    <col min="12" max="13" width="40.6640625" style="107" customWidth="1"/>
    <col min="14" max="14" width="18.6640625" style="107" customWidth="1"/>
    <col min="15" max="15" width="1.6640625" style="107" customWidth="1"/>
    <col min="16" max="16384" width="11.5546875" style="107"/>
  </cols>
  <sheetData>
    <row r="1" spans="1:15" ht="20.399999999999999" x14ac:dyDescent="0.3">
      <c r="A1" s="42" t="s">
        <v>0</v>
      </c>
      <c r="B1" s="76" t="s">
        <v>5607</v>
      </c>
      <c r="C1" s="42"/>
      <c r="D1" s="42"/>
      <c r="E1" s="42" t="s">
        <v>0</v>
      </c>
      <c r="F1" s="42" t="s">
        <v>0</v>
      </c>
      <c r="G1" s="42" t="s">
        <v>0</v>
      </c>
      <c r="H1" s="42" t="s">
        <v>0</v>
      </c>
      <c r="I1" s="42" t="s">
        <v>0</v>
      </c>
      <c r="J1" s="42" t="s">
        <v>0</v>
      </c>
      <c r="K1" s="42" t="s">
        <v>0</v>
      </c>
      <c r="L1" s="42" t="s">
        <v>0</v>
      </c>
      <c r="M1" s="42" t="s">
        <v>0</v>
      </c>
      <c r="N1" s="42" t="s">
        <v>0</v>
      </c>
      <c r="O1" s="69" t="s">
        <v>0</v>
      </c>
    </row>
    <row r="2" spans="1:15" ht="61.2" x14ac:dyDescent="0.3">
      <c r="A2" s="121" t="s">
        <v>5597</v>
      </c>
      <c r="B2" s="121" t="s">
        <v>5598</v>
      </c>
      <c r="C2" s="45" t="s">
        <v>1966</v>
      </c>
      <c r="D2" s="45" t="s">
        <v>1967</v>
      </c>
      <c r="E2" s="45" t="s">
        <v>1968</v>
      </c>
      <c r="F2" s="45" t="s">
        <v>1969</v>
      </c>
      <c r="G2" s="45" t="s">
        <v>1970</v>
      </c>
      <c r="H2" s="45" t="s">
        <v>1971</v>
      </c>
      <c r="I2" s="45" t="s">
        <v>1972</v>
      </c>
      <c r="J2" s="45" t="s">
        <v>1973</v>
      </c>
      <c r="K2" s="45" t="s">
        <v>1974</v>
      </c>
      <c r="L2" s="45" t="s">
        <v>1975</v>
      </c>
      <c r="M2" s="45" t="s">
        <v>1976</v>
      </c>
      <c r="N2" s="45" t="s">
        <v>1977</v>
      </c>
      <c r="O2" s="69" t="s">
        <v>0</v>
      </c>
    </row>
    <row r="3" spans="1:15" x14ac:dyDescent="0.3">
      <c r="A3" s="163"/>
      <c r="B3" s="46" t="s">
        <v>0</v>
      </c>
      <c r="C3" s="47"/>
      <c r="D3" s="47"/>
      <c r="E3" s="47"/>
      <c r="F3" s="47"/>
      <c r="G3" s="47"/>
      <c r="H3" s="47"/>
      <c r="I3" s="47"/>
      <c r="J3" s="47"/>
      <c r="K3" s="47"/>
      <c r="L3" s="47"/>
      <c r="M3" s="47"/>
      <c r="N3" s="47"/>
      <c r="O3" s="69"/>
    </row>
    <row r="4" spans="1:15" x14ac:dyDescent="0.3">
      <c r="A4" s="163"/>
      <c r="B4" s="48" t="s">
        <v>5626</v>
      </c>
      <c r="C4" s="47"/>
      <c r="D4" s="47"/>
      <c r="E4" s="47"/>
      <c r="F4" s="47"/>
      <c r="G4" s="47"/>
      <c r="H4" s="47"/>
      <c r="I4" s="47"/>
      <c r="J4" s="47"/>
      <c r="K4" s="47"/>
      <c r="L4" s="47"/>
      <c r="M4" s="47"/>
      <c r="N4" s="47"/>
      <c r="O4" s="69"/>
    </row>
    <row r="5" spans="1:15" x14ac:dyDescent="0.3">
      <c r="A5" s="163"/>
      <c r="B5" s="27" t="s">
        <v>0</v>
      </c>
      <c r="C5" s="47"/>
      <c r="D5" s="47"/>
      <c r="E5" s="47"/>
      <c r="F5" s="47"/>
      <c r="G5" s="47"/>
      <c r="H5" s="47"/>
      <c r="I5" s="47"/>
      <c r="J5" s="47"/>
      <c r="K5" s="47"/>
      <c r="L5" s="47"/>
      <c r="M5" s="47"/>
      <c r="N5" s="47"/>
      <c r="O5" s="69"/>
    </row>
    <row r="6" spans="1:15" ht="20.399999999999999" x14ac:dyDescent="0.3">
      <c r="A6" s="163"/>
      <c r="B6" s="129" t="s">
        <v>5631</v>
      </c>
      <c r="C6" s="47"/>
      <c r="D6" s="47"/>
      <c r="E6" s="47"/>
      <c r="F6" s="47"/>
      <c r="G6" s="47"/>
      <c r="H6" s="47"/>
      <c r="I6" s="47"/>
      <c r="J6" s="47"/>
      <c r="K6" s="47"/>
      <c r="L6" s="47"/>
      <c r="M6" s="47"/>
      <c r="N6" s="47"/>
      <c r="O6" s="69"/>
    </row>
    <row r="7" spans="1:15" x14ac:dyDescent="0.3">
      <c r="A7" s="163"/>
      <c r="B7" s="160"/>
      <c r="C7" s="47"/>
      <c r="D7" s="47"/>
      <c r="E7" s="47"/>
      <c r="F7" s="47"/>
      <c r="G7" s="47"/>
      <c r="H7" s="47"/>
      <c r="I7" s="47"/>
      <c r="J7" s="47"/>
      <c r="K7" s="47"/>
      <c r="L7" s="47"/>
      <c r="M7" s="47"/>
      <c r="N7" s="47"/>
      <c r="O7" s="69"/>
    </row>
    <row r="8" spans="1:15" x14ac:dyDescent="0.3">
      <c r="A8" s="163"/>
      <c r="B8" s="160"/>
      <c r="C8" s="47"/>
      <c r="D8" s="47"/>
      <c r="E8" s="47"/>
      <c r="F8" s="47"/>
      <c r="G8" s="47"/>
      <c r="H8" s="47"/>
      <c r="I8" s="47"/>
      <c r="J8" s="47"/>
      <c r="K8" s="47"/>
      <c r="L8" s="47"/>
      <c r="M8" s="47"/>
      <c r="N8" s="47"/>
      <c r="O8" s="69"/>
    </row>
    <row r="9" spans="1:15" ht="20.399999999999999" x14ac:dyDescent="0.3">
      <c r="A9" s="162" t="s">
        <v>1978</v>
      </c>
      <c r="B9" s="153" t="s">
        <v>1979</v>
      </c>
      <c r="C9" s="116"/>
      <c r="D9" s="116"/>
      <c r="E9" s="116">
        <f>D9+C9</f>
        <v>0</v>
      </c>
      <c r="F9" s="116"/>
      <c r="G9" s="109"/>
      <c r="H9" s="109"/>
      <c r="I9" s="109"/>
      <c r="J9" s="109"/>
      <c r="K9" s="109"/>
      <c r="L9" s="109"/>
      <c r="M9" s="109"/>
      <c r="N9" s="109"/>
      <c r="O9" s="69"/>
    </row>
    <row r="10" spans="1:15" ht="20.399999999999999" x14ac:dyDescent="0.3">
      <c r="A10" s="162" t="s">
        <v>1980</v>
      </c>
      <c r="B10" s="153" t="s">
        <v>5413</v>
      </c>
      <c r="C10" s="116"/>
      <c r="D10" s="116"/>
      <c r="E10" s="116">
        <f>D10+C10</f>
        <v>0</v>
      </c>
      <c r="F10" s="116"/>
      <c r="G10" s="109"/>
      <c r="H10" s="109"/>
      <c r="I10" s="109"/>
      <c r="J10" s="109"/>
      <c r="K10" s="109"/>
      <c r="L10" s="109"/>
      <c r="M10" s="109"/>
      <c r="N10" s="109"/>
      <c r="O10" s="69"/>
    </row>
    <row r="11" spans="1:15" ht="30.6" x14ac:dyDescent="0.3">
      <c r="A11" s="162"/>
      <c r="B11" s="153" t="s">
        <v>5414</v>
      </c>
      <c r="C11" s="18"/>
      <c r="D11" s="18"/>
      <c r="E11" s="18"/>
      <c r="F11" s="18"/>
      <c r="G11" s="18"/>
      <c r="H11" s="18"/>
      <c r="I11" s="18"/>
      <c r="J11" s="18"/>
      <c r="K11" s="18"/>
      <c r="L11" s="18"/>
      <c r="M11" s="18"/>
      <c r="N11" s="18"/>
      <c r="O11" s="69"/>
    </row>
    <row r="12" spans="1:15" x14ac:dyDescent="0.3">
      <c r="A12" s="162"/>
      <c r="B12" s="153"/>
      <c r="C12" s="18"/>
      <c r="D12" s="18"/>
      <c r="E12" s="18"/>
      <c r="F12" s="18"/>
      <c r="G12" s="18"/>
      <c r="H12" s="18"/>
      <c r="I12" s="18"/>
      <c r="J12" s="18"/>
      <c r="K12" s="18"/>
      <c r="L12" s="18"/>
      <c r="M12" s="18"/>
      <c r="N12" s="18"/>
      <c r="O12" s="69"/>
    </row>
    <row r="13" spans="1:15" ht="20.399999999999999" x14ac:dyDescent="0.3">
      <c r="A13" s="162"/>
      <c r="B13" s="153" t="s">
        <v>1981</v>
      </c>
      <c r="C13" s="18"/>
      <c r="D13" s="18"/>
      <c r="E13" s="18"/>
      <c r="F13" s="18"/>
      <c r="G13" s="18"/>
      <c r="H13" s="18"/>
      <c r="I13" s="18"/>
      <c r="J13" s="18"/>
      <c r="K13" s="18"/>
      <c r="L13" s="18"/>
      <c r="M13" s="18"/>
      <c r="N13" s="18"/>
      <c r="O13" s="69"/>
    </row>
    <row r="14" spans="1:15" x14ac:dyDescent="0.3">
      <c r="A14" s="162"/>
      <c r="B14" s="153"/>
      <c r="C14" s="18"/>
      <c r="D14" s="18"/>
      <c r="E14" s="18"/>
      <c r="F14" s="18"/>
      <c r="G14" s="18"/>
      <c r="H14" s="18"/>
      <c r="I14" s="18"/>
      <c r="J14" s="18"/>
      <c r="K14" s="18"/>
      <c r="L14" s="18"/>
      <c r="M14" s="18"/>
      <c r="N14" s="18"/>
      <c r="O14" s="69"/>
    </row>
    <row r="15" spans="1:15" x14ac:dyDescent="0.3">
      <c r="A15" s="162" t="s">
        <v>1982</v>
      </c>
      <c r="B15" s="153" t="s">
        <v>2040</v>
      </c>
      <c r="C15" s="52"/>
      <c r="D15" s="52"/>
      <c r="E15" s="52"/>
      <c r="F15" s="52"/>
      <c r="G15" s="64"/>
      <c r="H15" s="64"/>
      <c r="I15" s="64"/>
      <c r="J15" s="64"/>
      <c r="K15" s="64"/>
      <c r="L15" s="64"/>
      <c r="M15" s="64"/>
      <c r="N15" s="64"/>
      <c r="O15" s="69"/>
    </row>
    <row r="16" spans="1:15" x14ac:dyDescent="0.3">
      <c r="A16" s="162"/>
      <c r="B16" s="153"/>
      <c r="C16" s="18"/>
      <c r="D16" s="18"/>
      <c r="E16" s="18"/>
      <c r="F16" s="18"/>
      <c r="G16" s="18"/>
      <c r="H16" s="18"/>
      <c r="I16" s="18"/>
      <c r="J16" s="18"/>
      <c r="K16" s="18"/>
      <c r="L16" s="18"/>
      <c r="M16" s="18"/>
      <c r="N16" s="18"/>
      <c r="O16" s="69"/>
    </row>
    <row r="17" spans="1:15" ht="40.799999999999997" x14ac:dyDescent="0.3">
      <c r="A17" s="162"/>
      <c r="B17" s="153" t="s">
        <v>1983</v>
      </c>
      <c r="C17" s="18"/>
      <c r="D17" s="18"/>
      <c r="E17" s="18"/>
      <c r="F17" s="18"/>
      <c r="G17" s="18"/>
      <c r="H17" s="18"/>
      <c r="I17" s="18"/>
      <c r="J17" s="18"/>
      <c r="K17" s="18"/>
      <c r="L17" s="18"/>
      <c r="M17" s="18"/>
      <c r="N17" s="18"/>
      <c r="O17" s="69"/>
    </row>
    <row r="18" spans="1:15" x14ac:dyDescent="0.3">
      <c r="A18" s="162"/>
      <c r="B18" s="153"/>
      <c r="C18" s="18"/>
      <c r="D18" s="18"/>
      <c r="E18" s="18"/>
      <c r="F18" s="18"/>
      <c r="G18" s="18"/>
      <c r="H18" s="18"/>
      <c r="I18" s="18"/>
      <c r="J18" s="18"/>
      <c r="K18" s="18"/>
      <c r="L18" s="18"/>
      <c r="M18" s="18"/>
      <c r="N18" s="18"/>
      <c r="O18" s="69"/>
    </row>
    <row r="19" spans="1:15" x14ac:dyDescent="0.3">
      <c r="A19" s="162" t="s">
        <v>1984</v>
      </c>
      <c r="B19" s="153" t="s">
        <v>1985</v>
      </c>
      <c r="C19" s="52"/>
      <c r="D19" s="52"/>
      <c r="E19" s="52"/>
      <c r="F19" s="52"/>
      <c r="G19" s="64"/>
      <c r="H19" s="64"/>
      <c r="I19" s="64"/>
      <c r="J19" s="64"/>
      <c r="K19" s="64"/>
      <c r="L19" s="64"/>
      <c r="M19" s="64"/>
      <c r="N19" s="64"/>
      <c r="O19" s="69"/>
    </row>
    <row r="20" spans="1:15" x14ac:dyDescent="0.3">
      <c r="A20" s="162"/>
      <c r="B20" s="153"/>
      <c r="C20" s="18"/>
      <c r="D20" s="18"/>
      <c r="E20" s="18"/>
      <c r="F20" s="18"/>
      <c r="G20" s="18"/>
      <c r="H20" s="18"/>
      <c r="I20" s="18"/>
      <c r="J20" s="18"/>
      <c r="K20" s="18"/>
      <c r="L20" s="18"/>
      <c r="M20" s="18"/>
      <c r="N20" s="18"/>
      <c r="O20" s="69"/>
    </row>
    <row r="21" spans="1:15" ht="30.6" x14ac:dyDescent="0.3">
      <c r="A21" s="162"/>
      <c r="B21" s="153" t="s">
        <v>1986</v>
      </c>
      <c r="C21" s="18"/>
      <c r="D21" s="18"/>
      <c r="E21" s="18"/>
      <c r="F21" s="18"/>
      <c r="G21" s="18"/>
      <c r="H21" s="18"/>
      <c r="I21" s="18"/>
      <c r="J21" s="18"/>
      <c r="K21" s="18"/>
      <c r="L21" s="18"/>
      <c r="M21" s="18"/>
      <c r="N21" s="18"/>
      <c r="O21" s="69"/>
    </row>
    <row r="22" spans="1:15" x14ac:dyDescent="0.3">
      <c r="A22" s="162"/>
      <c r="B22" s="153"/>
      <c r="C22" s="18"/>
      <c r="D22" s="18"/>
      <c r="E22" s="18"/>
      <c r="F22" s="18"/>
      <c r="G22" s="18"/>
      <c r="H22" s="18"/>
      <c r="I22" s="18"/>
      <c r="J22" s="18"/>
      <c r="K22" s="18"/>
      <c r="L22" s="18"/>
      <c r="M22" s="18"/>
      <c r="N22" s="18"/>
      <c r="O22" s="69"/>
    </row>
    <row r="23" spans="1:15" x14ac:dyDescent="0.3">
      <c r="A23" s="162" t="s">
        <v>1987</v>
      </c>
      <c r="B23" s="153" t="s">
        <v>1985</v>
      </c>
      <c r="C23" s="52"/>
      <c r="D23" s="52"/>
      <c r="E23" s="52"/>
      <c r="F23" s="52"/>
      <c r="G23" s="64"/>
      <c r="H23" s="64"/>
      <c r="I23" s="64"/>
      <c r="J23" s="64"/>
      <c r="K23" s="64"/>
      <c r="L23" s="64"/>
      <c r="M23" s="64"/>
      <c r="N23" s="64"/>
      <c r="O23" s="69"/>
    </row>
    <row r="24" spans="1:15" x14ac:dyDescent="0.3">
      <c r="A24" s="162"/>
      <c r="B24" s="153"/>
      <c r="C24" s="18"/>
      <c r="D24" s="18"/>
      <c r="E24" s="18"/>
      <c r="F24" s="18"/>
      <c r="G24" s="18"/>
      <c r="H24" s="18"/>
      <c r="I24" s="18"/>
      <c r="J24" s="18"/>
      <c r="K24" s="18"/>
      <c r="L24" s="18"/>
      <c r="M24" s="18"/>
      <c r="N24" s="18"/>
      <c r="O24" s="69"/>
    </row>
    <row r="25" spans="1:15" ht="30.6" x14ac:dyDescent="0.3">
      <c r="A25" s="162"/>
      <c r="B25" s="153" t="s">
        <v>1988</v>
      </c>
      <c r="C25" s="18"/>
      <c r="D25" s="18"/>
      <c r="E25" s="18"/>
      <c r="F25" s="18"/>
      <c r="G25" s="18"/>
      <c r="H25" s="18"/>
      <c r="I25" s="18"/>
      <c r="J25" s="18"/>
      <c r="K25" s="18"/>
      <c r="L25" s="18"/>
      <c r="M25" s="18"/>
      <c r="N25" s="18"/>
      <c r="O25" s="69"/>
    </row>
    <row r="26" spans="1:15" x14ac:dyDescent="0.3">
      <c r="A26" s="162"/>
      <c r="B26" s="153"/>
      <c r="C26" s="18"/>
      <c r="D26" s="18"/>
      <c r="E26" s="18"/>
      <c r="F26" s="18"/>
      <c r="G26" s="18"/>
      <c r="H26" s="18"/>
      <c r="I26" s="18"/>
      <c r="J26" s="18"/>
      <c r="K26" s="18"/>
      <c r="L26" s="18"/>
      <c r="M26" s="18"/>
      <c r="N26" s="18"/>
      <c r="O26" s="69"/>
    </row>
    <row r="27" spans="1:15" x14ac:dyDescent="0.3">
      <c r="A27" s="162" t="s">
        <v>1989</v>
      </c>
      <c r="B27" s="153" t="s">
        <v>1985</v>
      </c>
      <c r="C27" s="52"/>
      <c r="D27" s="52"/>
      <c r="E27" s="52"/>
      <c r="F27" s="52"/>
      <c r="G27" s="64"/>
      <c r="H27" s="64"/>
      <c r="I27" s="64"/>
      <c r="J27" s="64"/>
      <c r="K27" s="64"/>
      <c r="L27" s="64"/>
      <c r="M27" s="64"/>
      <c r="N27" s="64"/>
      <c r="O27" s="69"/>
    </row>
    <row r="28" spans="1:15" x14ac:dyDescent="0.3">
      <c r="A28" s="162"/>
      <c r="B28" s="153"/>
      <c r="C28" s="18"/>
      <c r="D28" s="18"/>
      <c r="E28" s="18"/>
      <c r="F28" s="18"/>
      <c r="G28" s="18"/>
      <c r="H28" s="18"/>
      <c r="I28" s="18"/>
      <c r="J28" s="18"/>
      <c r="K28" s="18"/>
      <c r="L28" s="18"/>
      <c r="M28" s="18"/>
      <c r="N28" s="18"/>
      <c r="O28" s="69"/>
    </row>
    <row r="29" spans="1:15" ht="20.399999999999999" x14ac:dyDescent="0.3">
      <c r="A29" s="162"/>
      <c r="B29" s="153" t="s">
        <v>1990</v>
      </c>
      <c r="C29" s="18"/>
      <c r="D29" s="18"/>
      <c r="E29" s="18"/>
      <c r="F29" s="18"/>
      <c r="G29" s="18"/>
      <c r="H29" s="18"/>
      <c r="I29" s="18"/>
      <c r="J29" s="18"/>
      <c r="K29" s="18"/>
      <c r="L29" s="18"/>
      <c r="M29" s="18"/>
      <c r="N29" s="18"/>
      <c r="O29" s="69"/>
    </row>
    <row r="30" spans="1:15" x14ac:dyDescent="0.3">
      <c r="A30" s="162"/>
      <c r="B30" s="153"/>
      <c r="C30" s="18"/>
      <c r="D30" s="18"/>
      <c r="E30" s="18"/>
      <c r="F30" s="18"/>
      <c r="G30" s="18"/>
      <c r="H30" s="18"/>
      <c r="I30" s="18"/>
      <c r="J30" s="18"/>
      <c r="K30" s="18"/>
      <c r="L30" s="18"/>
      <c r="M30" s="18"/>
      <c r="N30" s="18"/>
      <c r="O30" s="69"/>
    </row>
    <row r="31" spans="1:15" x14ac:dyDescent="0.3">
      <c r="A31" s="162" t="s">
        <v>1991</v>
      </c>
      <c r="B31" s="153" t="s">
        <v>1985</v>
      </c>
      <c r="C31" s="52"/>
      <c r="D31" s="52"/>
      <c r="E31" s="52"/>
      <c r="F31" s="52"/>
      <c r="G31" s="64"/>
      <c r="H31" s="64"/>
      <c r="I31" s="64"/>
      <c r="J31" s="64"/>
      <c r="K31" s="64"/>
      <c r="L31" s="64"/>
      <c r="M31" s="64"/>
      <c r="N31" s="64"/>
      <c r="O31" s="69"/>
    </row>
    <row r="32" spans="1:15" x14ac:dyDescent="0.3">
      <c r="A32" s="162"/>
      <c r="B32" s="153"/>
      <c r="C32" s="18"/>
      <c r="D32" s="18"/>
      <c r="E32" s="18"/>
      <c r="F32" s="18"/>
      <c r="G32" s="18"/>
      <c r="H32" s="18"/>
      <c r="I32" s="18"/>
      <c r="J32" s="18"/>
      <c r="K32" s="18"/>
      <c r="L32" s="18"/>
      <c r="M32" s="18"/>
      <c r="N32" s="18"/>
      <c r="O32" s="69"/>
    </row>
    <row r="33" spans="1:15" ht="30.6" x14ac:dyDescent="0.3">
      <c r="A33" s="162"/>
      <c r="B33" s="153" t="s">
        <v>1992</v>
      </c>
      <c r="C33" s="18"/>
      <c r="D33" s="18"/>
      <c r="E33" s="18"/>
      <c r="F33" s="18"/>
      <c r="G33" s="18"/>
      <c r="H33" s="18"/>
      <c r="I33" s="18"/>
      <c r="J33" s="18"/>
      <c r="K33" s="18"/>
      <c r="L33" s="18"/>
      <c r="M33" s="18"/>
      <c r="N33" s="18"/>
      <c r="O33" s="69"/>
    </row>
    <row r="34" spans="1:15" x14ac:dyDescent="0.3">
      <c r="A34" s="162"/>
      <c r="B34" s="153"/>
      <c r="C34" s="18"/>
      <c r="D34" s="18"/>
      <c r="E34" s="18"/>
      <c r="F34" s="18"/>
      <c r="G34" s="18"/>
      <c r="H34" s="18"/>
      <c r="I34" s="18"/>
      <c r="J34" s="18"/>
      <c r="K34" s="18"/>
      <c r="L34" s="18"/>
      <c r="M34" s="18"/>
      <c r="N34" s="18"/>
      <c r="O34" s="69"/>
    </row>
    <row r="35" spans="1:15" x14ac:dyDescent="0.3">
      <c r="A35" s="162" t="s">
        <v>1993</v>
      </c>
      <c r="B35" s="153" t="s">
        <v>1985</v>
      </c>
      <c r="C35" s="52"/>
      <c r="D35" s="52"/>
      <c r="E35" s="52"/>
      <c r="F35" s="52"/>
      <c r="G35" s="64"/>
      <c r="H35" s="64"/>
      <c r="I35" s="64"/>
      <c r="J35" s="64"/>
      <c r="K35" s="64"/>
      <c r="L35" s="64"/>
      <c r="M35" s="64"/>
      <c r="N35" s="64"/>
      <c r="O35" s="69"/>
    </row>
    <row r="36" spans="1:15" x14ac:dyDescent="0.3">
      <c r="A36" s="162"/>
      <c r="B36" s="153"/>
      <c r="C36" s="18"/>
      <c r="D36" s="18"/>
      <c r="E36" s="18"/>
      <c r="F36" s="18"/>
      <c r="G36" s="18"/>
      <c r="H36" s="18"/>
      <c r="I36" s="18"/>
      <c r="J36" s="18"/>
      <c r="K36" s="18"/>
      <c r="L36" s="18"/>
      <c r="M36" s="18"/>
      <c r="N36" s="18"/>
      <c r="O36" s="69"/>
    </row>
    <row r="37" spans="1:15" ht="20.399999999999999" x14ac:dyDescent="0.3">
      <c r="A37" s="162"/>
      <c r="B37" s="153" t="s">
        <v>1994</v>
      </c>
      <c r="C37" s="18"/>
      <c r="D37" s="18"/>
      <c r="E37" s="18"/>
      <c r="F37" s="18"/>
      <c r="G37" s="18"/>
      <c r="H37" s="18"/>
      <c r="I37" s="18"/>
      <c r="J37" s="18"/>
      <c r="K37" s="18"/>
      <c r="L37" s="18"/>
      <c r="M37" s="18"/>
      <c r="N37" s="18"/>
      <c r="O37" s="69"/>
    </row>
    <row r="38" spans="1:15" x14ac:dyDescent="0.3">
      <c r="A38" s="162"/>
      <c r="B38" s="153"/>
      <c r="C38" s="18"/>
      <c r="D38" s="18"/>
      <c r="E38" s="18"/>
      <c r="F38" s="18"/>
      <c r="G38" s="18"/>
      <c r="H38" s="18"/>
      <c r="I38" s="18"/>
      <c r="J38" s="18"/>
      <c r="K38" s="18"/>
      <c r="L38" s="18"/>
      <c r="M38" s="18"/>
      <c r="N38" s="18"/>
      <c r="O38" s="69"/>
    </row>
    <row r="39" spans="1:15" x14ac:dyDescent="0.3">
      <c r="A39" s="162" t="s">
        <v>1995</v>
      </c>
      <c r="B39" s="153" t="s">
        <v>1985</v>
      </c>
      <c r="C39" s="52"/>
      <c r="D39" s="52"/>
      <c r="E39" s="52"/>
      <c r="F39" s="52"/>
      <c r="G39" s="64"/>
      <c r="H39" s="64"/>
      <c r="I39" s="64"/>
      <c r="J39" s="64"/>
      <c r="K39" s="64"/>
      <c r="L39" s="64"/>
      <c r="M39" s="64"/>
      <c r="N39" s="64"/>
      <c r="O39" s="69"/>
    </row>
    <row r="40" spans="1:15" x14ac:dyDescent="0.3">
      <c r="A40" s="162"/>
      <c r="B40" s="153"/>
      <c r="C40" s="18"/>
      <c r="D40" s="18"/>
      <c r="E40" s="18"/>
      <c r="F40" s="18"/>
      <c r="G40" s="18"/>
      <c r="H40" s="18"/>
      <c r="I40" s="18"/>
      <c r="J40" s="18"/>
      <c r="K40" s="18"/>
      <c r="L40" s="18"/>
      <c r="M40" s="18"/>
      <c r="N40" s="18"/>
      <c r="O40" s="69"/>
    </row>
    <row r="41" spans="1:15" ht="30.6" x14ac:dyDescent="0.3">
      <c r="A41" s="162"/>
      <c r="B41" s="153" t="s">
        <v>1996</v>
      </c>
      <c r="C41" s="18"/>
      <c r="D41" s="18"/>
      <c r="E41" s="18"/>
      <c r="F41" s="18"/>
      <c r="G41" s="18"/>
      <c r="H41" s="18"/>
      <c r="I41" s="18"/>
      <c r="J41" s="18"/>
      <c r="K41" s="18"/>
      <c r="L41" s="18"/>
      <c r="M41" s="18"/>
      <c r="N41" s="18"/>
      <c r="O41" s="69"/>
    </row>
    <row r="42" spans="1:15" x14ac:dyDescent="0.3">
      <c r="A42" s="162"/>
      <c r="B42" s="153"/>
      <c r="C42" s="18"/>
      <c r="D42" s="18"/>
      <c r="E42" s="18"/>
      <c r="F42" s="18"/>
      <c r="G42" s="18"/>
      <c r="H42" s="18"/>
      <c r="I42" s="18"/>
      <c r="J42" s="18"/>
      <c r="K42" s="18"/>
      <c r="L42" s="18"/>
      <c r="M42" s="18"/>
      <c r="N42" s="18"/>
      <c r="O42" s="69"/>
    </row>
    <row r="43" spans="1:15" x14ac:dyDescent="0.3">
      <c r="A43" s="162" t="s">
        <v>1997</v>
      </c>
      <c r="B43" s="153" t="s">
        <v>1998</v>
      </c>
      <c r="C43" s="52"/>
      <c r="D43" s="52"/>
      <c r="E43" s="52"/>
      <c r="F43" s="52"/>
      <c r="G43" s="64"/>
      <c r="H43" s="64"/>
      <c r="I43" s="64"/>
      <c r="J43" s="64"/>
      <c r="K43" s="64"/>
      <c r="L43" s="64"/>
      <c r="M43" s="64"/>
      <c r="N43" s="64"/>
      <c r="O43" s="69"/>
    </row>
    <row r="44" spans="1:15" x14ac:dyDescent="0.3">
      <c r="A44" s="162"/>
      <c r="B44" s="153"/>
      <c r="C44" s="18"/>
      <c r="D44" s="18"/>
      <c r="E44" s="18"/>
      <c r="F44" s="18"/>
      <c r="G44" s="18"/>
      <c r="H44" s="18"/>
      <c r="I44" s="18"/>
      <c r="J44" s="18"/>
      <c r="K44" s="18"/>
      <c r="L44" s="18"/>
      <c r="M44" s="18"/>
      <c r="N44" s="18"/>
      <c r="O44" s="69"/>
    </row>
    <row r="45" spans="1:15" ht="20.399999999999999" x14ac:dyDescent="0.3">
      <c r="A45" s="162"/>
      <c r="B45" s="153" t="s">
        <v>1999</v>
      </c>
      <c r="C45" s="18"/>
      <c r="D45" s="18"/>
      <c r="E45" s="18"/>
      <c r="F45" s="18"/>
      <c r="G45" s="18"/>
      <c r="H45" s="18"/>
      <c r="I45" s="18"/>
      <c r="J45" s="18"/>
      <c r="K45" s="18"/>
      <c r="L45" s="18"/>
      <c r="M45" s="18"/>
      <c r="N45" s="18"/>
      <c r="O45" s="69"/>
    </row>
    <row r="46" spans="1:15" x14ac:dyDescent="0.3">
      <c r="A46" s="162"/>
      <c r="B46" s="153"/>
      <c r="C46" s="18"/>
      <c r="D46" s="18"/>
      <c r="E46" s="18"/>
      <c r="F46" s="18"/>
      <c r="G46" s="18"/>
      <c r="H46" s="18"/>
      <c r="I46" s="18"/>
      <c r="J46" s="18"/>
      <c r="K46" s="18"/>
      <c r="L46" s="18"/>
      <c r="M46" s="18"/>
      <c r="N46" s="18"/>
      <c r="O46" s="69"/>
    </row>
    <row r="47" spans="1:15" x14ac:dyDescent="0.3">
      <c r="A47" s="162" t="s">
        <v>2000</v>
      </c>
      <c r="B47" s="153" t="s">
        <v>1985</v>
      </c>
      <c r="C47" s="52"/>
      <c r="D47" s="52"/>
      <c r="E47" s="52"/>
      <c r="F47" s="52"/>
      <c r="G47" s="64"/>
      <c r="H47" s="64"/>
      <c r="I47" s="64"/>
      <c r="J47" s="64"/>
      <c r="K47" s="64"/>
      <c r="L47" s="64"/>
      <c r="M47" s="64"/>
      <c r="N47" s="64"/>
      <c r="O47" s="69"/>
    </row>
    <row r="48" spans="1:15" x14ac:dyDescent="0.3">
      <c r="A48" s="162"/>
      <c r="B48" s="153"/>
      <c r="C48" s="18"/>
      <c r="D48" s="18"/>
      <c r="E48" s="18"/>
      <c r="F48" s="18"/>
      <c r="G48" s="18"/>
      <c r="H48" s="18"/>
      <c r="I48" s="18"/>
      <c r="J48" s="18"/>
      <c r="K48" s="18"/>
      <c r="L48" s="18"/>
      <c r="M48" s="18"/>
      <c r="N48" s="18"/>
      <c r="O48" s="69"/>
    </row>
    <row r="49" spans="1:15" ht="20.399999999999999" x14ac:dyDescent="0.3">
      <c r="A49" s="162"/>
      <c r="B49" s="179" t="s">
        <v>2001</v>
      </c>
      <c r="C49" s="18"/>
      <c r="D49" s="18"/>
      <c r="E49" s="18"/>
      <c r="F49" s="18"/>
      <c r="G49" s="18"/>
      <c r="H49" s="18"/>
      <c r="I49" s="18"/>
      <c r="J49" s="18"/>
      <c r="K49" s="18"/>
      <c r="L49" s="18"/>
      <c r="M49" s="18"/>
      <c r="N49" s="18"/>
      <c r="O49" s="69"/>
    </row>
    <row r="50" spans="1:15" x14ac:dyDescent="0.3">
      <c r="A50" s="162"/>
      <c r="B50" s="153"/>
      <c r="C50" s="18"/>
      <c r="D50" s="18"/>
      <c r="E50" s="18"/>
      <c r="F50" s="18"/>
      <c r="G50" s="18"/>
      <c r="H50" s="18"/>
      <c r="I50" s="18"/>
      <c r="J50" s="18"/>
      <c r="K50" s="18"/>
      <c r="L50" s="18"/>
      <c r="M50" s="18"/>
      <c r="N50" s="18"/>
      <c r="O50" s="69"/>
    </row>
    <row r="51" spans="1:15" ht="20.399999999999999" x14ac:dyDescent="0.3">
      <c r="A51" s="162" t="s">
        <v>2002</v>
      </c>
      <c r="B51" s="153" t="s">
        <v>2003</v>
      </c>
      <c r="C51" s="52"/>
      <c r="D51" s="52"/>
      <c r="E51" s="52"/>
      <c r="F51" s="52"/>
      <c r="G51" s="64"/>
      <c r="H51" s="64"/>
      <c r="I51" s="64"/>
      <c r="J51" s="64"/>
      <c r="K51" s="64"/>
      <c r="L51" s="64"/>
      <c r="M51" s="64"/>
      <c r="N51" s="64"/>
      <c r="O51" s="69"/>
    </row>
    <row r="52" spans="1:15" x14ac:dyDescent="0.3">
      <c r="A52" s="162"/>
      <c r="B52" s="153"/>
      <c r="C52" s="18"/>
      <c r="D52" s="18"/>
      <c r="E52" s="18"/>
      <c r="F52" s="18"/>
      <c r="G52" s="18"/>
      <c r="H52" s="18"/>
      <c r="I52" s="18"/>
      <c r="J52" s="18"/>
      <c r="K52" s="18"/>
      <c r="L52" s="18"/>
      <c r="M52" s="18"/>
      <c r="N52" s="18"/>
      <c r="O52" s="69"/>
    </row>
    <row r="53" spans="1:15" ht="20.399999999999999" x14ac:dyDescent="0.3">
      <c r="A53" s="162"/>
      <c r="B53" s="179" t="s">
        <v>2004</v>
      </c>
      <c r="C53" s="18"/>
      <c r="D53" s="18"/>
      <c r="E53" s="18"/>
      <c r="F53" s="18"/>
      <c r="G53" s="18"/>
      <c r="H53" s="18"/>
      <c r="I53" s="18"/>
      <c r="J53" s="18"/>
      <c r="K53" s="18"/>
      <c r="L53" s="18"/>
      <c r="M53" s="18"/>
      <c r="N53" s="18"/>
      <c r="O53" s="69"/>
    </row>
    <row r="54" spans="1:15" x14ac:dyDescent="0.3">
      <c r="A54" s="162"/>
      <c r="B54" s="153" t="s">
        <v>1379</v>
      </c>
      <c r="C54" s="18"/>
      <c r="D54" s="18"/>
      <c r="E54" s="18"/>
      <c r="F54" s="18"/>
      <c r="G54" s="18"/>
      <c r="H54" s="18"/>
      <c r="I54" s="18"/>
      <c r="J54" s="18"/>
      <c r="K54" s="18"/>
      <c r="L54" s="18"/>
      <c r="M54" s="18"/>
      <c r="N54" s="18"/>
      <c r="O54" s="69"/>
    </row>
    <row r="55" spans="1:15" x14ac:dyDescent="0.3">
      <c r="A55" s="162" t="s">
        <v>2005</v>
      </c>
      <c r="B55" s="153" t="s">
        <v>1998</v>
      </c>
      <c r="C55" s="52"/>
      <c r="D55" s="52"/>
      <c r="E55" s="52"/>
      <c r="F55" s="52"/>
      <c r="G55" s="64"/>
      <c r="H55" s="64"/>
      <c r="I55" s="64"/>
      <c r="J55" s="64"/>
      <c r="K55" s="64"/>
      <c r="L55" s="64"/>
      <c r="M55" s="64"/>
      <c r="N55" s="64"/>
      <c r="O55" s="69"/>
    </row>
    <row r="56" spans="1:15" x14ac:dyDescent="0.3">
      <c r="A56" s="162"/>
      <c r="B56" s="153"/>
      <c r="C56" s="18"/>
      <c r="D56" s="18"/>
      <c r="E56" s="18"/>
      <c r="F56" s="18"/>
      <c r="G56" s="18"/>
      <c r="H56" s="18"/>
      <c r="I56" s="18"/>
      <c r="J56" s="18"/>
      <c r="K56" s="18"/>
      <c r="L56" s="18"/>
      <c r="M56" s="18"/>
      <c r="N56" s="18"/>
      <c r="O56" s="69"/>
    </row>
    <row r="57" spans="1:15" ht="20.399999999999999" x14ac:dyDescent="0.3">
      <c r="A57" s="162"/>
      <c r="B57" s="153" t="s">
        <v>2006</v>
      </c>
      <c r="C57" s="18"/>
      <c r="D57" s="18"/>
      <c r="E57" s="18"/>
      <c r="F57" s="18"/>
      <c r="G57" s="18"/>
      <c r="H57" s="18"/>
      <c r="I57" s="18"/>
      <c r="J57" s="18"/>
      <c r="K57" s="18"/>
      <c r="L57" s="18"/>
      <c r="M57" s="18"/>
      <c r="N57" s="18"/>
      <c r="O57" s="69"/>
    </row>
    <row r="58" spans="1:15" x14ac:dyDescent="0.3">
      <c r="A58" s="162"/>
      <c r="B58" s="153"/>
      <c r="C58" s="18"/>
      <c r="D58" s="18"/>
      <c r="E58" s="18"/>
      <c r="F58" s="18"/>
      <c r="G58" s="18"/>
      <c r="H58" s="18"/>
      <c r="I58" s="18"/>
      <c r="J58" s="18"/>
      <c r="K58" s="18"/>
      <c r="L58" s="18"/>
      <c r="M58" s="18"/>
      <c r="N58" s="18"/>
      <c r="O58" s="69"/>
    </row>
    <row r="59" spans="1:15" x14ac:dyDescent="0.3">
      <c r="A59" s="162"/>
      <c r="B59" s="179" t="s">
        <v>5586</v>
      </c>
      <c r="C59" s="18"/>
      <c r="D59" s="18"/>
      <c r="E59" s="18"/>
      <c r="F59" s="18"/>
      <c r="G59" s="18"/>
      <c r="H59" s="18"/>
      <c r="I59" s="18"/>
      <c r="J59" s="18"/>
      <c r="K59" s="18"/>
      <c r="L59" s="18"/>
      <c r="M59" s="18"/>
      <c r="N59" s="18"/>
      <c r="O59" s="69"/>
    </row>
    <row r="60" spans="1:15" x14ac:dyDescent="0.3">
      <c r="A60" s="162"/>
      <c r="B60" s="153"/>
      <c r="C60" s="18"/>
      <c r="D60" s="18"/>
      <c r="E60" s="18"/>
      <c r="F60" s="18"/>
      <c r="G60" s="18"/>
      <c r="H60" s="18"/>
      <c r="I60" s="18"/>
      <c r="J60" s="18"/>
      <c r="K60" s="18"/>
      <c r="L60" s="18"/>
      <c r="M60" s="18"/>
      <c r="N60" s="18"/>
      <c r="O60" s="69"/>
    </row>
    <row r="61" spans="1:15" ht="20.399999999999999" x14ac:dyDescent="0.3">
      <c r="A61" s="162" t="s">
        <v>2007</v>
      </c>
      <c r="B61" s="153" t="s">
        <v>2003</v>
      </c>
      <c r="C61" s="52"/>
      <c r="D61" s="52"/>
      <c r="E61" s="52"/>
      <c r="F61" s="52"/>
      <c r="G61" s="64"/>
      <c r="H61" s="64"/>
      <c r="I61" s="64"/>
      <c r="J61" s="64"/>
      <c r="K61" s="64"/>
      <c r="L61" s="64"/>
      <c r="M61" s="64"/>
      <c r="N61" s="64"/>
      <c r="O61" s="69"/>
    </row>
    <row r="62" spans="1:15" x14ac:dyDescent="0.3">
      <c r="A62" s="162"/>
      <c r="B62" s="153"/>
      <c r="C62" s="18"/>
      <c r="D62" s="18"/>
      <c r="E62" s="18"/>
      <c r="F62" s="18"/>
      <c r="G62" s="18"/>
      <c r="H62" s="18"/>
      <c r="I62" s="18"/>
      <c r="J62" s="18"/>
      <c r="K62" s="18"/>
      <c r="L62" s="18"/>
      <c r="M62" s="18"/>
      <c r="N62" s="18"/>
      <c r="O62" s="69"/>
    </row>
    <row r="63" spans="1:15" ht="20.399999999999999" x14ac:dyDescent="0.3">
      <c r="A63" s="162"/>
      <c r="B63" s="179" t="s">
        <v>5587</v>
      </c>
      <c r="C63" s="18"/>
      <c r="D63" s="18"/>
      <c r="E63" s="18"/>
      <c r="F63" s="18"/>
      <c r="G63" s="18"/>
      <c r="H63" s="18"/>
      <c r="I63" s="18"/>
      <c r="J63" s="18"/>
      <c r="K63" s="18"/>
      <c r="L63" s="18"/>
      <c r="M63" s="18"/>
      <c r="N63" s="18"/>
      <c r="O63" s="69"/>
    </row>
    <row r="64" spans="1:15" x14ac:dyDescent="0.3">
      <c r="A64" s="162"/>
      <c r="B64" s="153"/>
      <c r="C64" s="18"/>
      <c r="D64" s="18"/>
      <c r="E64" s="18"/>
      <c r="F64" s="18"/>
      <c r="G64" s="18"/>
      <c r="H64" s="18"/>
      <c r="I64" s="18"/>
      <c r="J64" s="18"/>
      <c r="K64" s="18"/>
      <c r="L64" s="18"/>
      <c r="M64" s="18"/>
      <c r="N64" s="18"/>
      <c r="O64" s="69"/>
    </row>
    <row r="65" spans="1:15" x14ac:dyDescent="0.3">
      <c r="A65" s="162" t="s">
        <v>2008</v>
      </c>
      <c r="B65" s="153" t="s">
        <v>1985</v>
      </c>
      <c r="C65" s="52"/>
      <c r="D65" s="52"/>
      <c r="E65" s="52"/>
      <c r="F65" s="52"/>
      <c r="G65" s="64"/>
      <c r="H65" s="64"/>
      <c r="I65" s="64"/>
      <c r="J65" s="64"/>
      <c r="K65" s="64"/>
      <c r="L65" s="64"/>
      <c r="M65" s="64"/>
      <c r="N65" s="64"/>
      <c r="O65" s="69"/>
    </row>
    <row r="66" spans="1:15" x14ac:dyDescent="0.3">
      <c r="A66" s="162"/>
      <c r="B66" s="153"/>
      <c r="C66" s="18"/>
      <c r="D66" s="18"/>
      <c r="E66" s="18"/>
      <c r="F66" s="18"/>
      <c r="G66" s="18"/>
      <c r="H66" s="18"/>
      <c r="I66" s="18"/>
      <c r="J66" s="18"/>
      <c r="K66" s="18"/>
      <c r="L66" s="18"/>
      <c r="M66" s="18"/>
      <c r="N66" s="18"/>
      <c r="O66" s="69"/>
    </row>
    <row r="67" spans="1:15" ht="20.399999999999999" x14ac:dyDescent="0.3">
      <c r="A67" s="162"/>
      <c r="B67" s="153" t="s">
        <v>2009</v>
      </c>
      <c r="C67" s="18"/>
      <c r="D67" s="18"/>
      <c r="E67" s="18"/>
      <c r="F67" s="18"/>
      <c r="G67" s="18"/>
      <c r="H67" s="18"/>
      <c r="I67" s="18"/>
      <c r="J67" s="18"/>
      <c r="K67" s="18"/>
      <c r="L67" s="18"/>
      <c r="M67" s="18"/>
      <c r="N67" s="18"/>
      <c r="O67" s="69"/>
    </row>
    <row r="68" spans="1:15" x14ac:dyDescent="0.3">
      <c r="A68" s="162"/>
      <c r="B68" s="153"/>
      <c r="C68" s="18"/>
      <c r="D68" s="18"/>
      <c r="E68" s="18"/>
      <c r="F68" s="18"/>
      <c r="G68" s="18"/>
      <c r="H68" s="18"/>
      <c r="I68" s="18"/>
      <c r="J68" s="18"/>
      <c r="K68" s="18"/>
      <c r="L68" s="18"/>
      <c r="M68" s="18"/>
      <c r="N68" s="18"/>
      <c r="O68" s="69"/>
    </row>
    <row r="69" spans="1:15" x14ac:dyDescent="0.3">
      <c r="A69" s="162" t="s">
        <v>2010</v>
      </c>
      <c r="B69" s="153" t="s">
        <v>1985</v>
      </c>
      <c r="C69" s="52"/>
      <c r="D69" s="52"/>
      <c r="E69" s="52"/>
      <c r="F69" s="52"/>
      <c r="G69" s="64"/>
      <c r="H69" s="64"/>
      <c r="I69" s="64"/>
      <c r="J69" s="64"/>
      <c r="K69" s="64"/>
      <c r="L69" s="64"/>
      <c r="M69" s="64"/>
      <c r="N69" s="64"/>
      <c r="O69" s="69"/>
    </row>
    <row r="70" spans="1:15" x14ac:dyDescent="0.3">
      <c r="A70" s="162"/>
      <c r="B70" s="153"/>
      <c r="C70" s="18"/>
      <c r="D70" s="18"/>
      <c r="E70" s="18"/>
      <c r="F70" s="18"/>
      <c r="G70" s="18"/>
      <c r="H70" s="18"/>
      <c r="I70" s="18"/>
      <c r="J70" s="18"/>
      <c r="K70" s="18"/>
      <c r="L70" s="18"/>
      <c r="M70" s="18"/>
      <c r="N70" s="18"/>
      <c r="O70" s="69"/>
    </row>
    <row r="71" spans="1:15" ht="20.399999999999999" x14ac:dyDescent="0.3">
      <c r="A71" s="162"/>
      <c r="B71" s="179" t="s">
        <v>5588</v>
      </c>
      <c r="C71" s="18"/>
      <c r="D71" s="18"/>
      <c r="E71" s="18"/>
      <c r="F71" s="18"/>
      <c r="G71" s="18"/>
      <c r="H71" s="18"/>
      <c r="I71" s="18"/>
      <c r="J71" s="18"/>
      <c r="K71" s="18"/>
      <c r="L71" s="18"/>
      <c r="M71" s="18"/>
      <c r="N71" s="18"/>
      <c r="O71" s="69"/>
    </row>
    <row r="72" spans="1:15" x14ac:dyDescent="0.3">
      <c r="A72" s="162"/>
      <c r="B72" s="153"/>
      <c r="C72" s="18"/>
      <c r="D72" s="18"/>
      <c r="E72" s="18"/>
      <c r="F72" s="18"/>
      <c r="G72" s="18"/>
      <c r="H72" s="18"/>
      <c r="I72" s="18"/>
      <c r="J72" s="18"/>
      <c r="K72" s="18"/>
      <c r="L72" s="18"/>
      <c r="M72" s="18"/>
      <c r="N72" s="18"/>
      <c r="O72" s="69"/>
    </row>
    <row r="73" spans="1:15" x14ac:dyDescent="0.3">
      <c r="A73" s="162" t="s">
        <v>2011</v>
      </c>
      <c r="B73" s="153" t="s">
        <v>1985</v>
      </c>
      <c r="C73" s="52"/>
      <c r="D73" s="52"/>
      <c r="E73" s="52"/>
      <c r="F73" s="52"/>
      <c r="G73" s="64"/>
      <c r="H73" s="64"/>
      <c r="I73" s="64"/>
      <c r="J73" s="64"/>
      <c r="K73" s="64"/>
      <c r="L73" s="64"/>
      <c r="M73" s="64"/>
      <c r="N73" s="64"/>
      <c r="O73" s="69"/>
    </row>
    <row r="74" spans="1:15" x14ac:dyDescent="0.3">
      <c r="A74" s="162"/>
      <c r="B74" s="153"/>
      <c r="C74" s="18"/>
      <c r="D74" s="18"/>
      <c r="E74" s="18"/>
      <c r="F74" s="18"/>
      <c r="G74" s="18"/>
      <c r="H74" s="18"/>
      <c r="I74" s="18"/>
      <c r="J74" s="18"/>
      <c r="K74" s="18"/>
      <c r="L74" s="18"/>
      <c r="M74" s="18"/>
      <c r="N74" s="18"/>
      <c r="O74" s="69"/>
    </row>
    <row r="75" spans="1:15" ht="20.399999999999999" x14ac:dyDescent="0.3">
      <c r="A75" s="162"/>
      <c r="B75" s="153" t="s">
        <v>2012</v>
      </c>
      <c r="C75" s="18"/>
      <c r="D75" s="18"/>
      <c r="E75" s="18"/>
      <c r="F75" s="18"/>
      <c r="G75" s="18"/>
      <c r="H75" s="18"/>
      <c r="I75" s="18"/>
      <c r="J75" s="18"/>
      <c r="K75" s="18"/>
      <c r="L75" s="18"/>
      <c r="M75" s="18"/>
      <c r="N75" s="18"/>
      <c r="O75" s="69"/>
    </row>
    <row r="76" spans="1:15" x14ac:dyDescent="0.3">
      <c r="A76" s="162"/>
      <c r="B76" s="153"/>
      <c r="C76" s="18"/>
      <c r="D76" s="18"/>
      <c r="E76" s="18"/>
      <c r="F76" s="18"/>
      <c r="G76" s="18"/>
      <c r="H76" s="18"/>
      <c r="I76" s="18"/>
      <c r="J76" s="18"/>
      <c r="K76" s="18"/>
      <c r="L76" s="18"/>
      <c r="M76" s="18"/>
      <c r="N76" s="18"/>
      <c r="O76" s="69"/>
    </row>
    <row r="77" spans="1:15" x14ac:dyDescent="0.3">
      <c r="A77" s="162" t="s">
        <v>2013</v>
      </c>
      <c r="B77" s="153" t="s">
        <v>1985</v>
      </c>
      <c r="C77" s="52"/>
      <c r="D77" s="52"/>
      <c r="E77" s="52"/>
      <c r="F77" s="52"/>
      <c r="G77" s="64"/>
      <c r="H77" s="64"/>
      <c r="I77" s="64"/>
      <c r="J77" s="64"/>
      <c r="K77" s="64"/>
      <c r="L77" s="64"/>
      <c r="M77" s="64"/>
      <c r="N77" s="64"/>
      <c r="O77" s="69"/>
    </row>
    <row r="78" spans="1:15" x14ac:dyDescent="0.3">
      <c r="A78" s="162"/>
      <c r="B78" s="153"/>
      <c r="C78" s="18"/>
      <c r="D78" s="18"/>
      <c r="E78" s="18"/>
      <c r="F78" s="18"/>
      <c r="G78" s="18"/>
      <c r="H78" s="18"/>
      <c r="I78" s="18"/>
      <c r="J78" s="18"/>
      <c r="K78" s="18"/>
      <c r="L78" s="18"/>
      <c r="M78" s="18"/>
      <c r="N78" s="18"/>
      <c r="O78" s="69"/>
    </row>
    <row r="79" spans="1:15" x14ac:dyDescent="0.3">
      <c r="A79" s="162"/>
      <c r="B79" s="179" t="s">
        <v>784</v>
      </c>
      <c r="C79" s="18"/>
      <c r="D79" s="18"/>
      <c r="E79" s="18"/>
      <c r="F79" s="18"/>
      <c r="G79" s="18"/>
      <c r="H79" s="18"/>
      <c r="I79" s="18"/>
      <c r="J79" s="18"/>
      <c r="K79" s="18"/>
      <c r="L79" s="18"/>
      <c r="M79" s="18"/>
      <c r="N79" s="18"/>
      <c r="O79" s="69"/>
    </row>
    <row r="80" spans="1:15" x14ac:dyDescent="0.3">
      <c r="A80" s="162"/>
      <c r="B80" s="153"/>
      <c r="C80" s="18"/>
      <c r="D80" s="18"/>
      <c r="E80" s="18"/>
      <c r="F80" s="18"/>
      <c r="G80" s="18"/>
      <c r="H80" s="18"/>
      <c r="I80" s="18"/>
      <c r="J80" s="18"/>
      <c r="K80" s="18"/>
      <c r="L80" s="18"/>
      <c r="M80" s="18"/>
      <c r="N80" s="18"/>
      <c r="O80" s="69"/>
    </row>
    <row r="81" spans="1:15" x14ac:dyDescent="0.3">
      <c r="A81" s="162" t="s">
        <v>2014</v>
      </c>
      <c r="B81" s="153" t="s">
        <v>1985</v>
      </c>
      <c r="C81" s="52"/>
      <c r="D81" s="52"/>
      <c r="E81" s="52"/>
      <c r="F81" s="52"/>
      <c r="G81" s="64"/>
      <c r="H81" s="64"/>
      <c r="I81" s="64"/>
      <c r="J81" s="64"/>
      <c r="K81" s="64"/>
      <c r="L81" s="64"/>
      <c r="M81" s="64"/>
      <c r="N81" s="64"/>
      <c r="O81" s="69"/>
    </row>
    <row r="82" spans="1:15" x14ac:dyDescent="0.3">
      <c r="A82" s="162"/>
      <c r="B82" s="153"/>
      <c r="C82" s="18"/>
      <c r="D82" s="18"/>
      <c r="E82" s="18"/>
      <c r="F82" s="18"/>
      <c r="G82" s="18"/>
      <c r="H82" s="18"/>
      <c r="I82" s="18"/>
      <c r="J82" s="18"/>
      <c r="K82" s="18"/>
      <c r="L82" s="18"/>
      <c r="M82" s="18"/>
      <c r="N82" s="18"/>
      <c r="O82" s="69"/>
    </row>
    <row r="83" spans="1:15" ht="20.399999999999999" x14ac:dyDescent="0.3">
      <c r="A83" s="162"/>
      <c r="B83" s="179" t="s">
        <v>2015</v>
      </c>
      <c r="C83" s="18"/>
      <c r="D83" s="18"/>
      <c r="E83" s="18"/>
      <c r="F83" s="18"/>
      <c r="G83" s="18"/>
      <c r="H83" s="18"/>
      <c r="I83" s="18"/>
      <c r="J83" s="18"/>
      <c r="K83" s="18"/>
      <c r="L83" s="18"/>
      <c r="M83" s="18"/>
      <c r="N83" s="18"/>
      <c r="O83" s="69"/>
    </row>
    <row r="84" spans="1:15" x14ac:dyDescent="0.3">
      <c r="A84" s="162"/>
      <c r="B84" s="153"/>
      <c r="C84" s="18"/>
      <c r="D84" s="18"/>
      <c r="E84" s="18"/>
      <c r="F84" s="18"/>
      <c r="G84" s="18"/>
      <c r="H84" s="18"/>
      <c r="I84" s="18"/>
      <c r="J84" s="18"/>
      <c r="K84" s="18"/>
      <c r="L84" s="18"/>
      <c r="M84" s="18"/>
      <c r="N84" s="18"/>
      <c r="O84" s="69"/>
    </row>
    <row r="85" spans="1:15" x14ac:dyDescent="0.3">
      <c r="A85" s="162" t="s">
        <v>2016</v>
      </c>
      <c r="B85" s="153" t="s">
        <v>1985</v>
      </c>
      <c r="C85" s="52"/>
      <c r="D85" s="52"/>
      <c r="E85" s="52"/>
      <c r="F85" s="52"/>
      <c r="G85" s="64"/>
      <c r="H85" s="64"/>
      <c r="I85" s="64"/>
      <c r="J85" s="64"/>
      <c r="K85" s="64"/>
      <c r="L85" s="64"/>
      <c r="M85" s="64"/>
      <c r="N85" s="64"/>
      <c r="O85" s="69"/>
    </row>
    <row r="86" spans="1:15" x14ac:dyDescent="0.3">
      <c r="A86" s="162"/>
      <c r="B86" s="153"/>
      <c r="C86" s="18"/>
      <c r="D86" s="18"/>
      <c r="E86" s="18"/>
      <c r="F86" s="18"/>
      <c r="G86" s="18"/>
      <c r="H86" s="18"/>
      <c r="I86" s="18"/>
      <c r="J86" s="18"/>
      <c r="K86" s="18"/>
      <c r="L86" s="18"/>
      <c r="M86" s="18"/>
      <c r="N86" s="18"/>
      <c r="O86" s="69"/>
    </row>
    <row r="87" spans="1:15" ht="30.6" x14ac:dyDescent="0.3">
      <c r="A87" s="162"/>
      <c r="B87" s="179" t="s">
        <v>2017</v>
      </c>
      <c r="C87" s="18"/>
      <c r="D87" s="18"/>
      <c r="E87" s="18"/>
      <c r="F87" s="18"/>
      <c r="G87" s="18"/>
      <c r="H87" s="18"/>
      <c r="I87" s="18"/>
      <c r="J87" s="18"/>
      <c r="K87" s="18"/>
      <c r="L87" s="18"/>
      <c r="M87" s="18"/>
      <c r="N87" s="18"/>
      <c r="O87" s="69"/>
    </row>
    <row r="88" spans="1:15" x14ac:dyDescent="0.3">
      <c r="A88" s="162"/>
      <c r="B88" s="153"/>
      <c r="C88" s="18"/>
      <c r="D88" s="18"/>
      <c r="E88" s="18"/>
      <c r="F88" s="18"/>
      <c r="G88" s="18"/>
      <c r="H88" s="18"/>
      <c r="I88" s="18"/>
      <c r="J88" s="18"/>
      <c r="K88" s="18"/>
      <c r="L88" s="18"/>
      <c r="M88" s="18"/>
      <c r="N88" s="18"/>
      <c r="O88" s="69"/>
    </row>
    <row r="89" spans="1:15" x14ac:dyDescent="0.3">
      <c r="A89" s="162" t="s">
        <v>2018</v>
      </c>
      <c r="B89" s="153" t="s">
        <v>2019</v>
      </c>
      <c r="C89" s="52"/>
      <c r="D89" s="52"/>
      <c r="E89" s="52"/>
      <c r="F89" s="52"/>
      <c r="G89" s="64"/>
      <c r="H89" s="64"/>
      <c r="I89" s="64"/>
      <c r="J89" s="64"/>
      <c r="K89" s="64"/>
      <c r="L89" s="64"/>
      <c r="M89" s="64"/>
      <c r="N89" s="64"/>
      <c r="O89" s="69"/>
    </row>
    <row r="90" spans="1:15" x14ac:dyDescent="0.3">
      <c r="A90" s="162"/>
      <c r="B90" s="153"/>
      <c r="C90" s="18"/>
      <c r="D90" s="18"/>
      <c r="E90" s="18"/>
      <c r="F90" s="18"/>
      <c r="G90" s="18"/>
      <c r="H90" s="18"/>
      <c r="I90" s="18"/>
      <c r="J90" s="18"/>
      <c r="K90" s="18"/>
      <c r="L90" s="18"/>
      <c r="M90" s="18"/>
      <c r="N90" s="18"/>
      <c r="O90" s="69"/>
    </row>
    <row r="91" spans="1:15" x14ac:dyDescent="0.3">
      <c r="A91" s="162"/>
      <c r="B91" s="179" t="s">
        <v>1798</v>
      </c>
      <c r="C91" s="18"/>
      <c r="D91" s="18"/>
      <c r="E91" s="18"/>
      <c r="F91" s="18"/>
      <c r="G91" s="18"/>
      <c r="H91" s="18"/>
      <c r="I91" s="18"/>
      <c r="J91" s="18"/>
      <c r="K91" s="18"/>
      <c r="L91" s="18"/>
      <c r="M91" s="18"/>
      <c r="N91" s="18"/>
      <c r="O91" s="69"/>
    </row>
    <row r="92" spans="1:15" x14ac:dyDescent="0.3">
      <c r="A92" s="162"/>
      <c r="B92" s="153"/>
      <c r="C92" s="18"/>
      <c r="D92" s="18"/>
      <c r="E92" s="18"/>
      <c r="F92" s="18"/>
      <c r="G92" s="18"/>
      <c r="H92" s="18"/>
      <c r="I92" s="18"/>
      <c r="J92" s="18"/>
      <c r="K92" s="18"/>
      <c r="L92" s="18"/>
      <c r="M92" s="18"/>
      <c r="N92" s="18"/>
      <c r="O92" s="69"/>
    </row>
    <row r="93" spans="1:15" x14ac:dyDescent="0.3">
      <c r="A93" s="162" t="s">
        <v>2020</v>
      </c>
      <c r="B93" s="153" t="s">
        <v>2019</v>
      </c>
      <c r="C93" s="52"/>
      <c r="D93" s="52"/>
      <c r="E93" s="52"/>
      <c r="F93" s="52"/>
      <c r="G93" s="64"/>
      <c r="H93" s="64"/>
      <c r="I93" s="64"/>
      <c r="J93" s="64"/>
      <c r="K93" s="64"/>
      <c r="L93" s="64"/>
      <c r="M93" s="64"/>
      <c r="N93" s="64"/>
      <c r="O93" s="69"/>
    </row>
    <row r="94" spans="1:15" x14ac:dyDescent="0.3">
      <c r="A94" s="162"/>
      <c r="B94" s="153"/>
      <c r="C94" s="18"/>
      <c r="D94" s="18"/>
      <c r="E94" s="18"/>
      <c r="F94" s="18"/>
      <c r="G94" s="18"/>
      <c r="H94" s="18"/>
      <c r="I94" s="18"/>
      <c r="J94" s="18"/>
      <c r="K94" s="18"/>
      <c r="L94" s="18"/>
      <c r="M94" s="18"/>
      <c r="N94" s="18"/>
      <c r="O94" s="69"/>
    </row>
    <row r="95" spans="1:15" x14ac:dyDescent="0.3">
      <c r="A95" s="162"/>
      <c r="B95" s="179" t="s">
        <v>786</v>
      </c>
      <c r="C95" s="18"/>
      <c r="D95" s="18"/>
      <c r="E95" s="18"/>
      <c r="F95" s="18"/>
      <c r="G95" s="18"/>
      <c r="H95" s="18"/>
      <c r="I95" s="18"/>
      <c r="J95" s="18"/>
      <c r="K95" s="18"/>
      <c r="L95" s="18"/>
      <c r="M95" s="18"/>
      <c r="N95" s="18"/>
      <c r="O95" s="69"/>
    </row>
    <row r="96" spans="1:15" x14ac:dyDescent="0.3">
      <c r="A96" s="162"/>
      <c r="B96" s="153"/>
      <c r="C96" s="18"/>
      <c r="D96" s="18"/>
      <c r="E96" s="18"/>
      <c r="F96" s="18"/>
      <c r="G96" s="18"/>
      <c r="H96" s="18"/>
      <c r="I96" s="18"/>
      <c r="J96" s="18"/>
      <c r="K96" s="18"/>
      <c r="L96" s="18"/>
      <c r="M96" s="18"/>
      <c r="N96" s="18"/>
      <c r="O96" s="69"/>
    </row>
    <row r="97" spans="1:15" x14ac:dyDescent="0.3">
      <c r="A97" s="162" t="s">
        <v>2021</v>
      </c>
      <c r="B97" s="153" t="s">
        <v>1985</v>
      </c>
      <c r="C97" s="52"/>
      <c r="D97" s="52"/>
      <c r="E97" s="52"/>
      <c r="F97" s="52"/>
      <c r="G97" s="64"/>
      <c r="H97" s="64"/>
      <c r="I97" s="64"/>
      <c r="J97" s="64"/>
      <c r="K97" s="64"/>
      <c r="L97" s="64"/>
      <c r="M97" s="64"/>
      <c r="N97" s="64"/>
      <c r="O97" s="69"/>
    </row>
    <row r="98" spans="1:15" x14ac:dyDescent="0.3">
      <c r="A98" s="162"/>
      <c r="B98" s="153"/>
      <c r="C98" s="18"/>
      <c r="D98" s="18"/>
      <c r="E98" s="18"/>
      <c r="F98" s="18"/>
      <c r="G98" s="18"/>
      <c r="H98" s="18"/>
      <c r="I98" s="18"/>
      <c r="J98" s="18"/>
      <c r="K98" s="18"/>
      <c r="L98" s="18"/>
      <c r="M98" s="18"/>
      <c r="N98" s="18"/>
      <c r="O98" s="69"/>
    </row>
    <row r="99" spans="1:15" x14ac:dyDescent="0.3">
      <c r="A99" s="162"/>
      <c r="B99" s="179" t="s">
        <v>1398</v>
      </c>
      <c r="C99" s="18"/>
      <c r="D99" s="18"/>
      <c r="E99" s="18"/>
      <c r="F99" s="18"/>
      <c r="G99" s="18"/>
      <c r="H99" s="18"/>
      <c r="I99" s="18"/>
      <c r="J99" s="18"/>
      <c r="K99" s="18"/>
      <c r="L99" s="18"/>
      <c r="M99" s="18"/>
      <c r="N99" s="18"/>
      <c r="O99" s="69"/>
    </row>
    <row r="100" spans="1:15" x14ac:dyDescent="0.3">
      <c r="A100" s="162"/>
      <c r="B100" s="153"/>
      <c r="C100" s="18"/>
      <c r="D100" s="18"/>
      <c r="E100" s="18"/>
      <c r="F100" s="18"/>
      <c r="G100" s="18"/>
      <c r="H100" s="18"/>
      <c r="I100" s="18"/>
      <c r="J100" s="18"/>
      <c r="K100" s="18"/>
      <c r="L100" s="18"/>
      <c r="M100" s="18"/>
      <c r="N100" s="18"/>
      <c r="O100" s="69"/>
    </row>
    <row r="101" spans="1:15" x14ac:dyDescent="0.3">
      <c r="A101" s="162" t="s">
        <v>2022</v>
      </c>
      <c r="B101" s="153" t="s">
        <v>1985</v>
      </c>
      <c r="C101" s="52"/>
      <c r="D101" s="52"/>
      <c r="E101" s="52"/>
      <c r="F101" s="52"/>
      <c r="G101" s="64"/>
      <c r="H101" s="64"/>
      <c r="I101" s="64"/>
      <c r="J101" s="64"/>
      <c r="K101" s="64"/>
      <c r="L101" s="64"/>
      <c r="M101" s="64"/>
      <c r="N101" s="64"/>
      <c r="O101" s="69"/>
    </row>
    <row r="102" spans="1:15" x14ac:dyDescent="0.3">
      <c r="A102" s="162"/>
      <c r="B102" s="153"/>
      <c r="C102" s="18"/>
      <c r="D102" s="18"/>
      <c r="E102" s="18"/>
      <c r="F102" s="18"/>
      <c r="G102" s="18"/>
      <c r="H102" s="18"/>
      <c r="I102" s="18"/>
      <c r="J102" s="18"/>
      <c r="K102" s="18"/>
      <c r="L102" s="18"/>
      <c r="M102" s="18"/>
      <c r="N102" s="18"/>
      <c r="O102" s="69"/>
    </row>
    <row r="103" spans="1:15" x14ac:dyDescent="0.3">
      <c r="A103" s="162"/>
      <c r="B103" s="179" t="s">
        <v>1799</v>
      </c>
      <c r="C103" s="18"/>
      <c r="D103" s="18"/>
      <c r="E103" s="18"/>
      <c r="F103" s="18"/>
      <c r="G103" s="18"/>
      <c r="H103" s="18"/>
      <c r="I103" s="18"/>
      <c r="J103" s="18"/>
      <c r="K103" s="18"/>
      <c r="L103" s="18"/>
      <c r="M103" s="18"/>
      <c r="N103" s="18"/>
      <c r="O103" s="69"/>
    </row>
    <row r="104" spans="1:15" x14ac:dyDescent="0.3">
      <c r="A104" s="162"/>
      <c r="B104" s="153"/>
      <c r="C104" s="18"/>
      <c r="D104" s="18"/>
      <c r="E104" s="18"/>
      <c r="F104" s="18"/>
      <c r="G104" s="18"/>
      <c r="H104" s="18"/>
      <c r="I104" s="18"/>
      <c r="J104" s="18"/>
      <c r="K104" s="18"/>
      <c r="L104" s="18"/>
      <c r="M104" s="18"/>
      <c r="N104" s="18"/>
      <c r="O104" s="69"/>
    </row>
    <row r="105" spans="1:15" ht="51" x14ac:dyDescent="0.3">
      <c r="A105" s="162" t="s">
        <v>2023</v>
      </c>
      <c r="B105" s="153" t="s">
        <v>2024</v>
      </c>
      <c r="C105" s="52"/>
      <c r="D105" s="52"/>
      <c r="E105" s="52"/>
      <c r="F105" s="52"/>
      <c r="G105" s="64"/>
      <c r="H105" s="64"/>
      <c r="I105" s="64"/>
      <c r="J105" s="64"/>
      <c r="K105" s="64"/>
      <c r="L105" s="64"/>
      <c r="M105" s="64"/>
      <c r="N105" s="64"/>
      <c r="O105" s="69"/>
    </row>
    <row r="106" spans="1:15" ht="40.799999999999997" x14ac:dyDescent="0.3">
      <c r="A106" s="162" t="s">
        <v>2025</v>
      </c>
      <c r="B106" s="153" t="s">
        <v>2026</v>
      </c>
      <c r="C106" s="52"/>
      <c r="D106" s="52"/>
      <c r="E106" s="52"/>
      <c r="F106" s="52"/>
      <c r="G106" s="64"/>
      <c r="H106" s="64"/>
      <c r="I106" s="64"/>
      <c r="J106" s="64"/>
      <c r="K106" s="64"/>
      <c r="L106" s="64"/>
      <c r="M106" s="64"/>
      <c r="N106" s="64"/>
      <c r="O106" s="69"/>
    </row>
    <row r="107" spans="1:15" ht="30.6" x14ac:dyDescent="0.3">
      <c r="A107" s="162" t="s">
        <v>2027</v>
      </c>
      <c r="B107" s="153" t="s">
        <v>2028</v>
      </c>
      <c r="C107" s="52"/>
      <c r="D107" s="52"/>
      <c r="E107" s="52"/>
      <c r="F107" s="52"/>
      <c r="G107" s="64"/>
      <c r="H107" s="64"/>
      <c r="I107" s="64"/>
      <c r="J107" s="64"/>
      <c r="K107" s="64"/>
      <c r="L107" s="64"/>
      <c r="M107" s="64"/>
      <c r="N107" s="64"/>
      <c r="O107" s="69"/>
    </row>
    <row r="108" spans="1:15" ht="20.399999999999999" x14ac:dyDescent="0.3">
      <c r="A108" s="162" t="s">
        <v>2029</v>
      </c>
      <c r="B108" s="153" t="s">
        <v>2030</v>
      </c>
      <c r="C108" s="52"/>
      <c r="D108" s="52"/>
      <c r="E108" s="52"/>
      <c r="F108" s="52"/>
      <c r="G108" s="64"/>
      <c r="H108" s="64"/>
      <c r="I108" s="64"/>
      <c r="J108" s="64"/>
      <c r="K108" s="64"/>
      <c r="L108" s="64"/>
      <c r="M108" s="64"/>
      <c r="N108" s="64"/>
      <c r="O108" s="69"/>
    </row>
    <row r="109" spans="1:15" ht="20.399999999999999" x14ac:dyDescent="0.3">
      <c r="A109" s="162" t="s">
        <v>2031</v>
      </c>
      <c r="B109" s="153" t="s">
        <v>2032</v>
      </c>
      <c r="C109" s="52"/>
      <c r="D109" s="52"/>
      <c r="E109" s="52"/>
      <c r="F109" s="52"/>
      <c r="G109" s="64"/>
      <c r="H109" s="64"/>
      <c r="I109" s="64"/>
      <c r="J109" s="64"/>
      <c r="K109" s="64"/>
      <c r="L109" s="64"/>
      <c r="M109" s="64"/>
      <c r="N109" s="64"/>
      <c r="O109" s="69"/>
    </row>
    <row r="110" spans="1:15" x14ac:dyDescent="0.3">
      <c r="A110" s="162"/>
      <c r="B110" s="153"/>
      <c r="C110" s="18"/>
      <c r="D110" s="18"/>
      <c r="E110" s="18"/>
      <c r="F110" s="18"/>
      <c r="G110" s="18"/>
      <c r="H110" s="18"/>
      <c r="I110" s="18"/>
      <c r="J110" s="18"/>
      <c r="K110" s="18"/>
      <c r="L110" s="18"/>
      <c r="M110" s="18"/>
      <c r="N110" s="18"/>
      <c r="O110" s="69"/>
    </row>
    <row r="111" spans="1:15" x14ac:dyDescent="0.3">
      <c r="A111" s="162"/>
      <c r="B111" s="179" t="s">
        <v>2033</v>
      </c>
      <c r="C111" s="18"/>
      <c r="D111" s="18"/>
      <c r="E111" s="18"/>
      <c r="F111" s="18"/>
      <c r="G111" s="18"/>
      <c r="H111" s="18"/>
      <c r="I111" s="18"/>
      <c r="J111" s="18"/>
      <c r="K111" s="18"/>
      <c r="L111" s="18"/>
      <c r="M111" s="18"/>
      <c r="N111" s="18"/>
      <c r="O111" s="69"/>
    </row>
    <row r="112" spans="1:15" x14ac:dyDescent="0.3">
      <c r="A112" s="162"/>
      <c r="B112" s="153"/>
      <c r="C112" s="18"/>
      <c r="D112" s="18"/>
      <c r="E112" s="18"/>
      <c r="F112" s="18"/>
      <c r="G112" s="18"/>
      <c r="H112" s="18"/>
      <c r="I112" s="18"/>
      <c r="J112" s="18"/>
      <c r="K112" s="18"/>
      <c r="L112" s="18"/>
      <c r="M112" s="18"/>
      <c r="N112" s="18"/>
      <c r="O112" s="69"/>
    </row>
    <row r="113" spans="1:15" ht="20.399999999999999" x14ac:dyDescent="0.3">
      <c r="A113" s="162" t="s">
        <v>2034</v>
      </c>
      <c r="B113" s="153" t="s">
        <v>2035</v>
      </c>
      <c r="C113" s="52"/>
      <c r="D113" s="52"/>
      <c r="E113" s="52"/>
      <c r="F113" s="52"/>
      <c r="G113" s="64"/>
      <c r="H113" s="64"/>
      <c r="I113" s="64"/>
      <c r="J113" s="64"/>
      <c r="K113" s="64"/>
      <c r="L113" s="64"/>
      <c r="M113" s="64"/>
      <c r="N113" s="64"/>
      <c r="O113" s="69"/>
    </row>
    <row r="114" spans="1:15" x14ac:dyDescent="0.3">
      <c r="A114" s="162"/>
      <c r="B114" s="153"/>
      <c r="C114" s="18"/>
      <c r="D114" s="18"/>
      <c r="E114" s="18"/>
      <c r="F114" s="18"/>
      <c r="G114" s="18"/>
      <c r="H114" s="18"/>
      <c r="I114" s="18"/>
      <c r="J114" s="18"/>
      <c r="K114" s="18"/>
      <c r="L114" s="18"/>
      <c r="M114" s="18"/>
      <c r="N114" s="18"/>
      <c r="O114" s="69"/>
    </row>
    <row r="115" spans="1:15" ht="30.6" x14ac:dyDescent="0.3">
      <c r="A115" s="162"/>
      <c r="B115" s="179" t="s">
        <v>2036</v>
      </c>
      <c r="C115" s="18"/>
      <c r="D115" s="18"/>
      <c r="E115" s="18"/>
      <c r="F115" s="18"/>
      <c r="G115" s="18"/>
      <c r="H115" s="18"/>
      <c r="I115" s="18"/>
      <c r="J115" s="18"/>
      <c r="K115" s="18"/>
      <c r="L115" s="18"/>
      <c r="M115" s="18"/>
      <c r="N115" s="18"/>
      <c r="O115" s="69"/>
    </row>
    <row r="116" spans="1:15" x14ac:dyDescent="0.3">
      <c r="A116" s="162"/>
      <c r="B116" s="153"/>
      <c r="C116" s="18"/>
      <c r="D116" s="18"/>
      <c r="E116" s="18"/>
      <c r="F116" s="18"/>
      <c r="G116" s="18"/>
      <c r="H116" s="18"/>
      <c r="I116" s="18"/>
      <c r="J116" s="18"/>
      <c r="K116" s="18"/>
      <c r="L116" s="18"/>
      <c r="M116" s="18"/>
      <c r="N116" s="18"/>
      <c r="O116" s="69"/>
    </row>
    <row r="117" spans="1:15" ht="30.6" x14ac:dyDescent="0.3">
      <c r="A117" s="162" t="s">
        <v>2037</v>
      </c>
      <c r="B117" s="153" t="s">
        <v>5415</v>
      </c>
      <c r="C117" s="52"/>
      <c r="D117" s="52"/>
      <c r="E117" s="52"/>
      <c r="F117" s="52"/>
      <c r="G117" s="64"/>
      <c r="H117" s="64"/>
      <c r="I117" s="64"/>
      <c r="J117" s="64"/>
      <c r="K117" s="64"/>
      <c r="L117" s="64"/>
      <c r="M117" s="64"/>
      <c r="N117" s="64"/>
      <c r="O117" s="69"/>
    </row>
    <row r="118" spans="1:15" x14ac:dyDescent="0.3">
      <c r="A118" s="162"/>
      <c r="B118" s="153"/>
      <c r="C118" s="18"/>
      <c r="D118" s="18"/>
      <c r="E118" s="18"/>
      <c r="F118" s="18"/>
      <c r="G118" s="18"/>
      <c r="H118" s="18"/>
      <c r="I118" s="18"/>
      <c r="J118" s="18"/>
      <c r="K118" s="18"/>
      <c r="L118" s="18"/>
      <c r="M118" s="18"/>
      <c r="N118" s="18"/>
      <c r="O118" s="69"/>
    </row>
    <row r="119" spans="1:15" ht="20.399999999999999" x14ac:dyDescent="0.3">
      <c r="A119" s="162"/>
      <c r="B119" s="179" t="s">
        <v>2038</v>
      </c>
      <c r="C119" s="18"/>
      <c r="D119" s="18"/>
      <c r="E119" s="18"/>
      <c r="F119" s="18"/>
      <c r="G119" s="18"/>
      <c r="H119" s="18"/>
      <c r="I119" s="18"/>
      <c r="J119" s="18"/>
      <c r="K119" s="18"/>
      <c r="L119" s="18"/>
      <c r="M119" s="18"/>
      <c r="N119" s="18"/>
      <c r="O119" s="69"/>
    </row>
    <row r="120" spans="1:15" x14ac:dyDescent="0.3">
      <c r="A120" s="162"/>
      <c r="B120" s="153"/>
      <c r="C120" s="18"/>
      <c r="D120" s="18"/>
      <c r="E120" s="18"/>
      <c r="F120" s="18"/>
      <c r="G120" s="18"/>
      <c r="H120" s="18"/>
      <c r="I120" s="18"/>
      <c r="J120" s="18"/>
      <c r="K120" s="18"/>
      <c r="L120" s="18"/>
      <c r="M120" s="18"/>
      <c r="N120" s="18"/>
      <c r="O120" s="69"/>
    </row>
    <row r="121" spans="1:15" x14ac:dyDescent="0.3">
      <c r="A121" s="162" t="s">
        <v>2039</v>
      </c>
      <c r="B121" s="153" t="s">
        <v>2040</v>
      </c>
      <c r="C121" s="52"/>
      <c r="D121" s="52"/>
      <c r="E121" s="52"/>
      <c r="F121" s="52"/>
      <c r="G121" s="64"/>
      <c r="H121" s="64"/>
      <c r="I121" s="64"/>
      <c r="J121" s="64"/>
      <c r="K121" s="64"/>
      <c r="L121" s="64"/>
      <c r="M121" s="64"/>
      <c r="N121" s="64"/>
      <c r="O121" s="69"/>
    </row>
    <row r="122" spans="1:15" x14ac:dyDescent="0.3">
      <c r="A122" s="162"/>
      <c r="B122" s="153"/>
      <c r="C122" s="18"/>
      <c r="D122" s="18"/>
      <c r="E122" s="18"/>
      <c r="F122" s="18"/>
      <c r="G122" s="18"/>
      <c r="H122" s="18"/>
      <c r="I122" s="18"/>
      <c r="J122" s="18"/>
      <c r="K122" s="18"/>
      <c r="L122" s="18"/>
      <c r="M122" s="18"/>
      <c r="N122" s="18"/>
      <c r="O122" s="69"/>
    </row>
    <row r="123" spans="1:15" ht="20.399999999999999" x14ac:dyDescent="0.3">
      <c r="A123" s="162"/>
      <c r="B123" s="179" t="s">
        <v>2041</v>
      </c>
      <c r="C123" s="18"/>
      <c r="D123" s="18"/>
      <c r="E123" s="18"/>
      <c r="F123" s="18"/>
      <c r="G123" s="18"/>
      <c r="H123" s="18"/>
      <c r="I123" s="18"/>
      <c r="J123" s="18"/>
      <c r="K123" s="18"/>
      <c r="L123" s="18"/>
      <c r="M123" s="18"/>
      <c r="N123" s="18"/>
      <c r="O123" s="69"/>
    </row>
    <row r="124" spans="1:15" x14ac:dyDescent="0.3">
      <c r="A124" s="162"/>
      <c r="B124" s="153"/>
      <c r="C124" s="18"/>
      <c r="D124" s="18"/>
      <c r="E124" s="18"/>
      <c r="F124" s="18"/>
      <c r="G124" s="18"/>
      <c r="H124" s="18"/>
      <c r="I124" s="18"/>
      <c r="J124" s="18"/>
      <c r="K124" s="18"/>
      <c r="L124" s="18"/>
      <c r="M124" s="18"/>
      <c r="N124" s="18"/>
      <c r="O124" s="69"/>
    </row>
    <row r="125" spans="1:15" x14ac:dyDescent="0.3">
      <c r="A125" s="162" t="s">
        <v>2042</v>
      </c>
      <c r="B125" s="153" t="s">
        <v>1985</v>
      </c>
      <c r="C125" s="52"/>
      <c r="D125" s="52"/>
      <c r="E125" s="52"/>
      <c r="F125" s="52"/>
      <c r="G125" s="64"/>
      <c r="H125" s="64"/>
      <c r="I125" s="64"/>
      <c r="J125" s="64"/>
      <c r="K125" s="64"/>
      <c r="L125" s="64"/>
      <c r="M125" s="64"/>
      <c r="N125" s="64"/>
      <c r="O125" s="69"/>
    </row>
    <row r="126" spans="1:15" x14ac:dyDescent="0.3">
      <c r="A126" s="162"/>
      <c r="B126" s="153"/>
      <c r="C126" s="18"/>
      <c r="D126" s="18"/>
      <c r="E126" s="18"/>
      <c r="F126" s="18"/>
      <c r="G126" s="18"/>
      <c r="H126" s="18"/>
      <c r="I126" s="18"/>
      <c r="J126" s="18"/>
      <c r="K126" s="18"/>
      <c r="L126" s="18"/>
      <c r="M126" s="18"/>
      <c r="N126" s="18"/>
      <c r="O126" s="69"/>
    </row>
    <row r="127" spans="1:15" ht="20.399999999999999" x14ac:dyDescent="0.3">
      <c r="A127" s="162"/>
      <c r="B127" s="179" t="s">
        <v>2043</v>
      </c>
      <c r="C127" s="18"/>
      <c r="D127" s="18"/>
      <c r="E127" s="18"/>
      <c r="F127" s="18"/>
      <c r="G127" s="18"/>
      <c r="H127" s="18"/>
      <c r="I127" s="18"/>
      <c r="J127" s="18"/>
      <c r="K127" s="18"/>
      <c r="L127" s="18"/>
      <c r="M127" s="18"/>
      <c r="N127" s="18"/>
      <c r="O127" s="69"/>
    </row>
    <row r="128" spans="1:15" x14ac:dyDescent="0.3">
      <c r="A128" s="162"/>
      <c r="B128" s="153"/>
      <c r="C128" s="18"/>
      <c r="D128" s="18"/>
      <c r="E128" s="18"/>
      <c r="F128" s="18"/>
      <c r="G128" s="18"/>
      <c r="H128" s="18"/>
      <c r="I128" s="18"/>
      <c r="J128" s="18"/>
      <c r="K128" s="18"/>
      <c r="L128" s="18"/>
      <c r="M128" s="18"/>
      <c r="N128" s="18"/>
      <c r="O128" s="69"/>
    </row>
    <row r="129" spans="1:15" x14ac:dyDescent="0.3">
      <c r="A129" s="162" t="s">
        <v>2044</v>
      </c>
      <c r="B129" s="153" t="s">
        <v>1985</v>
      </c>
      <c r="C129" s="52"/>
      <c r="D129" s="52"/>
      <c r="E129" s="52"/>
      <c r="F129" s="52"/>
      <c r="G129" s="64"/>
      <c r="H129" s="64"/>
      <c r="I129" s="64"/>
      <c r="J129" s="64"/>
      <c r="K129" s="64"/>
      <c r="L129" s="64"/>
      <c r="M129" s="64"/>
      <c r="N129" s="64"/>
      <c r="O129" s="69"/>
    </row>
    <row r="130" spans="1:15" x14ac:dyDescent="0.3">
      <c r="A130" s="162"/>
      <c r="B130" s="153"/>
      <c r="C130" s="18"/>
      <c r="D130" s="18"/>
      <c r="E130" s="18"/>
      <c r="F130" s="18"/>
      <c r="G130" s="18"/>
      <c r="H130" s="18"/>
      <c r="I130" s="18"/>
      <c r="J130" s="18"/>
      <c r="K130" s="18"/>
      <c r="L130" s="18"/>
      <c r="M130" s="18"/>
      <c r="N130" s="18"/>
      <c r="O130" s="69"/>
    </row>
    <row r="131" spans="1:15" ht="20.399999999999999" x14ac:dyDescent="0.3">
      <c r="A131" s="162"/>
      <c r="B131" s="179" t="s">
        <v>5589</v>
      </c>
      <c r="C131" s="18"/>
      <c r="D131" s="18"/>
      <c r="E131" s="18"/>
      <c r="F131" s="18"/>
      <c r="G131" s="18"/>
      <c r="H131" s="18"/>
      <c r="I131" s="18"/>
      <c r="J131" s="18"/>
      <c r="K131" s="18"/>
      <c r="L131" s="18"/>
      <c r="M131" s="18"/>
      <c r="N131" s="18"/>
      <c r="O131" s="69"/>
    </row>
    <row r="132" spans="1:15" x14ac:dyDescent="0.3">
      <c r="A132" s="162"/>
      <c r="B132" s="182"/>
      <c r="C132" s="18"/>
      <c r="D132" s="18"/>
      <c r="E132" s="18"/>
      <c r="F132" s="18"/>
      <c r="G132" s="18"/>
      <c r="H132" s="18"/>
      <c r="I132" s="18"/>
      <c r="J132" s="18"/>
      <c r="K132" s="18"/>
      <c r="L132" s="18"/>
      <c r="M132" s="18"/>
      <c r="N132" s="18"/>
      <c r="O132" s="69"/>
    </row>
    <row r="133" spans="1:15" x14ac:dyDescent="0.3">
      <c r="A133" s="162" t="s">
        <v>2045</v>
      </c>
      <c r="B133" s="153" t="s">
        <v>1985</v>
      </c>
      <c r="C133" s="52"/>
      <c r="D133" s="52"/>
      <c r="E133" s="52"/>
      <c r="F133" s="52"/>
      <c r="G133" s="64"/>
      <c r="H133" s="64"/>
      <c r="I133" s="64"/>
      <c r="J133" s="64"/>
      <c r="K133" s="64"/>
      <c r="L133" s="64"/>
      <c r="M133" s="64"/>
      <c r="N133" s="64"/>
      <c r="O133" s="69"/>
    </row>
    <row r="134" spans="1:15" x14ac:dyDescent="0.3">
      <c r="A134" s="162"/>
      <c r="B134" s="153"/>
      <c r="C134" s="18"/>
      <c r="D134" s="18"/>
      <c r="E134" s="18"/>
      <c r="F134" s="18"/>
      <c r="G134" s="18"/>
      <c r="H134" s="18"/>
      <c r="I134" s="18"/>
      <c r="J134" s="18"/>
      <c r="K134" s="18"/>
      <c r="L134" s="18"/>
      <c r="M134" s="18"/>
      <c r="N134" s="18"/>
      <c r="O134" s="69"/>
    </row>
    <row r="135" spans="1:15" ht="30.6" x14ac:dyDescent="0.3">
      <c r="A135" s="162"/>
      <c r="B135" s="179" t="s">
        <v>1996</v>
      </c>
      <c r="C135" s="18"/>
      <c r="D135" s="18"/>
      <c r="E135" s="18"/>
      <c r="F135" s="18"/>
      <c r="G135" s="18"/>
      <c r="H135" s="18"/>
      <c r="I135" s="18"/>
      <c r="J135" s="18"/>
      <c r="K135" s="18"/>
      <c r="L135" s="18"/>
      <c r="M135" s="18"/>
      <c r="N135" s="18"/>
      <c r="O135" s="69"/>
    </row>
    <row r="136" spans="1:15" x14ac:dyDescent="0.3">
      <c r="A136" s="162"/>
      <c r="B136" s="153"/>
      <c r="C136" s="18"/>
      <c r="D136" s="18"/>
      <c r="E136" s="18"/>
      <c r="F136" s="18"/>
      <c r="G136" s="18"/>
      <c r="H136" s="18"/>
      <c r="I136" s="18"/>
      <c r="J136" s="18"/>
      <c r="K136" s="18"/>
      <c r="L136" s="18"/>
      <c r="M136" s="18"/>
      <c r="N136" s="18"/>
      <c r="O136" s="69"/>
    </row>
    <row r="137" spans="1:15" x14ac:dyDescent="0.3">
      <c r="A137" s="162" t="s">
        <v>2046</v>
      </c>
      <c r="B137" s="153" t="s">
        <v>2047</v>
      </c>
      <c r="C137" s="52"/>
      <c r="D137" s="52"/>
      <c r="E137" s="52"/>
      <c r="F137" s="52"/>
      <c r="G137" s="64"/>
      <c r="H137" s="64"/>
      <c r="I137" s="64"/>
      <c r="J137" s="64"/>
      <c r="K137" s="64"/>
      <c r="L137" s="64"/>
      <c r="M137" s="64"/>
      <c r="N137" s="64"/>
      <c r="O137" s="69"/>
    </row>
    <row r="138" spans="1:15" x14ac:dyDescent="0.3">
      <c r="A138" s="162"/>
      <c r="B138" s="153"/>
      <c r="C138" s="18"/>
      <c r="D138" s="18"/>
      <c r="E138" s="18"/>
      <c r="F138" s="18"/>
      <c r="G138" s="18"/>
      <c r="H138" s="18"/>
      <c r="I138" s="18"/>
      <c r="J138" s="18"/>
      <c r="K138" s="18"/>
      <c r="L138" s="18"/>
      <c r="M138" s="18"/>
      <c r="N138" s="18"/>
      <c r="O138" s="69"/>
    </row>
    <row r="139" spans="1:15" ht="20.399999999999999" x14ac:dyDescent="0.3">
      <c r="A139" s="162"/>
      <c r="B139" s="179" t="s">
        <v>5590</v>
      </c>
      <c r="C139" s="18"/>
      <c r="D139" s="18"/>
      <c r="E139" s="18"/>
      <c r="F139" s="18"/>
      <c r="G139" s="18"/>
      <c r="H139" s="18"/>
      <c r="I139" s="18"/>
      <c r="J139" s="18"/>
      <c r="K139" s="18"/>
      <c r="L139" s="18"/>
      <c r="M139" s="18"/>
      <c r="N139" s="18"/>
      <c r="O139" s="69"/>
    </row>
    <row r="140" spans="1:15" x14ac:dyDescent="0.3">
      <c r="A140" s="163"/>
      <c r="B140" s="160"/>
      <c r="C140" s="18"/>
      <c r="D140" s="18"/>
      <c r="E140" s="18"/>
      <c r="F140" s="18"/>
      <c r="G140" s="18"/>
      <c r="H140" s="18"/>
      <c r="I140" s="18"/>
      <c r="J140" s="18"/>
      <c r="K140" s="18"/>
      <c r="L140" s="18"/>
      <c r="M140" s="18"/>
      <c r="N140" s="18"/>
      <c r="O140" s="69"/>
    </row>
    <row r="141" spans="1:15" x14ac:dyDescent="0.3">
      <c r="A141" s="162" t="s">
        <v>2048</v>
      </c>
      <c r="B141" s="153" t="s">
        <v>1985</v>
      </c>
      <c r="C141" s="52"/>
      <c r="D141" s="52"/>
      <c r="E141" s="52"/>
      <c r="F141" s="52"/>
      <c r="G141" s="64"/>
      <c r="H141" s="64"/>
      <c r="I141" s="64"/>
      <c r="J141" s="64"/>
      <c r="K141" s="64"/>
      <c r="L141" s="64"/>
      <c r="M141" s="64"/>
      <c r="N141" s="64"/>
      <c r="O141" s="69"/>
    </row>
    <row r="142" spans="1:15" x14ac:dyDescent="0.3">
      <c r="A142" s="162"/>
      <c r="B142" s="153"/>
      <c r="C142" s="18"/>
      <c r="D142" s="18"/>
      <c r="E142" s="18"/>
      <c r="F142" s="18"/>
      <c r="G142" s="18"/>
      <c r="H142" s="18"/>
      <c r="I142" s="18"/>
      <c r="J142" s="18"/>
      <c r="K142" s="18"/>
      <c r="L142" s="18"/>
      <c r="M142" s="18"/>
      <c r="N142" s="18"/>
      <c r="O142" s="69"/>
    </row>
    <row r="143" spans="1:15" ht="20.399999999999999" x14ac:dyDescent="0.3">
      <c r="A143" s="162"/>
      <c r="B143" s="179" t="s">
        <v>5591</v>
      </c>
      <c r="C143" s="18"/>
      <c r="D143" s="18"/>
      <c r="E143" s="18"/>
      <c r="F143" s="18"/>
      <c r="G143" s="18"/>
      <c r="H143" s="18"/>
      <c r="I143" s="18"/>
      <c r="J143" s="18"/>
      <c r="K143" s="18"/>
      <c r="L143" s="18"/>
      <c r="M143" s="18"/>
      <c r="N143" s="18"/>
      <c r="O143" s="69"/>
    </row>
    <row r="144" spans="1:15" x14ac:dyDescent="0.3">
      <c r="A144" s="162"/>
      <c r="B144" s="153"/>
      <c r="C144" s="18"/>
      <c r="D144" s="18"/>
      <c r="E144" s="18"/>
      <c r="F144" s="18"/>
      <c r="G144" s="18"/>
      <c r="H144" s="18"/>
      <c r="I144" s="18"/>
      <c r="J144" s="18"/>
      <c r="K144" s="18"/>
      <c r="L144" s="18"/>
      <c r="M144" s="18"/>
      <c r="N144" s="18"/>
      <c r="O144" s="69"/>
    </row>
    <row r="145" spans="1:15" x14ac:dyDescent="0.3">
      <c r="A145" s="162" t="s">
        <v>2049</v>
      </c>
      <c r="B145" s="153" t="s">
        <v>1985</v>
      </c>
      <c r="C145" s="52"/>
      <c r="D145" s="52"/>
      <c r="E145" s="52"/>
      <c r="F145" s="52"/>
      <c r="G145" s="64"/>
      <c r="H145" s="64"/>
      <c r="I145" s="64"/>
      <c r="J145" s="64"/>
      <c r="K145" s="64"/>
      <c r="L145" s="64"/>
      <c r="M145" s="64"/>
      <c r="N145" s="64"/>
      <c r="O145" s="69"/>
    </row>
    <row r="146" spans="1:15" x14ac:dyDescent="0.3">
      <c r="A146" s="162"/>
      <c r="B146" s="153"/>
      <c r="C146" s="18"/>
      <c r="D146" s="18"/>
      <c r="E146" s="18"/>
      <c r="F146" s="18"/>
      <c r="G146" s="18"/>
      <c r="H146" s="18"/>
      <c r="I146" s="18"/>
      <c r="J146" s="18"/>
      <c r="K146" s="18"/>
      <c r="L146" s="18"/>
      <c r="M146" s="18"/>
      <c r="N146" s="18"/>
      <c r="O146" s="69"/>
    </row>
    <row r="147" spans="1:15" ht="20.399999999999999" x14ac:dyDescent="0.3">
      <c r="A147" s="162"/>
      <c r="B147" s="179" t="s">
        <v>5592</v>
      </c>
      <c r="C147" s="18"/>
      <c r="D147" s="18"/>
      <c r="E147" s="18"/>
      <c r="F147" s="18"/>
      <c r="G147" s="18"/>
      <c r="H147" s="18"/>
      <c r="I147" s="18"/>
      <c r="J147" s="18"/>
      <c r="K147" s="18"/>
      <c r="L147" s="18"/>
      <c r="M147" s="18"/>
      <c r="N147" s="18"/>
      <c r="O147" s="69"/>
    </row>
    <row r="148" spans="1:15" x14ac:dyDescent="0.3">
      <c r="A148" s="163"/>
      <c r="B148" s="160"/>
      <c r="C148" s="18"/>
      <c r="D148" s="18"/>
      <c r="E148" s="18"/>
      <c r="F148" s="18"/>
      <c r="G148" s="18"/>
      <c r="H148" s="18"/>
      <c r="I148" s="18"/>
      <c r="J148" s="18"/>
      <c r="K148" s="18"/>
      <c r="L148" s="18"/>
      <c r="M148" s="18"/>
      <c r="N148" s="18"/>
      <c r="O148" s="69"/>
    </row>
    <row r="149" spans="1:15" x14ac:dyDescent="0.3">
      <c r="A149" s="162" t="s">
        <v>2050</v>
      </c>
      <c r="B149" s="153" t="s">
        <v>1985</v>
      </c>
      <c r="C149" s="52"/>
      <c r="D149" s="52"/>
      <c r="E149" s="52"/>
      <c r="F149" s="52"/>
      <c r="G149" s="64"/>
      <c r="H149" s="64"/>
      <c r="I149" s="64"/>
      <c r="J149" s="64"/>
      <c r="K149" s="64"/>
      <c r="L149" s="64"/>
      <c r="M149" s="64"/>
      <c r="N149" s="64"/>
      <c r="O149" s="69"/>
    </row>
    <row r="150" spans="1:15" x14ac:dyDescent="0.3">
      <c r="A150" s="162"/>
      <c r="B150" s="153"/>
      <c r="C150" s="18"/>
      <c r="D150" s="18"/>
      <c r="E150" s="18"/>
      <c r="F150" s="18"/>
      <c r="G150" s="18"/>
      <c r="H150" s="18"/>
      <c r="I150" s="18"/>
      <c r="J150" s="18"/>
      <c r="K150" s="18"/>
      <c r="L150" s="18"/>
      <c r="M150" s="18"/>
      <c r="N150" s="18"/>
      <c r="O150" s="69"/>
    </row>
    <row r="151" spans="1:15" ht="20.399999999999999" x14ac:dyDescent="0.3">
      <c r="A151" s="162"/>
      <c r="B151" s="179" t="s">
        <v>5593</v>
      </c>
      <c r="C151" s="18"/>
      <c r="D151" s="18"/>
      <c r="E151" s="18"/>
      <c r="F151" s="18"/>
      <c r="G151" s="18"/>
      <c r="H151" s="18"/>
      <c r="I151" s="18"/>
      <c r="J151" s="18"/>
      <c r="K151" s="18"/>
      <c r="L151" s="18"/>
      <c r="M151" s="18"/>
      <c r="N151" s="18"/>
      <c r="O151" s="69"/>
    </row>
    <row r="152" spans="1:15" x14ac:dyDescent="0.3">
      <c r="A152" s="163"/>
      <c r="B152" s="160"/>
      <c r="C152" s="18"/>
      <c r="D152" s="18"/>
      <c r="E152" s="18"/>
      <c r="F152" s="18"/>
      <c r="G152" s="18"/>
      <c r="H152" s="18"/>
      <c r="I152" s="18"/>
      <c r="J152" s="18"/>
      <c r="K152" s="18"/>
      <c r="L152" s="18"/>
      <c r="M152" s="18"/>
      <c r="N152" s="18"/>
      <c r="O152" s="69"/>
    </row>
    <row r="153" spans="1:15" x14ac:dyDescent="0.3">
      <c r="A153" s="162" t="s">
        <v>2051</v>
      </c>
      <c r="B153" s="153" t="s">
        <v>1985</v>
      </c>
      <c r="C153" s="52"/>
      <c r="D153" s="52"/>
      <c r="E153" s="52"/>
      <c r="F153" s="52"/>
      <c r="G153" s="64"/>
      <c r="H153" s="64"/>
      <c r="I153" s="64"/>
      <c r="J153" s="64"/>
      <c r="K153" s="64"/>
      <c r="L153" s="64"/>
      <c r="M153" s="64"/>
      <c r="N153" s="64"/>
      <c r="O153" s="69"/>
    </row>
    <row r="154" spans="1:15" x14ac:dyDescent="0.3">
      <c r="A154" s="162"/>
      <c r="B154" s="153"/>
      <c r="C154" s="18"/>
      <c r="D154" s="18"/>
      <c r="E154" s="18"/>
      <c r="F154" s="18"/>
      <c r="G154" s="18"/>
      <c r="H154" s="18"/>
      <c r="I154" s="18"/>
      <c r="J154" s="18"/>
      <c r="K154" s="18"/>
      <c r="L154" s="18"/>
      <c r="M154" s="18"/>
      <c r="N154" s="18"/>
      <c r="O154" s="69"/>
    </row>
    <row r="155" spans="1:15" x14ac:dyDescent="0.3">
      <c r="A155" s="162"/>
      <c r="B155" s="179" t="s">
        <v>784</v>
      </c>
      <c r="C155" s="18"/>
      <c r="D155" s="18"/>
      <c r="E155" s="18"/>
      <c r="F155" s="18"/>
      <c r="G155" s="18"/>
      <c r="H155" s="18"/>
      <c r="I155" s="18"/>
      <c r="J155" s="18"/>
      <c r="K155" s="18"/>
      <c r="L155" s="18"/>
      <c r="M155" s="18"/>
      <c r="N155" s="18"/>
      <c r="O155" s="69"/>
    </row>
    <row r="156" spans="1:15" x14ac:dyDescent="0.3">
      <c r="A156" s="162"/>
      <c r="B156" s="153"/>
      <c r="C156" s="18"/>
      <c r="D156" s="18"/>
      <c r="E156" s="18"/>
      <c r="F156" s="18"/>
      <c r="G156" s="18"/>
      <c r="H156" s="18"/>
      <c r="I156" s="18"/>
      <c r="J156" s="18"/>
      <c r="K156" s="18"/>
      <c r="L156" s="18"/>
      <c r="M156" s="18"/>
      <c r="N156" s="18"/>
      <c r="O156" s="69"/>
    </row>
    <row r="157" spans="1:15" x14ac:dyDescent="0.3">
      <c r="A157" s="162" t="s">
        <v>2052</v>
      </c>
      <c r="B157" s="153" t="s">
        <v>1985</v>
      </c>
      <c r="C157" s="52"/>
      <c r="D157" s="52"/>
      <c r="E157" s="52"/>
      <c r="F157" s="52"/>
      <c r="G157" s="64"/>
      <c r="H157" s="64"/>
      <c r="I157" s="64"/>
      <c r="J157" s="64"/>
      <c r="K157" s="64"/>
      <c r="L157" s="64"/>
      <c r="M157" s="64"/>
      <c r="N157" s="64"/>
      <c r="O157" s="69"/>
    </row>
    <row r="158" spans="1:15" x14ac:dyDescent="0.3">
      <c r="A158" s="162"/>
      <c r="B158" s="153"/>
      <c r="C158" s="18"/>
      <c r="D158" s="18"/>
      <c r="E158" s="18"/>
      <c r="F158" s="18"/>
      <c r="G158" s="18"/>
      <c r="H158" s="18"/>
      <c r="I158" s="18"/>
      <c r="J158" s="18"/>
      <c r="K158" s="18"/>
      <c r="L158" s="18"/>
      <c r="M158" s="18"/>
      <c r="N158" s="18"/>
      <c r="O158" s="69"/>
    </row>
    <row r="159" spans="1:15" ht="20.399999999999999" x14ac:dyDescent="0.3">
      <c r="A159" s="162"/>
      <c r="B159" s="179" t="s">
        <v>2015</v>
      </c>
      <c r="C159" s="18"/>
      <c r="D159" s="18"/>
      <c r="E159" s="18"/>
      <c r="F159" s="18"/>
      <c r="G159" s="18"/>
      <c r="H159" s="18"/>
      <c r="I159" s="18"/>
      <c r="J159" s="18"/>
      <c r="K159" s="18"/>
      <c r="L159" s="18"/>
      <c r="M159" s="18"/>
      <c r="N159" s="18"/>
      <c r="O159" s="69"/>
    </row>
    <row r="160" spans="1:15" x14ac:dyDescent="0.3">
      <c r="A160" s="163"/>
      <c r="B160" s="160"/>
      <c r="C160" s="18"/>
      <c r="D160" s="18"/>
      <c r="E160" s="18"/>
      <c r="F160" s="18"/>
      <c r="G160" s="18"/>
      <c r="H160" s="18"/>
      <c r="I160" s="18"/>
      <c r="J160" s="18"/>
      <c r="K160" s="18"/>
      <c r="L160" s="18"/>
      <c r="M160" s="18"/>
      <c r="N160" s="18"/>
      <c r="O160" s="69"/>
    </row>
    <row r="161" spans="1:15" x14ac:dyDescent="0.3">
      <c r="A161" s="162" t="s">
        <v>2053</v>
      </c>
      <c r="B161" s="153" t="s">
        <v>1985</v>
      </c>
      <c r="C161" s="52"/>
      <c r="D161" s="52"/>
      <c r="E161" s="52"/>
      <c r="F161" s="52"/>
      <c r="G161" s="64"/>
      <c r="H161" s="64"/>
      <c r="I161" s="64"/>
      <c r="J161" s="64"/>
      <c r="K161" s="64"/>
      <c r="L161" s="64"/>
      <c r="M161" s="64"/>
      <c r="N161" s="64"/>
      <c r="O161" s="69"/>
    </row>
    <row r="162" spans="1:15" x14ac:dyDescent="0.3">
      <c r="A162" s="162"/>
      <c r="B162" s="153"/>
      <c r="C162" s="18"/>
      <c r="D162" s="18"/>
      <c r="E162" s="18"/>
      <c r="F162" s="18"/>
      <c r="G162" s="18"/>
      <c r="H162" s="18"/>
      <c r="I162" s="18"/>
      <c r="J162" s="18"/>
      <c r="K162" s="18"/>
      <c r="L162" s="18"/>
      <c r="M162" s="18"/>
      <c r="N162" s="18"/>
      <c r="O162" s="69"/>
    </row>
    <row r="163" spans="1:15" ht="30.6" x14ac:dyDescent="0.3">
      <c r="A163" s="162"/>
      <c r="B163" s="179" t="s">
        <v>2017</v>
      </c>
      <c r="C163" s="18"/>
      <c r="D163" s="18"/>
      <c r="E163" s="18"/>
      <c r="F163" s="18"/>
      <c r="G163" s="18"/>
      <c r="H163" s="18"/>
      <c r="I163" s="18"/>
      <c r="J163" s="18"/>
      <c r="K163" s="18"/>
      <c r="L163" s="18"/>
      <c r="M163" s="18"/>
      <c r="N163" s="18"/>
      <c r="O163" s="69"/>
    </row>
    <row r="164" spans="1:15" x14ac:dyDescent="0.3">
      <c r="A164" s="162"/>
      <c r="B164" s="153"/>
      <c r="C164" s="18"/>
      <c r="D164" s="18"/>
      <c r="E164" s="18"/>
      <c r="F164" s="18"/>
      <c r="G164" s="18"/>
      <c r="H164" s="18"/>
      <c r="I164" s="18"/>
      <c r="J164" s="18"/>
      <c r="K164" s="18"/>
      <c r="L164" s="18"/>
      <c r="M164" s="18"/>
      <c r="N164" s="18"/>
      <c r="O164" s="69"/>
    </row>
    <row r="165" spans="1:15" x14ac:dyDescent="0.3">
      <c r="A165" s="162" t="s">
        <v>2054</v>
      </c>
      <c r="B165" s="153" t="s">
        <v>2019</v>
      </c>
      <c r="C165" s="52"/>
      <c r="D165" s="52"/>
      <c r="E165" s="52"/>
      <c r="F165" s="52"/>
      <c r="G165" s="64"/>
      <c r="H165" s="64"/>
      <c r="I165" s="64"/>
      <c r="J165" s="64"/>
      <c r="K165" s="64"/>
      <c r="L165" s="64"/>
      <c r="M165" s="64"/>
      <c r="N165" s="64"/>
      <c r="O165" s="69"/>
    </row>
    <row r="166" spans="1:15" x14ac:dyDescent="0.3">
      <c r="A166" s="162"/>
      <c r="B166" s="153"/>
      <c r="C166" s="18"/>
      <c r="D166" s="18"/>
      <c r="E166" s="18"/>
      <c r="F166" s="18"/>
      <c r="G166" s="18"/>
      <c r="H166" s="18"/>
      <c r="I166" s="18"/>
      <c r="J166" s="18"/>
      <c r="K166" s="18"/>
      <c r="L166" s="18"/>
      <c r="M166" s="18"/>
      <c r="N166" s="18"/>
      <c r="O166" s="69"/>
    </row>
    <row r="167" spans="1:15" x14ac:dyDescent="0.3">
      <c r="A167" s="162"/>
      <c r="B167" s="179" t="s">
        <v>1798</v>
      </c>
      <c r="C167" s="18"/>
      <c r="D167" s="18"/>
      <c r="E167" s="18"/>
      <c r="F167" s="18"/>
      <c r="G167" s="18"/>
      <c r="H167" s="18"/>
      <c r="I167" s="18"/>
      <c r="J167" s="18"/>
      <c r="K167" s="18"/>
      <c r="L167" s="18"/>
      <c r="M167" s="18"/>
      <c r="N167" s="18"/>
      <c r="O167" s="69"/>
    </row>
    <row r="168" spans="1:15" x14ac:dyDescent="0.3">
      <c r="A168" s="162"/>
      <c r="B168" s="153"/>
      <c r="C168" s="18"/>
      <c r="D168" s="18"/>
      <c r="E168" s="18"/>
      <c r="F168" s="18"/>
      <c r="G168" s="18"/>
      <c r="H168" s="18"/>
      <c r="I168" s="18"/>
      <c r="J168" s="18"/>
      <c r="K168" s="18"/>
      <c r="L168" s="18"/>
      <c r="M168" s="18"/>
      <c r="N168" s="18"/>
      <c r="O168" s="69"/>
    </row>
    <row r="169" spans="1:15" x14ac:dyDescent="0.3">
      <c r="A169" s="162" t="s">
        <v>2055</v>
      </c>
      <c r="B169" s="153" t="s">
        <v>2019</v>
      </c>
      <c r="C169" s="52"/>
      <c r="D169" s="52"/>
      <c r="E169" s="52"/>
      <c r="F169" s="52"/>
      <c r="G169" s="64"/>
      <c r="H169" s="64"/>
      <c r="I169" s="64"/>
      <c r="J169" s="64"/>
      <c r="K169" s="64"/>
      <c r="L169" s="64"/>
      <c r="M169" s="64"/>
      <c r="N169" s="64"/>
      <c r="O169" s="69"/>
    </row>
    <row r="170" spans="1:15" x14ac:dyDescent="0.3">
      <c r="A170" s="162"/>
      <c r="B170" s="153"/>
      <c r="C170" s="18"/>
      <c r="D170" s="18"/>
      <c r="E170" s="18"/>
      <c r="F170" s="18"/>
      <c r="G170" s="18"/>
      <c r="H170" s="18"/>
      <c r="I170" s="18"/>
      <c r="J170" s="18"/>
      <c r="K170" s="18"/>
      <c r="L170" s="18"/>
      <c r="M170" s="18"/>
      <c r="N170" s="18"/>
      <c r="O170" s="69"/>
    </row>
    <row r="171" spans="1:15" x14ac:dyDescent="0.3">
      <c r="A171" s="162"/>
      <c r="B171" s="179" t="s">
        <v>786</v>
      </c>
      <c r="C171" s="18"/>
      <c r="D171" s="18"/>
      <c r="E171" s="18"/>
      <c r="F171" s="18"/>
      <c r="G171" s="18"/>
      <c r="H171" s="18"/>
      <c r="I171" s="18"/>
      <c r="J171" s="18"/>
      <c r="K171" s="18"/>
      <c r="L171" s="18"/>
      <c r="M171" s="18"/>
      <c r="N171" s="18"/>
      <c r="O171" s="69"/>
    </row>
    <row r="172" spans="1:15" x14ac:dyDescent="0.3">
      <c r="A172" s="162"/>
      <c r="B172" s="153"/>
      <c r="C172" s="18"/>
      <c r="D172" s="18"/>
      <c r="E172" s="18"/>
      <c r="F172" s="18"/>
      <c r="G172" s="18"/>
      <c r="H172" s="18"/>
      <c r="I172" s="18"/>
      <c r="J172" s="18"/>
      <c r="K172" s="18"/>
      <c r="L172" s="18"/>
      <c r="M172" s="18"/>
      <c r="N172" s="18"/>
      <c r="O172" s="69"/>
    </row>
    <row r="173" spans="1:15" x14ac:dyDescent="0.3">
      <c r="A173" s="162" t="s">
        <v>2056</v>
      </c>
      <c r="B173" s="153" t="s">
        <v>1985</v>
      </c>
      <c r="C173" s="52"/>
      <c r="D173" s="52"/>
      <c r="E173" s="52"/>
      <c r="F173" s="52"/>
      <c r="G173" s="64"/>
      <c r="H173" s="64"/>
      <c r="I173" s="64"/>
      <c r="J173" s="64"/>
      <c r="K173" s="64"/>
      <c r="L173" s="64"/>
      <c r="M173" s="64"/>
      <c r="N173" s="64"/>
      <c r="O173" s="69"/>
    </row>
    <row r="174" spans="1:15" x14ac:dyDescent="0.3">
      <c r="A174" s="162"/>
      <c r="B174" s="153"/>
      <c r="C174" s="18"/>
      <c r="D174" s="18"/>
      <c r="E174" s="18"/>
      <c r="F174" s="18"/>
      <c r="G174" s="18"/>
      <c r="H174" s="18"/>
      <c r="I174" s="18"/>
      <c r="J174" s="18"/>
      <c r="K174" s="18"/>
      <c r="L174" s="18"/>
      <c r="M174" s="18"/>
      <c r="N174" s="18"/>
      <c r="O174" s="69"/>
    </row>
    <row r="175" spans="1:15" x14ac:dyDescent="0.3">
      <c r="A175" s="162"/>
      <c r="B175" s="179" t="s">
        <v>2057</v>
      </c>
      <c r="C175" s="18"/>
      <c r="D175" s="18"/>
      <c r="E175" s="18"/>
      <c r="F175" s="18"/>
      <c r="G175" s="18"/>
      <c r="H175" s="18"/>
      <c r="I175" s="18"/>
      <c r="J175" s="18"/>
      <c r="K175" s="18"/>
      <c r="L175" s="18"/>
      <c r="M175" s="18"/>
      <c r="N175" s="18"/>
      <c r="O175" s="69"/>
    </row>
    <row r="176" spans="1:15" x14ac:dyDescent="0.3">
      <c r="A176" s="162"/>
      <c r="B176" s="153"/>
      <c r="C176" s="18"/>
      <c r="D176" s="18"/>
      <c r="E176" s="18"/>
      <c r="F176" s="18"/>
      <c r="G176" s="18"/>
      <c r="H176" s="18"/>
      <c r="I176" s="18"/>
      <c r="J176" s="18"/>
      <c r="K176" s="18"/>
      <c r="L176" s="18"/>
      <c r="M176" s="18"/>
      <c r="N176" s="18"/>
      <c r="O176" s="69"/>
    </row>
    <row r="177" spans="1:15" x14ac:dyDescent="0.3">
      <c r="A177" s="162" t="s">
        <v>2058</v>
      </c>
      <c r="B177" s="153" t="s">
        <v>5733</v>
      </c>
      <c r="C177" s="52"/>
      <c r="D177" s="52"/>
      <c r="E177" s="52"/>
      <c r="F177" s="52"/>
      <c r="G177" s="64"/>
      <c r="H177" s="64"/>
      <c r="I177" s="64"/>
      <c r="J177" s="64"/>
      <c r="K177" s="64"/>
      <c r="L177" s="64"/>
      <c r="M177" s="64"/>
      <c r="N177" s="64"/>
      <c r="O177" s="69"/>
    </row>
    <row r="178" spans="1:15" x14ac:dyDescent="0.3">
      <c r="A178" s="162"/>
      <c r="B178" s="153"/>
      <c r="C178" s="18"/>
      <c r="D178" s="18"/>
      <c r="E178" s="18"/>
      <c r="F178" s="18"/>
      <c r="G178" s="18"/>
      <c r="H178" s="18"/>
      <c r="I178" s="18"/>
      <c r="J178" s="18"/>
      <c r="K178" s="18"/>
      <c r="L178" s="18"/>
      <c r="M178" s="18"/>
      <c r="N178" s="18"/>
      <c r="O178" s="69"/>
    </row>
    <row r="179" spans="1:15" x14ac:dyDescent="0.3">
      <c r="A179" s="162"/>
      <c r="B179" s="179" t="s">
        <v>2033</v>
      </c>
      <c r="C179" s="18"/>
      <c r="D179" s="18"/>
      <c r="E179" s="18"/>
      <c r="F179" s="18"/>
      <c r="G179" s="18"/>
      <c r="H179" s="18"/>
      <c r="I179" s="18"/>
      <c r="J179" s="18"/>
      <c r="K179" s="18"/>
      <c r="L179" s="18"/>
      <c r="M179" s="18"/>
      <c r="N179" s="18"/>
      <c r="O179" s="69"/>
    </row>
    <row r="180" spans="1:15" x14ac:dyDescent="0.3">
      <c r="A180" s="162"/>
      <c r="B180" s="153"/>
      <c r="C180" s="18"/>
      <c r="D180" s="18"/>
      <c r="E180" s="18"/>
      <c r="F180" s="18"/>
      <c r="G180" s="18"/>
      <c r="H180" s="18"/>
      <c r="I180" s="18"/>
      <c r="J180" s="18"/>
      <c r="K180" s="18"/>
      <c r="L180" s="18"/>
      <c r="M180" s="18"/>
      <c r="N180" s="18"/>
      <c r="O180" s="69"/>
    </row>
    <row r="181" spans="1:15" ht="20.399999999999999" x14ac:dyDescent="0.3">
      <c r="A181" s="162" t="s">
        <v>2059</v>
      </c>
      <c r="B181" s="153" t="s">
        <v>2035</v>
      </c>
      <c r="C181" s="52"/>
      <c r="D181" s="52"/>
      <c r="E181" s="52"/>
      <c r="F181" s="52"/>
      <c r="G181" s="64"/>
      <c r="H181" s="64"/>
      <c r="I181" s="64"/>
      <c r="J181" s="64"/>
      <c r="K181" s="64"/>
      <c r="L181" s="64"/>
      <c r="M181" s="64"/>
      <c r="N181" s="64"/>
      <c r="O181" s="69"/>
    </row>
    <row r="182" spans="1:15" x14ac:dyDescent="0.3">
      <c r="A182" s="162"/>
      <c r="B182" s="153"/>
      <c r="C182" s="18"/>
      <c r="D182" s="18"/>
      <c r="E182" s="18"/>
      <c r="F182" s="18"/>
      <c r="G182" s="18"/>
      <c r="H182" s="18"/>
      <c r="I182" s="18"/>
      <c r="J182" s="18"/>
      <c r="K182" s="18"/>
      <c r="L182" s="18"/>
      <c r="M182" s="18"/>
      <c r="N182" s="18"/>
      <c r="O182" s="69"/>
    </row>
    <row r="183" spans="1:15" x14ac:dyDescent="0.3">
      <c r="A183" s="162" t="s">
        <v>2060</v>
      </c>
      <c r="B183" s="153" t="s">
        <v>905</v>
      </c>
      <c r="C183" s="54">
        <f>C9+C10+C15+C19+C23+C27+C31+C35+C39+C43+C47+C51+C55+C61+C65+C69+C73+C77+C81+C85+C89+C93+C97+C101+C105+C106+C107+C108+C109+C113+C117+C121+C125+C129+C133+C137+C141+C145+C149+C153+C157+C161+C165+C169+C173+C177+C181</f>
        <v>0</v>
      </c>
      <c r="D183" s="54">
        <f>D9+D10+D15+D19+D23+D27+D31+D35+D39+D43+D47+D51+D55+D61+D65+D69+D73+D77+D81+D85+D89+D93+D97+D101+D105+D106+D107+D108+D109+D113+D117+D121+D125+D129+D133+D137+D141+D145+D149+D153+D157+D161+D165+D169+D173+D177+D181</f>
        <v>0</v>
      </c>
      <c r="E183" s="54">
        <f>E9+E10+E15+E19+E23+E27+E31+E35+E39+E43+E47+E51+E55+E61+E65+E69+E73+E77+E81+E85+E89+E93+E97+E101+E105+E106+E107+E108+E109+E113+E117+E121+E125+E129+E133+E137+E141+E145+E149+E153+E157+E161+E165+E169+E173+E177+E181</f>
        <v>0</v>
      </c>
      <c r="F183" s="54">
        <f>F9+F10+F15+F19+F23+F27+F31+F35+F39+F43+F47+F51+F55+F61+F65+F69+F73+F77+F81+F85+F89+F93+F97+F101+F105+F106+F107+F108+F109+F113+F117+F121+F125+F129+F133+F137+F141+F145+F149+F153+F157+F161+F165+F169+F173+F177+F181</f>
        <v>0</v>
      </c>
      <c r="G183" s="18"/>
      <c r="H183" s="18"/>
      <c r="I183" s="18"/>
      <c r="J183" s="18"/>
      <c r="K183" s="18"/>
      <c r="L183" s="18"/>
      <c r="M183" s="18"/>
      <c r="N183" s="18"/>
      <c r="O183" s="69"/>
    </row>
    <row r="184" spans="1:15" ht="8.1" customHeight="1" x14ac:dyDescent="0.3">
      <c r="A184" s="84" t="s">
        <v>0</v>
      </c>
      <c r="B184" s="152"/>
      <c r="C184" s="70"/>
      <c r="D184" s="70"/>
      <c r="E184" s="70"/>
      <c r="F184" s="70"/>
      <c r="G184" s="70"/>
      <c r="H184" s="70"/>
      <c r="I184" s="70"/>
      <c r="J184" s="70"/>
      <c r="K184" s="70"/>
      <c r="L184" s="70"/>
      <c r="M184" s="70"/>
      <c r="N184" s="70"/>
      <c r="O18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9"/>
  <sheetViews>
    <sheetView workbookViewId="0"/>
  </sheetViews>
  <sheetFormatPr defaultColWidth="11.5546875" defaultRowHeight="14.4" x14ac:dyDescent="0.3"/>
  <cols>
    <col min="1" max="1" width="14.33203125" style="107" customWidth="1"/>
    <col min="2" max="2" width="35.6640625" style="107" customWidth="1"/>
    <col min="3" max="21" width="18.6640625" style="107" customWidth="1"/>
    <col min="22" max="22" width="1.6640625" style="107" customWidth="1"/>
    <col min="23" max="16384" width="11.5546875" style="107"/>
  </cols>
  <sheetData>
    <row r="1" spans="1:22" ht="21.6" x14ac:dyDescent="0.3">
      <c r="A1" s="42" t="s">
        <v>0</v>
      </c>
      <c r="B1" s="41" t="s">
        <v>5608</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69" t="s">
        <v>0</v>
      </c>
    </row>
    <row r="2" spans="1:22" ht="61.2" x14ac:dyDescent="0.3">
      <c r="A2" s="121" t="s">
        <v>5597</v>
      </c>
      <c r="B2" s="121" t="s">
        <v>5598</v>
      </c>
      <c r="C2" s="44" t="s">
        <v>987</v>
      </c>
      <c r="D2" s="44" t="s">
        <v>988</v>
      </c>
      <c r="E2" s="44" t="s">
        <v>989</v>
      </c>
      <c r="F2" s="44" t="s">
        <v>990</v>
      </c>
      <c r="G2" s="44" t="s">
        <v>991</v>
      </c>
      <c r="H2" s="44" t="s">
        <v>992</v>
      </c>
      <c r="I2" s="44" t="s">
        <v>993</v>
      </c>
      <c r="J2" s="44" t="s">
        <v>994</v>
      </c>
      <c r="K2" s="44" t="s">
        <v>995</v>
      </c>
      <c r="L2" s="44" t="s">
        <v>996</v>
      </c>
      <c r="M2" s="44" t="s">
        <v>997</v>
      </c>
      <c r="N2" s="44" t="s">
        <v>998</v>
      </c>
      <c r="O2" s="44" t="s">
        <v>999</v>
      </c>
      <c r="P2" s="45" t="s">
        <v>1000</v>
      </c>
      <c r="Q2" s="45" t="s">
        <v>1001</v>
      </c>
      <c r="R2" s="44" t="s">
        <v>1002</v>
      </c>
      <c r="S2" s="44" t="s">
        <v>1003</v>
      </c>
      <c r="T2" s="44" t="s">
        <v>1004</v>
      </c>
      <c r="U2" s="45" t="s">
        <v>1005</v>
      </c>
      <c r="V2" s="69" t="s">
        <v>0</v>
      </c>
    </row>
    <row r="3" spans="1:22" x14ac:dyDescent="0.3">
      <c r="A3" s="163"/>
      <c r="B3" s="46" t="s">
        <v>0</v>
      </c>
      <c r="C3" s="47"/>
      <c r="D3" s="47"/>
      <c r="E3" s="47"/>
      <c r="F3" s="47"/>
      <c r="G3" s="47"/>
      <c r="H3" s="47"/>
      <c r="I3" s="47"/>
      <c r="J3" s="47"/>
      <c r="K3" s="47"/>
      <c r="L3" s="47"/>
      <c r="M3" s="47"/>
      <c r="N3" s="47"/>
      <c r="O3" s="47"/>
      <c r="P3" s="47"/>
      <c r="Q3" s="47"/>
      <c r="R3" s="47"/>
      <c r="S3" s="47"/>
      <c r="T3" s="47"/>
      <c r="U3" s="47"/>
      <c r="V3" s="69"/>
    </row>
    <row r="4" spans="1:22" x14ac:dyDescent="0.3">
      <c r="A4" s="163"/>
      <c r="B4" s="51" t="s">
        <v>5626</v>
      </c>
      <c r="C4" s="47"/>
      <c r="D4" s="47"/>
      <c r="E4" s="47"/>
      <c r="F4" s="47"/>
      <c r="G4" s="47"/>
      <c r="H4" s="47"/>
      <c r="I4" s="47"/>
      <c r="J4" s="47"/>
      <c r="K4" s="47"/>
      <c r="L4" s="47"/>
      <c r="M4" s="47"/>
      <c r="N4" s="47"/>
      <c r="O4" s="47"/>
      <c r="P4" s="47"/>
      <c r="Q4" s="47"/>
      <c r="R4" s="47"/>
      <c r="S4" s="47"/>
      <c r="T4" s="47"/>
      <c r="U4" s="47"/>
      <c r="V4" s="69"/>
    </row>
    <row r="5" spans="1:22" x14ac:dyDescent="0.3">
      <c r="A5" s="163"/>
      <c r="B5" s="47" t="s">
        <v>0</v>
      </c>
      <c r="C5" s="47"/>
      <c r="D5" s="47"/>
      <c r="E5" s="47"/>
      <c r="F5" s="47"/>
      <c r="G5" s="47"/>
      <c r="H5" s="47"/>
      <c r="I5" s="47"/>
      <c r="J5" s="47"/>
      <c r="K5" s="47"/>
      <c r="L5" s="47"/>
      <c r="M5" s="47"/>
      <c r="N5" s="47"/>
      <c r="O5" s="47"/>
      <c r="P5" s="47"/>
      <c r="Q5" s="47"/>
      <c r="R5" s="47"/>
      <c r="S5" s="47"/>
      <c r="T5" s="47"/>
      <c r="U5" s="47"/>
      <c r="V5" s="69"/>
    </row>
    <row r="6" spans="1:22" x14ac:dyDescent="0.3">
      <c r="A6" s="186" t="s">
        <v>1006</v>
      </c>
      <c r="B6" s="191" t="s">
        <v>5416</v>
      </c>
      <c r="C6" s="117"/>
      <c r="D6" s="117"/>
      <c r="E6" s="117"/>
      <c r="F6" s="117"/>
      <c r="G6" s="117"/>
      <c r="H6" s="117"/>
      <c r="I6" s="117"/>
      <c r="J6" s="117"/>
      <c r="K6" s="117"/>
      <c r="L6" s="117"/>
      <c r="M6" s="117"/>
      <c r="N6" s="117"/>
      <c r="O6" s="117"/>
      <c r="P6" s="117"/>
      <c r="Q6" s="117"/>
      <c r="R6" s="117"/>
      <c r="S6" s="117"/>
      <c r="T6" s="117"/>
      <c r="U6" s="117">
        <f>ROUND(SUM(C6:T6),0)</f>
        <v>0</v>
      </c>
      <c r="V6" s="69"/>
    </row>
    <row r="7" spans="1:22" x14ac:dyDescent="0.3">
      <c r="A7" s="171"/>
      <c r="B7" s="169"/>
      <c r="C7" s="18"/>
      <c r="D7" s="18"/>
      <c r="E7" s="18"/>
      <c r="F7" s="18"/>
      <c r="G7" s="18"/>
      <c r="H7" s="18"/>
      <c r="I7" s="18"/>
      <c r="J7" s="18"/>
      <c r="K7" s="18"/>
      <c r="L7" s="18"/>
      <c r="M7" s="18"/>
      <c r="N7" s="18"/>
      <c r="O7" s="18"/>
      <c r="P7" s="18"/>
      <c r="Q7" s="18"/>
      <c r="R7" s="18"/>
      <c r="S7" s="18"/>
      <c r="T7" s="18"/>
      <c r="U7" s="18"/>
      <c r="V7" s="69"/>
    </row>
    <row r="8" spans="1:22" ht="30.6" x14ac:dyDescent="0.3">
      <c r="A8" s="171" t="s">
        <v>1007</v>
      </c>
      <c r="B8" s="169" t="s">
        <v>1008</v>
      </c>
      <c r="C8" s="116"/>
      <c r="D8" s="116"/>
      <c r="E8" s="116"/>
      <c r="F8" s="116"/>
      <c r="G8" s="116"/>
      <c r="H8" s="116"/>
      <c r="I8" s="116"/>
      <c r="J8" s="116"/>
      <c r="K8" s="116"/>
      <c r="L8" s="116"/>
      <c r="M8" s="116"/>
      <c r="N8" s="116"/>
      <c r="O8" s="116"/>
      <c r="P8" s="116"/>
      <c r="Q8" s="116"/>
      <c r="R8" s="116"/>
      <c r="S8" s="116"/>
      <c r="T8" s="116"/>
      <c r="U8" s="116">
        <f t="shared" ref="U8:U28" si="0">ROUND(SUM(C8:T8),0)</f>
        <v>0</v>
      </c>
      <c r="V8" s="69"/>
    </row>
    <row r="9" spans="1:22" x14ac:dyDescent="0.3">
      <c r="A9" s="171" t="s">
        <v>1009</v>
      </c>
      <c r="B9" s="169" t="s">
        <v>5417</v>
      </c>
      <c r="C9" s="116"/>
      <c r="D9" s="116"/>
      <c r="E9" s="116"/>
      <c r="F9" s="116"/>
      <c r="G9" s="116"/>
      <c r="H9" s="116"/>
      <c r="I9" s="116"/>
      <c r="J9" s="116"/>
      <c r="K9" s="116"/>
      <c r="L9" s="116"/>
      <c r="M9" s="116"/>
      <c r="N9" s="116"/>
      <c r="O9" s="116"/>
      <c r="P9" s="116"/>
      <c r="Q9" s="116"/>
      <c r="R9" s="116"/>
      <c r="S9" s="116"/>
      <c r="T9" s="116"/>
      <c r="U9" s="116">
        <f t="shared" si="0"/>
        <v>0</v>
      </c>
      <c r="V9" s="69"/>
    </row>
    <row r="10" spans="1:22" ht="20.399999999999999" x14ac:dyDescent="0.3">
      <c r="A10" s="186" t="s">
        <v>1010</v>
      </c>
      <c r="B10" s="191" t="s">
        <v>5418</v>
      </c>
      <c r="C10" s="116"/>
      <c r="D10" s="116"/>
      <c r="E10" s="116"/>
      <c r="F10" s="116"/>
      <c r="G10" s="116"/>
      <c r="H10" s="116">
        <f>-ROUND(H6+H8,0)</f>
        <v>0</v>
      </c>
      <c r="I10" s="116">
        <f>-ROUND(I6+I8,0)</f>
        <v>0</v>
      </c>
      <c r="J10" s="117">
        <f>ROUND(H6+H8+N6+N8+O6+O8,0)</f>
        <v>0</v>
      </c>
      <c r="K10" s="117">
        <f>ROUND(I6+I8+L6+L8+M6+M8,0)</f>
        <v>0</v>
      </c>
      <c r="L10" s="116">
        <f>-ROUND(L6+L8,0)</f>
        <v>0</v>
      </c>
      <c r="M10" s="117">
        <f>-ROUND(M6+M8,0)</f>
        <v>0</v>
      </c>
      <c r="N10" s="116">
        <f>-ROUND(N6+N8,0)</f>
        <v>0</v>
      </c>
      <c r="O10" s="117">
        <f>-ROUND(O6+O8,0)</f>
        <v>0</v>
      </c>
      <c r="P10" s="116"/>
      <c r="Q10" s="116"/>
      <c r="R10" s="116"/>
      <c r="S10" s="116"/>
      <c r="T10" s="116"/>
      <c r="U10" s="116">
        <f t="shared" si="0"/>
        <v>0</v>
      </c>
      <c r="V10" s="69"/>
    </row>
    <row r="11" spans="1:22" x14ac:dyDescent="0.3">
      <c r="A11" s="171" t="s">
        <v>1011</v>
      </c>
      <c r="B11" s="169" t="s">
        <v>1012</v>
      </c>
      <c r="C11" s="116"/>
      <c r="D11" s="116"/>
      <c r="E11" s="116"/>
      <c r="F11" s="116"/>
      <c r="G11" s="116"/>
      <c r="H11" s="116"/>
      <c r="I11" s="116"/>
      <c r="J11" s="117"/>
      <c r="K11" s="117"/>
      <c r="L11" s="116"/>
      <c r="M11" s="117"/>
      <c r="N11" s="116"/>
      <c r="O11" s="117"/>
      <c r="P11" s="116"/>
      <c r="Q11" s="116"/>
      <c r="R11" s="116"/>
      <c r="S11" s="116"/>
      <c r="T11" s="116"/>
      <c r="U11" s="116">
        <f t="shared" si="0"/>
        <v>0</v>
      </c>
      <c r="V11" s="69"/>
    </row>
    <row r="12" spans="1:22" x14ac:dyDescent="0.3">
      <c r="A12" s="171" t="s">
        <v>1013</v>
      </c>
      <c r="B12" s="169" t="s">
        <v>1014</v>
      </c>
      <c r="C12" s="116"/>
      <c r="D12" s="116"/>
      <c r="E12" s="116"/>
      <c r="F12" s="116"/>
      <c r="G12" s="116"/>
      <c r="H12" s="116"/>
      <c r="I12" s="117"/>
      <c r="J12" s="117"/>
      <c r="K12" s="117"/>
      <c r="L12" s="116"/>
      <c r="M12" s="117"/>
      <c r="N12" s="116"/>
      <c r="O12" s="117"/>
      <c r="P12" s="116"/>
      <c r="Q12" s="116"/>
      <c r="R12" s="116"/>
      <c r="S12" s="116"/>
      <c r="T12" s="116"/>
      <c r="U12" s="116">
        <f t="shared" si="0"/>
        <v>0</v>
      </c>
      <c r="V12" s="69"/>
    </row>
    <row r="13" spans="1:22" x14ac:dyDescent="0.3">
      <c r="A13" s="186" t="s">
        <v>1015</v>
      </c>
      <c r="B13" s="191" t="s">
        <v>5419</v>
      </c>
      <c r="C13" s="116"/>
      <c r="D13" s="116"/>
      <c r="E13" s="116"/>
      <c r="F13" s="116"/>
      <c r="G13" s="116"/>
      <c r="H13" s="72">
        <f>'ANEXO 2'!F75</f>
        <v>0</v>
      </c>
      <c r="I13" s="29"/>
      <c r="J13" s="117"/>
      <c r="K13" s="117"/>
      <c r="L13" s="117"/>
      <c r="M13" s="117"/>
      <c r="N13" s="117"/>
      <c r="O13" s="117"/>
      <c r="P13" s="116"/>
      <c r="Q13" s="116"/>
      <c r="R13" s="116"/>
      <c r="S13" s="116"/>
      <c r="T13" s="116"/>
      <c r="U13" s="116">
        <f t="shared" si="0"/>
        <v>0</v>
      </c>
      <c r="V13" s="69"/>
    </row>
    <row r="14" spans="1:22" x14ac:dyDescent="0.3">
      <c r="A14" s="186" t="s">
        <v>1016</v>
      </c>
      <c r="B14" s="191" t="s">
        <v>5420</v>
      </c>
      <c r="C14" s="116"/>
      <c r="D14" s="116"/>
      <c r="E14" s="116"/>
      <c r="F14" s="116"/>
      <c r="G14" s="116"/>
      <c r="H14" s="29"/>
      <c r="I14" s="72">
        <f>-'ANEXO 2'!F74</f>
        <v>0</v>
      </c>
      <c r="J14" s="117"/>
      <c r="K14" s="117"/>
      <c r="L14" s="117"/>
      <c r="M14" s="117"/>
      <c r="N14" s="117"/>
      <c r="O14" s="117"/>
      <c r="P14" s="116"/>
      <c r="Q14" s="116"/>
      <c r="R14" s="116"/>
      <c r="S14" s="116"/>
      <c r="T14" s="116"/>
      <c r="U14" s="116">
        <f t="shared" si="0"/>
        <v>0</v>
      </c>
      <c r="V14" s="69"/>
    </row>
    <row r="15" spans="1:22" ht="20.399999999999999" x14ac:dyDescent="0.3">
      <c r="A15" s="171" t="s">
        <v>1017</v>
      </c>
      <c r="B15" s="169" t="s">
        <v>1018</v>
      </c>
      <c r="C15" s="116"/>
      <c r="D15" s="116"/>
      <c r="E15" s="116"/>
      <c r="F15" s="116"/>
      <c r="G15" s="116"/>
      <c r="H15" s="116"/>
      <c r="I15" s="116"/>
      <c r="J15" s="116"/>
      <c r="K15" s="116"/>
      <c r="L15" s="116"/>
      <c r="M15" s="116"/>
      <c r="N15" s="116"/>
      <c r="O15" s="116"/>
      <c r="P15" s="116"/>
      <c r="Q15" s="116"/>
      <c r="R15" s="116"/>
      <c r="S15" s="116"/>
      <c r="T15" s="116"/>
      <c r="U15" s="116">
        <f t="shared" si="0"/>
        <v>0</v>
      </c>
      <c r="V15" s="69"/>
    </row>
    <row r="16" spans="1:22" x14ac:dyDescent="0.3">
      <c r="A16" s="171" t="s">
        <v>1019</v>
      </c>
      <c r="B16" s="169" t="s">
        <v>1020</v>
      </c>
      <c r="C16" s="116"/>
      <c r="D16" s="116"/>
      <c r="E16" s="116"/>
      <c r="F16" s="116"/>
      <c r="G16" s="116"/>
      <c r="H16" s="116"/>
      <c r="I16" s="116"/>
      <c r="J16" s="116"/>
      <c r="K16" s="116"/>
      <c r="L16" s="116"/>
      <c r="M16" s="116"/>
      <c r="N16" s="116"/>
      <c r="O16" s="116"/>
      <c r="P16" s="116"/>
      <c r="Q16" s="116"/>
      <c r="R16" s="116"/>
      <c r="S16" s="116"/>
      <c r="T16" s="116"/>
      <c r="U16" s="116">
        <f t="shared" si="0"/>
        <v>0</v>
      </c>
      <c r="V16" s="69"/>
    </row>
    <row r="17" spans="1:22" ht="20.399999999999999" x14ac:dyDescent="0.3">
      <c r="A17" s="171" t="s">
        <v>1021</v>
      </c>
      <c r="B17" s="169" t="s">
        <v>1022</v>
      </c>
      <c r="C17" s="116"/>
      <c r="D17" s="116"/>
      <c r="E17" s="116"/>
      <c r="F17" s="116"/>
      <c r="G17" s="116"/>
      <c r="H17" s="116"/>
      <c r="I17" s="116"/>
      <c r="J17" s="116"/>
      <c r="K17" s="116"/>
      <c r="L17" s="116"/>
      <c r="M17" s="116"/>
      <c r="N17" s="116"/>
      <c r="O17" s="116"/>
      <c r="P17" s="116"/>
      <c r="Q17" s="116"/>
      <c r="R17" s="116"/>
      <c r="S17" s="116"/>
      <c r="T17" s="116"/>
      <c r="U17" s="116">
        <f t="shared" si="0"/>
        <v>0</v>
      </c>
      <c r="V17" s="69"/>
    </row>
    <row r="18" spans="1:22" ht="20.399999999999999" x14ac:dyDescent="0.3">
      <c r="A18" s="171" t="s">
        <v>1023</v>
      </c>
      <c r="B18" s="169" t="s">
        <v>1024</v>
      </c>
      <c r="C18" s="116"/>
      <c r="D18" s="116"/>
      <c r="E18" s="116"/>
      <c r="F18" s="116"/>
      <c r="G18" s="116"/>
      <c r="H18" s="116"/>
      <c r="I18" s="116"/>
      <c r="J18" s="116"/>
      <c r="K18" s="116"/>
      <c r="L18" s="116"/>
      <c r="M18" s="116"/>
      <c r="N18" s="116"/>
      <c r="O18" s="116"/>
      <c r="P18" s="116"/>
      <c r="Q18" s="116"/>
      <c r="R18" s="116"/>
      <c r="S18" s="116"/>
      <c r="T18" s="116"/>
      <c r="U18" s="116">
        <f t="shared" si="0"/>
        <v>0</v>
      </c>
      <c r="V18" s="69"/>
    </row>
    <row r="19" spans="1:22" ht="20.399999999999999" x14ac:dyDescent="0.3">
      <c r="A19" s="171" t="s">
        <v>1025</v>
      </c>
      <c r="B19" s="169" t="s">
        <v>5410</v>
      </c>
      <c r="C19" s="116"/>
      <c r="D19" s="116"/>
      <c r="E19" s="116"/>
      <c r="F19" s="116"/>
      <c r="G19" s="116"/>
      <c r="H19" s="116"/>
      <c r="I19" s="116"/>
      <c r="J19" s="116"/>
      <c r="K19" s="116"/>
      <c r="L19" s="116"/>
      <c r="M19" s="116"/>
      <c r="N19" s="193">
        <f>'ANEXO 2'!F81-O19</f>
        <v>0</v>
      </c>
      <c r="O19" s="116"/>
      <c r="P19" s="116"/>
      <c r="Q19" s="116"/>
      <c r="R19" s="116"/>
      <c r="S19" s="116"/>
      <c r="T19" s="116"/>
      <c r="U19" s="116">
        <f t="shared" si="0"/>
        <v>0</v>
      </c>
      <c r="V19" s="69"/>
    </row>
    <row r="20" spans="1:22" ht="30.6" x14ac:dyDescent="0.3">
      <c r="A20" s="171" t="s">
        <v>1026</v>
      </c>
      <c r="B20" s="169" t="s">
        <v>5411</v>
      </c>
      <c r="C20" s="116"/>
      <c r="D20" s="116"/>
      <c r="E20" s="116"/>
      <c r="F20" s="116"/>
      <c r="G20" s="116"/>
      <c r="H20" s="116"/>
      <c r="I20" s="116"/>
      <c r="J20" s="116"/>
      <c r="K20" s="116"/>
      <c r="L20" s="193">
        <f>'ANEXO 2'!F82-M20</f>
        <v>0</v>
      </c>
      <c r="M20" s="116"/>
      <c r="N20" s="116"/>
      <c r="O20" s="116"/>
      <c r="P20" s="116"/>
      <c r="Q20" s="116"/>
      <c r="R20" s="116"/>
      <c r="S20" s="116"/>
      <c r="T20" s="116"/>
      <c r="U20" s="116">
        <f t="shared" si="0"/>
        <v>0</v>
      </c>
      <c r="V20" s="69"/>
    </row>
    <row r="21" spans="1:22" ht="20.399999999999999" x14ac:dyDescent="0.3">
      <c r="A21" s="171" t="s">
        <v>1027</v>
      </c>
      <c r="B21" s="169" t="s">
        <v>966</v>
      </c>
      <c r="C21" s="116"/>
      <c r="D21" s="116"/>
      <c r="E21" s="116"/>
      <c r="F21" s="116"/>
      <c r="G21" s="116"/>
      <c r="H21" s="116"/>
      <c r="I21" s="116"/>
      <c r="J21" s="116"/>
      <c r="K21" s="116"/>
      <c r="L21" s="116"/>
      <c r="M21" s="116"/>
      <c r="N21" s="193">
        <f>'ANEXO 2'!F83-O21</f>
        <v>0</v>
      </c>
      <c r="O21" s="116"/>
      <c r="P21" s="116"/>
      <c r="Q21" s="116"/>
      <c r="R21" s="116"/>
      <c r="S21" s="116"/>
      <c r="T21" s="116"/>
      <c r="U21" s="116">
        <f t="shared" si="0"/>
        <v>0</v>
      </c>
      <c r="V21" s="69"/>
    </row>
    <row r="22" spans="1:22" ht="20.399999999999999" x14ac:dyDescent="0.3">
      <c r="A22" s="171" t="s">
        <v>1028</v>
      </c>
      <c r="B22" s="169" t="s">
        <v>968</v>
      </c>
      <c r="C22" s="116"/>
      <c r="D22" s="116"/>
      <c r="E22" s="116"/>
      <c r="F22" s="116"/>
      <c r="G22" s="116"/>
      <c r="H22" s="116"/>
      <c r="I22" s="116"/>
      <c r="J22" s="116"/>
      <c r="K22" s="116"/>
      <c r="L22" s="193">
        <f>'ANEXO 2'!F84-M22</f>
        <v>0</v>
      </c>
      <c r="M22" s="116"/>
      <c r="N22" s="116"/>
      <c r="O22" s="116"/>
      <c r="P22" s="116"/>
      <c r="Q22" s="116"/>
      <c r="R22" s="116"/>
      <c r="S22" s="116"/>
      <c r="T22" s="116"/>
      <c r="U22" s="116">
        <f t="shared" si="0"/>
        <v>0</v>
      </c>
      <c r="V22" s="69"/>
    </row>
    <row r="23" spans="1:22" ht="30.6" x14ac:dyDescent="0.3">
      <c r="A23" s="171" t="s">
        <v>1029</v>
      </c>
      <c r="B23" s="169" t="s">
        <v>970</v>
      </c>
      <c r="C23" s="116"/>
      <c r="D23" s="116"/>
      <c r="E23" s="116"/>
      <c r="F23" s="116"/>
      <c r="G23" s="116"/>
      <c r="H23" s="116"/>
      <c r="I23" s="116"/>
      <c r="J23" s="116"/>
      <c r="K23" s="116"/>
      <c r="L23" s="116"/>
      <c r="M23" s="116"/>
      <c r="N23" s="193">
        <f>'ANEXO 2'!F85-O23</f>
        <v>0</v>
      </c>
      <c r="O23" s="116"/>
      <c r="P23" s="116"/>
      <c r="Q23" s="116"/>
      <c r="R23" s="116"/>
      <c r="S23" s="116"/>
      <c r="T23" s="116"/>
      <c r="U23" s="116">
        <f t="shared" si="0"/>
        <v>0</v>
      </c>
      <c r="V23" s="69"/>
    </row>
    <row r="24" spans="1:22" ht="30.6" x14ac:dyDescent="0.3">
      <c r="A24" s="171" t="s">
        <v>1030</v>
      </c>
      <c r="B24" s="169" t="s">
        <v>972</v>
      </c>
      <c r="C24" s="116"/>
      <c r="D24" s="116"/>
      <c r="E24" s="116"/>
      <c r="F24" s="116"/>
      <c r="G24" s="116"/>
      <c r="H24" s="116"/>
      <c r="I24" s="116"/>
      <c r="J24" s="116"/>
      <c r="K24" s="116"/>
      <c r="L24" s="193">
        <f>'ANEXO 2'!F86-M24</f>
        <v>0</v>
      </c>
      <c r="M24" s="116"/>
      <c r="N24" s="116"/>
      <c r="O24" s="116"/>
      <c r="P24" s="116"/>
      <c r="Q24" s="116"/>
      <c r="R24" s="116"/>
      <c r="S24" s="116"/>
      <c r="T24" s="116"/>
      <c r="U24" s="116">
        <f t="shared" si="0"/>
        <v>0</v>
      </c>
      <c r="V24" s="69"/>
    </row>
    <row r="25" spans="1:22" ht="20.399999999999999" x14ac:dyDescent="0.3">
      <c r="A25" s="171" t="s">
        <v>1031</v>
      </c>
      <c r="B25" s="169" t="s">
        <v>5421</v>
      </c>
      <c r="C25" s="116"/>
      <c r="D25" s="116"/>
      <c r="E25" s="116"/>
      <c r="F25" s="116"/>
      <c r="G25" s="116"/>
      <c r="H25" s="116"/>
      <c r="I25" s="116"/>
      <c r="J25" s="116"/>
      <c r="K25" s="116"/>
      <c r="L25" s="116"/>
      <c r="M25" s="116"/>
      <c r="N25" s="193">
        <f>'ANEXO 2'!F87-O25</f>
        <v>0</v>
      </c>
      <c r="O25" s="116"/>
      <c r="P25" s="116"/>
      <c r="Q25" s="116"/>
      <c r="R25" s="116"/>
      <c r="S25" s="116"/>
      <c r="T25" s="116"/>
      <c r="U25" s="116">
        <f t="shared" si="0"/>
        <v>0</v>
      </c>
      <c r="V25" s="69"/>
    </row>
    <row r="26" spans="1:22" ht="20.399999999999999" x14ac:dyDescent="0.3">
      <c r="A26" s="171" t="s">
        <v>1032</v>
      </c>
      <c r="B26" s="169" t="s">
        <v>5412</v>
      </c>
      <c r="C26" s="116"/>
      <c r="D26" s="116"/>
      <c r="E26" s="116"/>
      <c r="F26" s="116"/>
      <c r="G26" s="116"/>
      <c r="H26" s="116"/>
      <c r="I26" s="116"/>
      <c r="J26" s="116"/>
      <c r="K26" s="116"/>
      <c r="L26" s="193">
        <f>'ANEXO 2'!F88-M26</f>
        <v>0</v>
      </c>
      <c r="M26" s="116"/>
      <c r="N26" s="116"/>
      <c r="O26" s="116"/>
      <c r="P26" s="116"/>
      <c r="Q26" s="116"/>
      <c r="R26" s="116"/>
      <c r="S26" s="116"/>
      <c r="T26" s="116"/>
      <c r="U26" s="116">
        <f t="shared" si="0"/>
        <v>0</v>
      </c>
      <c r="V26" s="69"/>
    </row>
    <row r="27" spans="1:22" ht="20.399999999999999" x14ac:dyDescent="0.3">
      <c r="A27" s="171" t="s">
        <v>1033</v>
      </c>
      <c r="B27" s="169" t="s">
        <v>976</v>
      </c>
      <c r="C27" s="116"/>
      <c r="D27" s="116"/>
      <c r="E27" s="116"/>
      <c r="F27" s="116"/>
      <c r="G27" s="116"/>
      <c r="H27" s="116"/>
      <c r="I27" s="116"/>
      <c r="J27" s="116"/>
      <c r="K27" s="116"/>
      <c r="L27" s="193">
        <f>'ANEXO 2'!F89</f>
        <v>0</v>
      </c>
      <c r="M27" s="116"/>
      <c r="N27" s="116"/>
      <c r="O27" s="116"/>
      <c r="P27" s="116"/>
      <c r="Q27" s="116"/>
      <c r="R27" s="116"/>
      <c r="S27" s="116"/>
      <c r="T27" s="116"/>
      <c r="U27" s="116">
        <f t="shared" si="0"/>
        <v>0</v>
      </c>
      <c r="V27" s="69"/>
    </row>
    <row r="28" spans="1:22" x14ac:dyDescent="0.3">
      <c r="A28" s="171" t="s">
        <v>1034</v>
      </c>
      <c r="B28" s="169" t="s">
        <v>978</v>
      </c>
      <c r="C28" s="116"/>
      <c r="D28" s="116"/>
      <c r="E28" s="116"/>
      <c r="F28" s="116"/>
      <c r="G28" s="116"/>
      <c r="H28" s="116"/>
      <c r="I28" s="116"/>
      <c r="J28" s="116"/>
      <c r="K28" s="116"/>
      <c r="L28" s="193">
        <f>'ANEXO 2'!F90</f>
        <v>0</v>
      </c>
      <c r="M28" s="116"/>
      <c r="N28" s="116"/>
      <c r="O28" s="116"/>
      <c r="P28" s="116"/>
      <c r="Q28" s="116"/>
      <c r="R28" s="116"/>
      <c r="S28" s="116"/>
      <c r="T28" s="116"/>
      <c r="U28" s="116">
        <f t="shared" si="0"/>
        <v>0</v>
      </c>
      <c r="V28" s="69"/>
    </row>
    <row r="29" spans="1:22" x14ac:dyDescent="0.3">
      <c r="A29" s="171" t="s">
        <v>1035</v>
      </c>
      <c r="B29" s="169" t="s">
        <v>638</v>
      </c>
      <c r="C29" s="52"/>
      <c r="D29" s="52"/>
      <c r="E29" s="52"/>
      <c r="F29" s="52"/>
      <c r="G29" s="52"/>
      <c r="H29" s="52"/>
      <c r="I29" s="52"/>
      <c r="J29" s="52"/>
      <c r="K29" s="52"/>
      <c r="L29" s="52"/>
      <c r="M29" s="52"/>
      <c r="N29" s="52"/>
      <c r="O29" s="52"/>
      <c r="P29" s="52"/>
      <c r="Q29" s="52"/>
      <c r="R29" s="52"/>
      <c r="S29" s="52"/>
      <c r="T29" s="52"/>
      <c r="U29" s="52"/>
      <c r="V29" s="69"/>
    </row>
    <row r="30" spans="1:22" x14ac:dyDescent="0.3">
      <c r="A30" s="171"/>
      <c r="B30" s="169"/>
      <c r="C30" s="18"/>
      <c r="D30" s="18"/>
      <c r="E30" s="18"/>
      <c r="F30" s="18"/>
      <c r="G30" s="18"/>
      <c r="H30" s="18"/>
      <c r="I30" s="18"/>
      <c r="J30" s="18"/>
      <c r="K30" s="18"/>
      <c r="L30" s="18"/>
      <c r="M30" s="18"/>
      <c r="N30" s="18"/>
      <c r="O30" s="18"/>
      <c r="P30" s="18"/>
      <c r="Q30" s="18"/>
      <c r="R30" s="18"/>
      <c r="S30" s="18"/>
      <c r="T30" s="18"/>
      <c r="U30" s="18"/>
      <c r="V30" s="69"/>
    </row>
    <row r="31" spans="1:22" x14ac:dyDescent="0.3">
      <c r="A31" s="186" t="s">
        <v>1036</v>
      </c>
      <c r="B31" s="191" t="s">
        <v>5422</v>
      </c>
      <c r="C31" s="54">
        <f t="shared" ref="C31:U31" si="1">SUM(C6:C29)</f>
        <v>0</v>
      </c>
      <c r="D31" s="54">
        <f t="shared" si="1"/>
        <v>0</v>
      </c>
      <c r="E31" s="54">
        <f t="shared" si="1"/>
        <v>0</v>
      </c>
      <c r="F31" s="54">
        <f t="shared" si="1"/>
        <v>0</v>
      </c>
      <c r="G31" s="54">
        <f t="shared" si="1"/>
        <v>0</v>
      </c>
      <c r="H31" s="54">
        <f t="shared" si="1"/>
        <v>0</v>
      </c>
      <c r="I31" s="54">
        <f t="shared" si="1"/>
        <v>0</v>
      </c>
      <c r="J31" s="54">
        <f t="shared" si="1"/>
        <v>0</v>
      </c>
      <c r="K31" s="54">
        <f t="shared" si="1"/>
        <v>0</v>
      </c>
      <c r="L31" s="54">
        <f t="shared" si="1"/>
        <v>0</v>
      </c>
      <c r="M31" s="54">
        <f t="shared" si="1"/>
        <v>0</v>
      </c>
      <c r="N31" s="54">
        <f t="shared" si="1"/>
        <v>0</v>
      </c>
      <c r="O31" s="54">
        <f t="shared" si="1"/>
        <v>0</v>
      </c>
      <c r="P31" s="54">
        <f t="shared" si="1"/>
        <v>0</v>
      </c>
      <c r="Q31" s="54">
        <f t="shared" si="1"/>
        <v>0</v>
      </c>
      <c r="R31" s="54">
        <f t="shared" si="1"/>
        <v>0</v>
      </c>
      <c r="S31" s="54">
        <f t="shared" si="1"/>
        <v>0</v>
      </c>
      <c r="T31" s="54">
        <f t="shared" si="1"/>
        <v>0</v>
      </c>
      <c r="U31" s="54">
        <f t="shared" si="1"/>
        <v>0</v>
      </c>
      <c r="V31" s="69"/>
    </row>
    <row r="32" spans="1:22" x14ac:dyDescent="0.3">
      <c r="A32" s="171"/>
      <c r="B32" s="169"/>
      <c r="C32" s="20"/>
      <c r="D32" s="20"/>
      <c r="E32" s="20"/>
      <c r="F32" s="20"/>
      <c r="G32" s="20"/>
      <c r="H32" s="20"/>
      <c r="I32" s="20"/>
      <c r="J32" s="20"/>
      <c r="K32" s="20"/>
      <c r="L32" s="20"/>
      <c r="M32" s="20"/>
      <c r="N32" s="20"/>
      <c r="O32" s="20"/>
      <c r="P32" s="20"/>
      <c r="Q32" s="20"/>
      <c r="R32" s="20"/>
      <c r="S32" s="20"/>
      <c r="T32" s="20"/>
      <c r="U32" s="20"/>
      <c r="V32" s="69"/>
    </row>
    <row r="33" spans="1:22" ht="30.6" x14ac:dyDescent="0.3">
      <c r="A33" s="171" t="s">
        <v>1037</v>
      </c>
      <c r="B33" s="169" t="s">
        <v>5693</v>
      </c>
      <c r="C33" s="116"/>
      <c r="D33" s="116"/>
      <c r="E33" s="116"/>
      <c r="F33" s="116"/>
      <c r="G33" s="116"/>
      <c r="H33" s="116"/>
      <c r="I33" s="116"/>
      <c r="J33" s="116"/>
      <c r="K33" s="116"/>
      <c r="L33" s="116"/>
      <c r="M33" s="116"/>
      <c r="N33" s="116"/>
      <c r="O33" s="116"/>
      <c r="P33" s="116"/>
      <c r="Q33" s="116"/>
      <c r="R33" s="116"/>
      <c r="S33" s="116"/>
      <c r="T33" s="116"/>
      <c r="U33" s="116">
        <f t="shared" ref="U33:U53" si="2">ROUND(SUM(C33:T33),0)</f>
        <v>0</v>
      </c>
      <c r="V33" s="69"/>
    </row>
    <row r="34" spans="1:22" x14ac:dyDescent="0.3">
      <c r="A34" s="171" t="s">
        <v>1038</v>
      </c>
      <c r="B34" s="169" t="s">
        <v>5694</v>
      </c>
      <c r="C34" s="116"/>
      <c r="D34" s="116"/>
      <c r="E34" s="116"/>
      <c r="F34" s="116"/>
      <c r="G34" s="116"/>
      <c r="H34" s="116"/>
      <c r="I34" s="116"/>
      <c r="J34" s="116"/>
      <c r="K34" s="116"/>
      <c r="L34" s="116"/>
      <c r="M34" s="116"/>
      <c r="N34" s="116"/>
      <c r="O34" s="116"/>
      <c r="P34" s="116"/>
      <c r="Q34" s="116"/>
      <c r="R34" s="116"/>
      <c r="S34" s="116"/>
      <c r="T34" s="116"/>
      <c r="U34" s="116">
        <f t="shared" si="2"/>
        <v>0</v>
      </c>
      <c r="V34" s="69"/>
    </row>
    <row r="35" spans="1:22" ht="20.399999999999999" x14ac:dyDescent="0.3">
      <c r="A35" s="186" t="s">
        <v>1039</v>
      </c>
      <c r="B35" s="191" t="s">
        <v>5423</v>
      </c>
      <c r="C35" s="116"/>
      <c r="D35" s="116"/>
      <c r="E35" s="116"/>
      <c r="F35" s="116"/>
      <c r="G35" s="116"/>
      <c r="H35" s="116">
        <f>-ROUND(H31+H33,0)</f>
        <v>0</v>
      </c>
      <c r="I35" s="116">
        <f>-ROUND(I31+I33,0)</f>
        <v>0</v>
      </c>
      <c r="J35" s="116">
        <f>ROUND(H31+H33+N31+N33+O31+O33,0)</f>
        <v>0</v>
      </c>
      <c r="K35" s="116">
        <f>ROUND(I31+I33+L31+L33+M31+M33,0)</f>
        <v>0</v>
      </c>
      <c r="L35" s="116">
        <f>-ROUND(L31+L33,0)</f>
        <v>0</v>
      </c>
      <c r="M35" s="116">
        <f>-ROUND(M31+M33,0)</f>
        <v>0</v>
      </c>
      <c r="N35" s="116">
        <f>-ROUND(N31+N33,0)</f>
        <v>0</v>
      </c>
      <c r="O35" s="116">
        <f>-ROUND(O31+O33,0)</f>
        <v>0</v>
      </c>
      <c r="P35" s="116"/>
      <c r="Q35" s="116"/>
      <c r="R35" s="116"/>
      <c r="S35" s="116"/>
      <c r="T35" s="116"/>
      <c r="U35" s="116">
        <f t="shared" si="2"/>
        <v>0</v>
      </c>
      <c r="V35" s="69"/>
    </row>
    <row r="36" spans="1:22" x14ac:dyDescent="0.3">
      <c r="A36" s="171" t="s">
        <v>1040</v>
      </c>
      <c r="B36" s="169" t="s">
        <v>1012</v>
      </c>
      <c r="C36" s="116"/>
      <c r="D36" s="116"/>
      <c r="E36" s="116"/>
      <c r="F36" s="116"/>
      <c r="G36" s="116"/>
      <c r="H36" s="116"/>
      <c r="I36" s="116"/>
      <c r="J36" s="116"/>
      <c r="K36" s="116"/>
      <c r="L36" s="116"/>
      <c r="M36" s="116"/>
      <c r="N36" s="116"/>
      <c r="O36" s="116"/>
      <c r="P36" s="116"/>
      <c r="Q36" s="116"/>
      <c r="R36" s="116"/>
      <c r="S36" s="116"/>
      <c r="T36" s="116"/>
      <c r="U36" s="116">
        <f t="shared" si="2"/>
        <v>0</v>
      </c>
      <c r="V36" s="69"/>
    </row>
    <row r="37" spans="1:22" x14ac:dyDescent="0.3">
      <c r="A37" s="171" t="s">
        <v>1041</v>
      </c>
      <c r="B37" s="169" t="s">
        <v>1014</v>
      </c>
      <c r="C37" s="116"/>
      <c r="D37" s="116"/>
      <c r="E37" s="116"/>
      <c r="F37" s="116"/>
      <c r="G37" s="116"/>
      <c r="H37" s="116"/>
      <c r="I37" s="116"/>
      <c r="J37" s="116"/>
      <c r="K37" s="116"/>
      <c r="L37" s="116"/>
      <c r="M37" s="116"/>
      <c r="N37" s="116"/>
      <c r="O37" s="116"/>
      <c r="P37" s="116"/>
      <c r="Q37" s="116"/>
      <c r="R37" s="116"/>
      <c r="S37" s="116"/>
      <c r="T37" s="116"/>
      <c r="U37" s="116">
        <f t="shared" si="2"/>
        <v>0</v>
      </c>
      <c r="V37" s="69"/>
    </row>
    <row r="38" spans="1:22" x14ac:dyDescent="0.3">
      <c r="A38" s="186" t="s">
        <v>1042</v>
      </c>
      <c r="B38" s="191" t="s">
        <v>5424</v>
      </c>
      <c r="C38" s="116"/>
      <c r="D38" s="116"/>
      <c r="E38" s="116"/>
      <c r="F38" s="116"/>
      <c r="G38" s="116"/>
      <c r="H38" s="75">
        <f>'ANEXO 2'!C75</f>
        <v>0</v>
      </c>
      <c r="I38" s="76"/>
      <c r="J38" s="117"/>
      <c r="K38" s="117"/>
      <c r="L38" s="117"/>
      <c r="M38" s="117"/>
      <c r="N38" s="117"/>
      <c r="O38" s="117"/>
      <c r="P38" s="116"/>
      <c r="Q38" s="116"/>
      <c r="R38" s="116"/>
      <c r="S38" s="116"/>
      <c r="T38" s="116"/>
      <c r="U38" s="116">
        <f t="shared" si="2"/>
        <v>0</v>
      </c>
      <c r="V38" s="69"/>
    </row>
    <row r="39" spans="1:22" x14ac:dyDescent="0.3">
      <c r="A39" s="186" t="s">
        <v>1043</v>
      </c>
      <c r="B39" s="191" t="s">
        <v>5425</v>
      </c>
      <c r="C39" s="116"/>
      <c r="D39" s="116"/>
      <c r="E39" s="116"/>
      <c r="F39" s="116"/>
      <c r="G39" s="116"/>
      <c r="H39" s="76"/>
      <c r="I39" s="75">
        <f>-'ANEXO 2'!C74</f>
        <v>0</v>
      </c>
      <c r="J39" s="117"/>
      <c r="K39" s="117"/>
      <c r="L39" s="117"/>
      <c r="M39" s="117"/>
      <c r="N39" s="117"/>
      <c r="O39" s="117"/>
      <c r="P39" s="116"/>
      <c r="Q39" s="116"/>
      <c r="R39" s="116"/>
      <c r="S39" s="116"/>
      <c r="T39" s="116"/>
      <c r="U39" s="116">
        <f t="shared" si="2"/>
        <v>0</v>
      </c>
      <c r="V39" s="69"/>
    </row>
    <row r="40" spans="1:22" ht="20.399999999999999" x14ac:dyDescent="0.3">
      <c r="A40" s="171" t="s">
        <v>1044</v>
      </c>
      <c r="B40" s="169" t="s">
        <v>1018</v>
      </c>
      <c r="C40" s="116"/>
      <c r="D40" s="116"/>
      <c r="E40" s="116"/>
      <c r="F40" s="116"/>
      <c r="G40" s="116"/>
      <c r="H40" s="116"/>
      <c r="I40" s="116"/>
      <c r="J40" s="116"/>
      <c r="K40" s="116"/>
      <c r="L40" s="116"/>
      <c r="M40" s="116"/>
      <c r="N40" s="116"/>
      <c r="O40" s="116"/>
      <c r="P40" s="116"/>
      <c r="Q40" s="116"/>
      <c r="R40" s="116"/>
      <c r="S40" s="116"/>
      <c r="T40" s="116"/>
      <c r="U40" s="116">
        <f t="shared" si="2"/>
        <v>0</v>
      </c>
      <c r="V40" s="69"/>
    </row>
    <row r="41" spans="1:22" x14ac:dyDescent="0.3">
      <c r="A41" s="171" t="s">
        <v>1045</v>
      </c>
      <c r="B41" s="169" t="s">
        <v>1020</v>
      </c>
      <c r="C41" s="116"/>
      <c r="D41" s="116"/>
      <c r="E41" s="116"/>
      <c r="F41" s="116"/>
      <c r="G41" s="116"/>
      <c r="H41" s="116"/>
      <c r="I41" s="116"/>
      <c r="J41" s="116"/>
      <c r="K41" s="116"/>
      <c r="L41" s="116"/>
      <c r="M41" s="116"/>
      <c r="N41" s="116"/>
      <c r="O41" s="116"/>
      <c r="P41" s="116"/>
      <c r="Q41" s="116"/>
      <c r="R41" s="116"/>
      <c r="S41" s="116"/>
      <c r="T41" s="116"/>
      <c r="U41" s="116">
        <f t="shared" si="2"/>
        <v>0</v>
      </c>
      <c r="V41" s="69"/>
    </row>
    <row r="42" spans="1:22" ht="20.399999999999999" x14ac:dyDescent="0.3">
      <c r="A42" s="171" t="s">
        <v>1046</v>
      </c>
      <c r="B42" s="169" t="s">
        <v>1047</v>
      </c>
      <c r="C42" s="116"/>
      <c r="D42" s="116"/>
      <c r="E42" s="116"/>
      <c r="F42" s="116"/>
      <c r="G42" s="116"/>
      <c r="H42" s="116"/>
      <c r="I42" s="116"/>
      <c r="J42" s="116"/>
      <c r="K42" s="116"/>
      <c r="L42" s="116"/>
      <c r="M42" s="116"/>
      <c r="N42" s="116"/>
      <c r="O42" s="116"/>
      <c r="P42" s="116"/>
      <c r="Q42" s="116"/>
      <c r="R42" s="116"/>
      <c r="S42" s="116"/>
      <c r="T42" s="116"/>
      <c r="U42" s="116">
        <f t="shared" si="2"/>
        <v>0</v>
      </c>
      <c r="V42" s="69"/>
    </row>
    <row r="43" spans="1:22" ht="20.399999999999999" x14ac:dyDescent="0.3">
      <c r="A43" s="171" t="s">
        <v>1048</v>
      </c>
      <c r="B43" s="169" t="s">
        <v>1024</v>
      </c>
      <c r="C43" s="116"/>
      <c r="D43" s="116"/>
      <c r="E43" s="116"/>
      <c r="F43" s="116"/>
      <c r="G43" s="116"/>
      <c r="H43" s="116"/>
      <c r="I43" s="116"/>
      <c r="J43" s="116"/>
      <c r="K43" s="116"/>
      <c r="L43" s="116"/>
      <c r="M43" s="116"/>
      <c r="N43" s="116"/>
      <c r="O43" s="116"/>
      <c r="P43" s="116"/>
      <c r="Q43" s="116"/>
      <c r="R43" s="116"/>
      <c r="S43" s="116"/>
      <c r="T43" s="116"/>
      <c r="U43" s="116">
        <f t="shared" si="2"/>
        <v>0</v>
      </c>
      <c r="V43" s="69"/>
    </row>
    <row r="44" spans="1:22" ht="20.399999999999999" x14ac:dyDescent="0.3">
      <c r="A44" s="171" t="s">
        <v>1049</v>
      </c>
      <c r="B44" s="169" t="s">
        <v>5410</v>
      </c>
      <c r="C44" s="116"/>
      <c r="D44" s="116"/>
      <c r="E44" s="116"/>
      <c r="F44" s="116"/>
      <c r="G44" s="116"/>
      <c r="H44" s="116"/>
      <c r="I44" s="116"/>
      <c r="J44" s="116"/>
      <c r="K44" s="116"/>
      <c r="L44" s="116"/>
      <c r="M44" s="116"/>
      <c r="N44" s="193">
        <f>'ANEXO 2'!C81-O44</f>
        <v>0</v>
      </c>
      <c r="O44" s="116"/>
      <c r="P44" s="116"/>
      <c r="Q44" s="116"/>
      <c r="R44" s="116"/>
      <c r="S44" s="116"/>
      <c r="T44" s="116"/>
      <c r="U44" s="116">
        <f t="shared" si="2"/>
        <v>0</v>
      </c>
      <c r="V44" s="69"/>
    </row>
    <row r="45" spans="1:22" ht="30.6" x14ac:dyDescent="0.3">
      <c r="A45" s="171" t="s">
        <v>1050</v>
      </c>
      <c r="B45" s="169" t="s">
        <v>5411</v>
      </c>
      <c r="C45" s="116"/>
      <c r="D45" s="116"/>
      <c r="E45" s="116"/>
      <c r="F45" s="116"/>
      <c r="G45" s="116"/>
      <c r="H45" s="116"/>
      <c r="I45" s="116"/>
      <c r="J45" s="116"/>
      <c r="K45" s="116"/>
      <c r="L45" s="193">
        <f>'ANEXO 2'!C82-M45</f>
        <v>0</v>
      </c>
      <c r="M45" s="116"/>
      <c r="N45" s="116"/>
      <c r="O45" s="116"/>
      <c r="P45" s="116"/>
      <c r="Q45" s="116"/>
      <c r="R45" s="116"/>
      <c r="S45" s="116"/>
      <c r="T45" s="116"/>
      <c r="U45" s="116">
        <f t="shared" si="2"/>
        <v>0</v>
      </c>
      <c r="V45" s="69"/>
    </row>
    <row r="46" spans="1:22" ht="20.399999999999999" x14ac:dyDescent="0.3">
      <c r="A46" s="171" t="s">
        <v>1051</v>
      </c>
      <c r="B46" s="169" t="s">
        <v>966</v>
      </c>
      <c r="C46" s="116"/>
      <c r="D46" s="116"/>
      <c r="E46" s="116"/>
      <c r="F46" s="116"/>
      <c r="G46" s="116"/>
      <c r="H46" s="116"/>
      <c r="I46" s="116"/>
      <c r="J46" s="116"/>
      <c r="K46" s="116"/>
      <c r="L46" s="116"/>
      <c r="M46" s="116"/>
      <c r="N46" s="193">
        <f>'ANEXO 2'!C83-O46</f>
        <v>0</v>
      </c>
      <c r="O46" s="116"/>
      <c r="P46" s="116"/>
      <c r="Q46" s="116"/>
      <c r="R46" s="116"/>
      <c r="S46" s="116"/>
      <c r="T46" s="116"/>
      <c r="U46" s="116">
        <f t="shared" si="2"/>
        <v>0</v>
      </c>
      <c r="V46" s="69"/>
    </row>
    <row r="47" spans="1:22" ht="20.399999999999999" x14ac:dyDescent="0.3">
      <c r="A47" s="171" t="s">
        <v>1052</v>
      </c>
      <c r="B47" s="169" t="s">
        <v>968</v>
      </c>
      <c r="C47" s="116"/>
      <c r="D47" s="116"/>
      <c r="E47" s="116"/>
      <c r="F47" s="116"/>
      <c r="G47" s="116"/>
      <c r="H47" s="116"/>
      <c r="I47" s="116"/>
      <c r="J47" s="116"/>
      <c r="K47" s="116"/>
      <c r="L47" s="193">
        <f>'ANEXO 2'!C84-M47</f>
        <v>0</v>
      </c>
      <c r="M47" s="116"/>
      <c r="N47" s="116"/>
      <c r="O47" s="116"/>
      <c r="P47" s="116"/>
      <c r="Q47" s="116"/>
      <c r="R47" s="116"/>
      <c r="S47" s="116"/>
      <c r="T47" s="116"/>
      <c r="U47" s="116">
        <f t="shared" si="2"/>
        <v>0</v>
      </c>
      <c r="V47" s="69"/>
    </row>
    <row r="48" spans="1:22" ht="30.6" x14ac:dyDescent="0.3">
      <c r="A48" s="171" t="s">
        <v>1053</v>
      </c>
      <c r="B48" s="169" t="s">
        <v>970</v>
      </c>
      <c r="C48" s="116"/>
      <c r="D48" s="116"/>
      <c r="E48" s="116"/>
      <c r="F48" s="116"/>
      <c r="G48" s="116"/>
      <c r="H48" s="116"/>
      <c r="I48" s="116"/>
      <c r="J48" s="116"/>
      <c r="K48" s="116"/>
      <c r="L48" s="116"/>
      <c r="M48" s="116"/>
      <c r="N48" s="193">
        <f>'ANEXO 2'!C85-O48</f>
        <v>0</v>
      </c>
      <c r="O48" s="116"/>
      <c r="P48" s="116"/>
      <c r="Q48" s="116"/>
      <c r="R48" s="116"/>
      <c r="S48" s="116"/>
      <c r="T48" s="116"/>
      <c r="U48" s="116">
        <f t="shared" si="2"/>
        <v>0</v>
      </c>
      <c r="V48" s="69"/>
    </row>
    <row r="49" spans="1:22" ht="30.6" x14ac:dyDescent="0.3">
      <c r="A49" s="171" t="s">
        <v>1054</v>
      </c>
      <c r="B49" s="169" t="s">
        <v>972</v>
      </c>
      <c r="C49" s="116"/>
      <c r="D49" s="116"/>
      <c r="E49" s="116"/>
      <c r="F49" s="116"/>
      <c r="G49" s="116"/>
      <c r="H49" s="116"/>
      <c r="I49" s="116"/>
      <c r="J49" s="116"/>
      <c r="K49" s="116"/>
      <c r="L49" s="193">
        <f>'ANEXO 2'!C86-M49</f>
        <v>0</v>
      </c>
      <c r="M49" s="116"/>
      <c r="N49" s="116"/>
      <c r="O49" s="116"/>
      <c r="P49" s="116"/>
      <c r="Q49" s="116"/>
      <c r="R49" s="116"/>
      <c r="S49" s="116"/>
      <c r="T49" s="116"/>
      <c r="U49" s="116">
        <f t="shared" si="2"/>
        <v>0</v>
      </c>
      <c r="V49" s="69"/>
    </row>
    <row r="50" spans="1:22" ht="20.399999999999999" x14ac:dyDescent="0.3">
      <c r="A50" s="171" t="s">
        <v>1055</v>
      </c>
      <c r="B50" s="169" t="s">
        <v>5421</v>
      </c>
      <c r="C50" s="116"/>
      <c r="D50" s="116"/>
      <c r="E50" s="116"/>
      <c r="F50" s="116"/>
      <c r="G50" s="116"/>
      <c r="H50" s="116"/>
      <c r="I50" s="116"/>
      <c r="J50" s="116"/>
      <c r="K50" s="116"/>
      <c r="L50" s="116"/>
      <c r="M50" s="116"/>
      <c r="N50" s="193">
        <f>'ANEXO 2'!C87-O50</f>
        <v>0</v>
      </c>
      <c r="O50" s="116"/>
      <c r="P50" s="116"/>
      <c r="Q50" s="116"/>
      <c r="R50" s="116"/>
      <c r="S50" s="116"/>
      <c r="T50" s="116"/>
      <c r="U50" s="116">
        <f t="shared" si="2"/>
        <v>0</v>
      </c>
      <c r="V50" s="69"/>
    </row>
    <row r="51" spans="1:22" ht="20.399999999999999" x14ac:dyDescent="0.3">
      <c r="A51" s="171" t="s">
        <v>1056</v>
      </c>
      <c r="B51" s="169" t="s">
        <v>5412</v>
      </c>
      <c r="C51" s="116"/>
      <c r="D51" s="116"/>
      <c r="E51" s="116"/>
      <c r="F51" s="116"/>
      <c r="G51" s="116"/>
      <c r="H51" s="116"/>
      <c r="I51" s="116"/>
      <c r="J51" s="116"/>
      <c r="K51" s="116"/>
      <c r="L51" s="193">
        <f>'ANEXO 2'!C88-M51</f>
        <v>0</v>
      </c>
      <c r="M51" s="116"/>
      <c r="N51" s="116"/>
      <c r="O51" s="116"/>
      <c r="P51" s="116"/>
      <c r="Q51" s="116"/>
      <c r="R51" s="116"/>
      <c r="S51" s="116"/>
      <c r="T51" s="116"/>
      <c r="U51" s="116">
        <f t="shared" si="2"/>
        <v>0</v>
      </c>
      <c r="V51" s="69"/>
    </row>
    <row r="52" spans="1:22" ht="20.399999999999999" x14ac:dyDescent="0.3">
      <c r="A52" s="171" t="s">
        <v>1057</v>
      </c>
      <c r="B52" s="169" t="s">
        <v>976</v>
      </c>
      <c r="C52" s="116"/>
      <c r="D52" s="116"/>
      <c r="E52" s="116"/>
      <c r="F52" s="116"/>
      <c r="G52" s="116"/>
      <c r="H52" s="116"/>
      <c r="I52" s="116"/>
      <c r="J52" s="116"/>
      <c r="K52" s="116"/>
      <c r="L52" s="193">
        <f>'ANEXO 2'!C89</f>
        <v>0</v>
      </c>
      <c r="M52" s="116"/>
      <c r="N52" s="116"/>
      <c r="O52" s="116"/>
      <c r="P52" s="116"/>
      <c r="Q52" s="116"/>
      <c r="R52" s="116"/>
      <c r="S52" s="116"/>
      <c r="T52" s="116"/>
      <c r="U52" s="116">
        <f t="shared" si="2"/>
        <v>0</v>
      </c>
      <c r="V52" s="69"/>
    </row>
    <row r="53" spans="1:22" x14ac:dyDescent="0.3">
      <c r="A53" s="171" t="s">
        <v>1058</v>
      </c>
      <c r="B53" s="169" t="s">
        <v>978</v>
      </c>
      <c r="C53" s="116"/>
      <c r="D53" s="116"/>
      <c r="E53" s="116"/>
      <c r="F53" s="116"/>
      <c r="G53" s="116"/>
      <c r="H53" s="116"/>
      <c r="I53" s="116"/>
      <c r="J53" s="116"/>
      <c r="K53" s="116"/>
      <c r="L53" s="193">
        <f>'ANEXO 2'!C90</f>
        <v>0</v>
      </c>
      <c r="M53" s="116"/>
      <c r="N53" s="116"/>
      <c r="O53" s="116"/>
      <c r="P53" s="116"/>
      <c r="Q53" s="116"/>
      <c r="R53" s="116"/>
      <c r="S53" s="116"/>
      <c r="T53" s="116"/>
      <c r="U53" s="116">
        <f t="shared" si="2"/>
        <v>0</v>
      </c>
      <c r="V53" s="69"/>
    </row>
    <row r="54" spans="1:22" x14ac:dyDescent="0.3">
      <c r="A54" s="171" t="s">
        <v>1059</v>
      </c>
      <c r="B54" s="169" t="s">
        <v>638</v>
      </c>
      <c r="C54" s="52"/>
      <c r="D54" s="52"/>
      <c r="E54" s="52"/>
      <c r="F54" s="52"/>
      <c r="G54" s="52"/>
      <c r="H54" s="52"/>
      <c r="I54" s="52"/>
      <c r="J54" s="52"/>
      <c r="K54" s="52"/>
      <c r="L54" s="52"/>
      <c r="M54" s="52"/>
      <c r="N54" s="52"/>
      <c r="O54" s="52"/>
      <c r="P54" s="52"/>
      <c r="Q54" s="52"/>
      <c r="R54" s="52"/>
      <c r="S54" s="52"/>
      <c r="T54" s="52"/>
      <c r="U54" s="52"/>
      <c r="V54" s="69"/>
    </row>
    <row r="55" spans="1:22" x14ac:dyDescent="0.3">
      <c r="A55" s="171"/>
      <c r="B55" s="169"/>
      <c r="C55" s="18"/>
      <c r="D55" s="18"/>
      <c r="E55" s="18"/>
      <c r="F55" s="18"/>
      <c r="G55" s="18"/>
      <c r="H55" s="18"/>
      <c r="I55" s="18"/>
      <c r="J55" s="18"/>
      <c r="K55" s="18"/>
      <c r="L55" s="18"/>
      <c r="M55" s="18"/>
      <c r="N55" s="18"/>
      <c r="O55" s="18"/>
      <c r="P55" s="18"/>
      <c r="Q55" s="18"/>
      <c r="R55" s="18"/>
      <c r="S55" s="18"/>
      <c r="T55" s="18"/>
      <c r="U55" s="18"/>
      <c r="V55" s="69"/>
    </row>
    <row r="56" spans="1:22" x14ac:dyDescent="0.3">
      <c r="A56" s="186" t="s">
        <v>1060</v>
      </c>
      <c r="B56" s="191" t="s">
        <v>5426</v>
      </c>
      <c r="C56" s="77">
        <f t="shared" ref="C56:U56" si="3">SUM(C31:C54)</f>
        <v>0</v>
      </c>
      <c r="D56" s="77">
        <f t="shared" si="3"/>
        <v>0</v>
      </c>
      <c r="E56" s="77">
        <f t="shared" si="3"/>
        <v>0</v>
      </c>
      <c r="F56" s="77">
        <f t="shared" si="3"/>
        <v>0</v>
      </c>
      <c r="G56" s="77">
        <f t="shared" si="3"/>
        <v>0</v>
      </c>
      <c r="H56" s="54">
        <f t="shared" si="3"/>
        <v>0</v>
      </c>
      <c r="I56" s="54">
        <f t="shared" si="3"/>
        <v>0</v>
      </c>
      <c r="J56" s="77">
        <f t="shared" si="3"/>
        <v>0</v>
      </c>
      <c r="K56" s="77">
        <f t="shared" si="3"/>
        <v>0</v>
      </c>
      <c r="L56" s="54">
        <f t="shared" si="3"/>
        <v>0</v>
      </c>
      <c r="M56" s="54">
        <f t="shared" si="3"/>
        <v>0</v>
      </c>
      <c r="N56" s="54">
        <f t="shared" si="3"/>
        <v>0</v>
      </c>
      <c r="O56" s="54">
        <f t="shared" si="3"/>
        <v>0</v>
      </c>
      <c r="P56" s="77">
        <f t="shared" si="3"/>
        <v>0</v>
      </c>
      <c r="Q56" s="77">
        <f t="shared" si="3"/>
        <v>0</v>
      </c>
      <c r="R56" s="77">
        <f t="shared" si="3"/>
        <v>0</v>
      </c>
      <c r="S56" s="54">
        <f t="shared" si="3"/>
        <v>0</v>
      </c>
      <c r="T56" s="54">
        <f t="shared" si="3"/>
        <v>0</v>
      </c>
      <c r="U56" s="77">
        <f t="shared" si="3"/>
        <v>0</v>
      </c>
      <c r="V56" s="69"/>
    </row>
    <row r="57" spans="1:22" x14ac:dyDescent="0.3">
      <c r="A57" s="163"/>
      <c r="B57" s="160"/>
      <c r="C57" s="18"/>
      <c r="D57" s="18"/>
      <c r="E57" s="18"/>
      <c r="F57" s="18"/>
      <c r="G57" s="18"/>
      <c r="H57" s="18"/>
      <c r="I57" s="18"/>
      <c r="J57" s="18"/>
      <c r="K57" s="18"/>
      <c r="L57" s="18"/>
      <c r="M57" s="18"/>
      <c r="N57" s="18"/>
      <c r="O57" s="18"/>
      <c r="P57" s="18"/>
      <c r="Q57" s="18"/>
      <c r="R57" s="18"/>
      <c r="S57" s="18"/>
      <c r="T57" s="18"/>
      <c r="U57" s="18"/>
      <c r="V57" s="69"/>
    </row>
    <row r="58" spans="1:22" ht="21.6" x14ac:dyDescent="0.3">
      <c r="A58" s="163"/>
      <c r="B58" s="174" t="s">
        <v>885</v>
      </c>
      <c r="C58" s="18"/>
      <c r="D58" s="18"/>
      <c r="E58" s="18"/>
      <c r="F58" s="18"/>
      <c r="G58" s="18"/>
      <c r="H58" s="18"/>
      <c r="I58" s="18"/>
      <c r="J58" s="18"/>
      <c r="K58" s="18"/>
      <c r="L58" s="18"/>
      <c r="M58" s="18"/>
      <c r="N58" s="18"/>
      <c r="O58" s="18"/>
      <c r="P58" s="18"/>
      <c r="Q58" s="18"/>
      <c r="R58" s="18"/>
      <c r="S58" s="18"/>
      <c r="T58" s="18"/>
      <c r="U58" s="18"/>
      <c r="V58" s="69"/>
    </row>
    <row r="59" spans="1:22" ht="8.1" customHeight="1" x14ac:dyDescent="0.3">
      <c r="A59" s="168" t="s">
        <v>0</v>
      </c>
      <c r="B59" s="172"/>
      <c r="C59" s="168"/>
      <c r="D59" s="168"/>
      <c r="E59" s="168"/>
      <c r="F59" s="168"/>
      <c r="G59" s="168"/>
      <c r="H59" s="168"/>
      <c r="I59" s="168"/>
      <c r="J59" s="168"/>
      <c r="K59" s="168"/>
      <c r="L59" s="168"/>
      <c r="M59" s="168"/>
      <c r="N59" s="168"/>
      <c r="O59" s="168"/>
      <c r="P59" s="168"/>
      <c r="Q59" s="168"/>
      <c r="R59" s="168"/>
      <c r="S59" s="168"/>
      <c r="T59" s="168"/>
      <c r="U59" s="168"/>
      <c r="V5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247"/>
  <sheetViews>
    <sheetView workbookViewId="0"/>
  </sheetViews>
  <sheetFormatPr defaultColWidth="11.5546875" defaultRowHeight="14.4" x14ac:dyDescent="0.3"/>
  <cols>
    <col min="1" max="1" width="14.33203125" style="107" customWidth="1"/>
    <col min="2" max="2" width="35.6640625" style="107" customWidth="1"/>
    <col min="3" max="9" width="18.6640625" style="107" customWidth="1"/>
    <col min="10" max="10" width="1.6640625" style="107" customWidth="1"/>
    <col min="11" max="16384" width="11.5546875" style="107"/>
  </cols>
  <sheetData>
    <row r="1" spans="1:10" x14ac:dyDescent="0.3">
      <c r="A1" s="42" t="s">
        <v>0</v>
      </c>
      <c r="B1" s="41" t="s">
        <v>5609</v>
      </c>
      <c r="C1" s="42"/>
      <c r="D1" s="42"/>
      <c r="E1" s="42" t="s">
        <v>0</v>
      </c>
      <c r="F1" s="42" t="s">
        <v>0</v>
      </c>
      <c r="G1" s="42" t="s">
        <v>0</v>
      </c>
      <c r="H1" s="42" t="s">
        <v>0</v>
      </c>
      <c r="I1" s="42" t="s">
        <v>0</v>
      </c>
      <c r="J1" s="69" t="s">
        <v>0</v>
      </c>
    </row>
    <row r="2" spans="1:10" ht="51" x14ac:dyDescent="0.3">
      <c r="A2" s="121" t="s">
        <v>5597</v>
      </c>
      <c r="B2" s="121" t="s">
        <v>5598</v>
      </c>
      <c r="C2" s="43" t="s">
        <v>5660</v>
      </c>
      <c r="D2" s="43" t="s">
        <v>586</v>
      </c>
      <c r="E2" s="44" t="s">
        <v>588</v>
      </c>
      <c r="F2" s="44" t="s">
        <v>589</v>
      </c>
      <c r="G2" s="44" t="s">
        <v>590</v>
      </c>
      <c r="H2" s="44" t="s">
        <v>591</v>
      </c>
      <c r="I2" s="45" t="s">
        <v>592</v>
      </c>
      <c r="J2" s="69" t="s">
        <v>0</v>
      </c>
    </row>
    <row r="3" spans="1:10" x14ac:dyDescent="0.3">
      <c r="A3" s="163"/>
      <c r="B3" s="46" t="s">
        <v>0</v>
      </c>
      <c r="C3" s="47"/>
      <c r="D3" s="47"/>
      <c r="E3" s="47"/>
      <c r="F3" s="47"/>
      <c r="G3" s="47"/>
      <c r="H3" s="47"/>
      <c r="I3" s="47"/>
      <c r="J3" s="69"/>
    </row>
    <row r="4" spans="1:10" x14ac:dyDescent="0.3">
      <c r="A4" s="163"/>
      <c r="B4" s="51" t="s">
        <v>5626</v>
      </c>
      <c r="C4" s="49"/>
      <c r="D4" s="47"/>
      <c r="E4" s="47"/>
      <c r="F4" s="47"/>
      <c r="G4" s="47"/>
      <c r="H4" s="47"/>
      <c r="I4" s="47"/>
      <c r="J4" s="69"/>
    </row>
    <row r="5" spans="1:10" x14ac:dyDescent="0.3">
      <c r="A5" s="163"/>
      <c r="B5" s="132" t="s">
        <v>0</v>
      </c>
      <c r="C5" s="49"/>
      <c r="D5" s="47"/>
      <c r="E5" s="47"/>
      <c r="F5" s="47"/>
      <c r="G5" s="47"/>
      <c r="H5" s="47"/>
      <c r="I5" s="47"/>
      <c r="J5" s="69"/>
    </row>
    <row r="6" spans="1:10" x14ac:dyDescent="0.3">
      <c r="A6" s="163"/>
      <c r="B6" s="173" t="s">
        <v>5632</v>
      </c>
      <c r="C6" s="49"/>
      <c r="D6" s="47"/>
      <c r="E6" s="47"/>
      <c r="F6" s="47"/>
      <c r="G6" s="47"/>
      <c r="H6" s="47"/>
      <c r="I6" s="47"/>
      <c r="J6" s="69"/>
    </row>
    <row r="7" spans="1:10" x14ac:dyDescent="0.3">
      <c r="A7" s="163"/>
      <c r="B7" s="47" t="s">
        <v>0</v>
      </c>
      <c r="C7" s="47"/>
      <c r="D7" s="47"/>
      <c r="E7" s="47"/>
      <c r="F7" s="47"/>
      <c r="G7" s="47"/>
      <c r="H7" s="47"/>
      <c r="I7" s="47"/>
      <c r="J7" s="69"/>
    </row>
    <row r="8" spans="1:10" x14ac:dyDescent="0.3">
      <c r="A8" s="163"/>
      <c r="B8" s="51" t="s">
        <v>5633</v>
      </c>
      <c r="C8" s="49"/>
      <c r="D8" s="47"/>
      <c r="E8" s="47"/>
      <c r="F8" s="47"/>
      <c r="G8" s="47"/>
      <c r="H8" s="47"/>
      <c r="I8" s="47"/>
      <c r="J8" s="69"/>
    </row>
    <row r="9" spans="1:10" x14ac:dyDescent="0.3">
      <c r="A9" s="163"/>
      <c r="B9" s="51" t="s">
        <v>0</v>
      </c>
      <c r="C9" s="47"/>
      <c r="D9" s="47"/>
      <c r="E9" s="47"/>
      <c r="F9" s="47"/>
      <c r="G9" s="47"/>
      <c r="H9" s="47"/>
      <c r="I9" s="47"/>
      <c r="J9" s="69"/>
    </row>
    <row r="10" spans="1:10" x14ac:dyDescent="0.3">
      <c r="A10" s="163"/>
      <c r="B10" s="51" t="s">
        <v>5634</v>
      </c>
      <c r="C10" s="49"/>
      <c r="D10" s="47"/>
      <c r="E10" s="47"/>
      <c r="F10" s="47"/>
      <c r="G10" s="47"/>
      <c r="H10" s="47"/>
      <c r="I10" s="47"/>
      <c r="J10" s="69"/>
    </row>
    <row r="11" spans="1:10" x14ac:dyDescent="0.3">
      <c r="A11" s="163"/>
      <c r="B11" s="174"/>
      <c r="C11" s="47"/>
      <c r="D11" s="47"/>
      <c r="E11" s="47"/>
      <c r="F11" s="47"/>
      <c r="G11" s="47"/>
      <c r="H11" s="47"/>
      <c r="I11" s="47"/>
      <c r="J11" s="69"/>
    </row>
    <row r="12" spans="1:10" x14ac:dyDescent="0.3">
      <c r="A12" s="162" t="s">
        <v>593</v>
      </c>
      <c r="B12" s="145" t="s">
        <v>594</v>
      </c>
      <c r="C12" s="116"/>
      <c r="D12" s="116"/>
      <c r="E12" s="29"/>
      <c r="F12" s="29"/>
      <c r="G12" s="29"/>
      <c r="H12" s="29"/>
      <c r="I12" s="29"/>
      <c r="J12" s="69"/>
    </row>
    <row r="13" spans="1:10" x14ac:dyDescent="0.3">
      <c r="A13" s="162" t="s">
        <v>595</v>
      </c>
      <c r="B13" s="145" t="s">
        <v>596</v>
      </c>
      <c r="C13" s="116"/>
      <c r="D13" s="116"/>
      <c r="E13" s="29"/>
      <c r="F13" s="29"/>
      <c r="G13" s="29"/>
      <c r="H13" s="29"/>
      <c r="I13" s="29"/>
      <c r="J13" s="69"/>
    </row>
    <row r="14" spans="1:10" x14ac:dyDescent="0.3">
      <c r="A14" s="162" t="s">
        <v>597</v>
      </c>
      <c r="B14" s="145" t="s">
        <v>598</v>
      </c>
      <c r="C14" s="116"/>
      <c r="D14" s="116"/>
      <c r="E14" s="29"/>
      <c r="F14" s="29"/>
      <c r="G14" s="29"/>
      <c r="H14" s="29"/>
      <c r="I14" s="29"/>
      <c r="J14" s="69"/>
    </row>
    <row r="15" spans="1:10" x14ac:dyDescent="0.3">
      <c r="A15" s="162" t="s">
        <v>599</v>
      </c>
      <c r="B15" s="145" t="s">
        <v>600</v>
      </c>
      <c r="C15" s="52"/>
      <c r="D15" s="52"/>
      <c r="E15" s="29"/>
      <c r="F15" s="29"/>
      <c r="G15" s="29"/>
      <c r="H15" s="29"/>
      <c r="I15" s="29"/>
      <c r="J15" s="69"/>
    </row>
    <row r="16" spans="1:10" ht="20.399999999999999" x14ac:dyDescent="0.3">
      <c r="A16" s="162" t="s">
        <v>601</v>
      </c>
      <c r="B16" s="145" t="s">
        <v>602</v>
      </c>
      <c r="C16" s="54">
        <f>ROUND(SUM(C12:C14)+C15,0)</f>
        <v>0</v>
      </c>
      <c r="D16" s="54">
        <f>ROUND(SUM(D12:D14)+D15,0)</f>
        <v>0</v>
      </c>
      <c r="E16" s="29"/>
      <c r="F16" s="29"/>
      <c r="G16" s="29"/>
      <c r="H16" s="29"/>
      <c r="I16" s="29"/>
      <c r="J16" s="69"/>
    </row>
    <row r="17" spans="1:10" x14ac:dyDescent="0.3">
      <c r="A17" s="162"/>
      <c r="B17" s="145"/>
      <c r="C17" s="18"/>
      <c r="D17" s="18"/>
      <c r="E17" s="18"/>
      <c r="F17" s="18"/>
      <c r="G17" s="18"/>
      <c r="H17" s="18"/>
      <c r="I17" s="18"/>
      <c r="J17" s="69"/>
    </row>
    <row r="18" spans="1:10" x14ac:dyDescent="0.3">
      <c r="A18" s="162"/>
      <c r="B18" s="148" t="s">
        <v>603</v>
      </c>
      <c r="C18" s="51"/>
      <c r="D18" s="18"/>
      <c r="E18" s="18"/>
      <c r="F18" s="18"/>
      <c r="G18" s="18"/>
      <c r="H18" s="18"/>
      <c r="I18" s="18"/>
      <c r="J18" s="69"/>
    </row>
    <row r="19" spans="1:10" x14ac:dyDescent="0.3">
      <c r="A19" s="162"/>
      <c r="B19" s="145"/>
      <c r="C19" s="18"/>
      <c r="D19" s="18"/>
      <c r="E19" s="18"/>
      <c r="F19" s="18"/>
      <c r="G19" s="18"/>
      <c r="H19" s="18"/>
      <c r="I19" s="18"/>
      <c r="J19" s="69"/>
    </row>
    <row r="20" spans="1:10" x14ac:dyDescent="0.3">
      <c r="A20" s="162" t="s">
        <v>604</v>
      </c>
      <c r="B20" s="145" t="s">
        <v>5689</v>
      </c>
      <c r="C20" s="116"/>
      <c r="D20" s="116"/>
      <c r="E20" s="55" t="str">
        <f t="shared" ref="E20:E26" si="0">IFERROR(TRUNC(IF(C20&lt;&gt;0,C20/$C$133,"")*100,2),"")</f>
        <v/>
      </c>
      <c r="F20" s="55" t="str">
        <f t="shared" ref="F20:F26" si="1">IFERROR(TRUNC(IF(D20&lt;&gt;0,D20/$D$133,"")*100,2),"")</f>
        <v/>
      </c>
      <c r="G20" s="56" t="str">
        <f t="shared" ref="G20:G26" si="2">IF(OR(C20&lt;&gt;0,D20&lt;&gt;0),C20-D20,"")</f>
        <v/>
      </c>
      <c r="H20" s="55" t="str">
        <f t="shared" ref="H20:H26" si="3">IFERROR(ABS(IF(G20&lt;&gt;0,IF(D20&lt;&gt;0,TRUNC(G20/D20*100,2),IF(C20&lt;&gt;0,TRUNC(G20/C20*100,2),"")),"")),"")</f>
        <v/>
      </c>
      <c r="I20" s="108" t="str">
        <f t="shared" ref="I20:I26" si="4">IF(OR(N(E20)&lt;&gt;0,N(F20)&lt;&gt;0),IF(OR(N(E20)&gt;4,N(F20)&gt;4),IF(N(H20)&gt;14,"SI","NO"),"NO"),"NO")</f>
        <v>NO</v>
      </c>
      <c r="J20" s="69"/>
    </row>
    <row r="21" spans="1:10" x14ac:dyDescent="0.3">
      <c r="A21" s="162" t="s">
        <v>605</v>
      </c>
      <c r="B21" s="145" t="s">
        <v>606</v>
      </c>
      <c r="C21" s="116"/>
      <c r="D21" s="116"/>
      <c r="E21" s="55" t="str">
        <f t="shared" si="0"/>
        <v/>
      </c>
      <c r="F21" s="55" t="str">
        <f t="shared" si="1"/>
        <v/>
      </c>
      <c r="G21" s="56" t="str">
        <f t="shared" si="2"/>
        <v/>
      </c>
      <c r="H21" s="55" t="str">
        <f t="shared" si="3"/>
        <v/>
      </c>
      <c r="I21" s="108" t="str">
        <f t="shared" si="4"/>
        <v>NO</v>
      </c>
      <c r="J21" s="69"/>
    </row>
    <row r="22" spans="1:10" x14ac:dyDescent="0.3">
      <c r="A22" s="162" t="s">
        <v>607</v>
      </c>
      <c r="B22" s="145" t="s">
        <v>5653</v>
      </c>
      <c r="C22" s="116"/>
      <c r="D22" s="116"/>
      <c r="E22" s="55" t="str">
        <f t="shared" si="0"/>
        <v/>
      </c>
      <c r="F22" s="55" t="str">
        <f t="shared" si="1"/>
        <v/>
      </c>
      <c r="G22" s="56" t="str">
        <f t="shared" si="2"/>
        <v/>
      </c>
      <c r="H22" s="55" t="str">
        <f t="shared" si="3"/>
        <v/>
      </c>
      <c r="I22" s="108" t="str">
        <f t="shared" si="4"/>
        <v>NO</v>
      </c>
      <c r="J22" s="69"/>
    </row>
    <row r="23" spans="1:10" ht="20.399999999999999" x14ac:dyDescent="0.3">
      <c r="A23" s="162" t="s">
        <v>608</v>
      </c>
      <c r="B23" s="145" t="s">
        <v>609</v>
      </c>
      <c r="C23" s="116"/>
      <c r="D23" s="116"/>
      <c r="E23" s="55" t="str">
        <f t="shared" si="0"/>
        <v/>
      </c>
      <c r="F23" s="55" t="str">
        <f t="shared" si="1"/>
        <v/>
      </c>
      <c r="G23" s="56" t="str">
        <f t="shared" si="2"/>
        <v/>
      </c>
      <c r="H23" s="55" t="str">
        <f t="shared" si="3"/>
        <v/>
      </c>
      <c r="I23" s="108" t="str">
        <f t="shared" si="4"/>
        <v>NO</v>
      </c>
      <c r="J23" s="69"/>
    </row>
    <row r="24" spans="1:10" x14ac:dyDescent="0.3">
      <c r="A24" s="162" t="s">
        <v>610</v>
      </c>
      <c r="B24" s="145" t="s">
        <v>611</v>
      </c>
      <c r="C24" s="116"/>
      <c r="D24" s="116"/>
      <c r="E24" s="55" t="str">
        <f t="shared" si="0"/>
        <v/>
      </c>
      <c r="F24" s="55" t="str">
        <f t="shared" si="1"/>
        <v/>
      </c>
      <c r="G24" s="56" t="str">
        <f t="shared" si="2"/>
        <v/>
      </c>
      <c r="H24" s="55" t="str">
        <f t="shared" si="3"/>
        <v/>
      </c>
      <c r="I24" s="108" t="str">
        <f t="shared" si="4"/>
        <v>NO</v>
      </c>
      <c r="J24" s="69"/>
    </row>
    <row r="25" spans="1:10" ht="20.399999999999999" x14ac:dyDescent="0.3">
      <c r="A25" s="162" t="s">
        <v>612</v>
      </c>
      <c r="B25" s="145" t="s">
        <v>613</v>
      </c>
      <c r="C25" s="116"/>
      <c r="D25" s="116"/>
      <c r="E25" s="55" t="str">
        <f t="shared" si="0"/>
        <v/>
      </c>
      <c r="F25" s="55" t="str">
        <f t="shared" si="1"/>
        <v/>
      </c>
      <c r="G25" s="56" t="str">
        <f t="shared" si="2"/>
        <v/>
      </c>
      <c r="H25" s="55" t="str">
        <f t="shared" si="3"/>
        <v/>
      </c>
      <c r="I25" s="108" t="str">
        <f t="shared" si="4"/>
        <v>NO</v>
      </c>
      <c r="J25" s="69"/>
    </row>
    <row r="26" spans="1:10" ht="20.399999999999999" x14ac:dyDescent="0.3">
      <c r="A26" s="162" t="s">
        <v>614</v>
      </c>
      <c r="B26" s="145" t="s">
        <v>615</v>
      </c>
      <c r="C26" s="116"/>
      <c r="D26" s="116"/>
      <c r="E26" s="55" t="str">
        <f t="shared" si="0"/>
        <v/>
      </c>
      <c r="F26" s="55" t="str">
        <f t="shared" si="1"/>
        <v/>
      </c>
      <c r="G26" s="56" t="str">
        <f t="shared" si="2"/>
        <v/>
      </c>
      <c r="H26" s="55" t="str">
        <f t="shared" si="3"/>
        <v/>
      </c>
      <c r="I26" s="108" t="str">
        <f t="shared" si="4"/>
        <v>NO</v>
      </c>
      <c r="J26" s="69"/>
    </row>
    <row r="27" spans="1:10" x14ac:dyDescent="0.3">
      <c r="A27" s="162" t="s">
        <v>616</v>
      </c>
      <c r="B27" s="145" t="s">
        <v>617</v>
      </c>
      <c r="C27" s="52"/>
      <c r="D27" s="52"/>
      <c r="E27" s="57"/>
      <c r="F27" s="57"/>
      <c r="G27" s="52"/>
      <c r="H27" s="57"/>
      <c r="I27" s="58"/>
      <c r="J27" s="69"/>
    </row>
    <row r="28" spans="1:10" x14ac:dyDescent="0.3">
      <c r="A28" s="162" t="s">
        <v>618</v>
      </c>
      <c r="B28" s="145" t="s">
        <v>619</v>
      </c>
      <c r="C28" s="116"/>
      <c r="D28" s="116"/>
      <c r="E28" s="55" t="str">
        <f>IFERROR(TRUNC(IF(C28&lt;&gt;0,C28/$C$133,"")*100,2),"")</f>
        <v/>
      </c>
      <c r="F28" s="55" t="str">
        <f>IFERROR(TRUNC(IF(D28&lt;&gt;0,D28/$D$133,"")*100,2),"")</f>
        <v/>
      </c>
      <c r="G28" s="56" t="str">
        <f>IF(OR(C28&lt;&gt;0,D28&lt;&gt;0),C28-D28,"")</f>
        <v/>
      </c>
      <c r="H28" s="55" t="str">
        <f>IFERROR(ABS(IF(G28&lt;&gt;0,IF(D28&lt;&gt;0,TRUNC(G28/D28*100,2),IF(C28&lt;&gt;0,TRUNC(G28/C28*100,2),"")),"")),"")</f>
        <v/>
      </c>
      <c r="I28" s="108" t="str">
        <f>IF(OR(N(E28)&lt;&gt;0,N(F28)&lt;&gt;0),IF(OR(N(E28)&gt;4,N(F28)&gt;4),IF(N(H28)&gt;14,"SI","NO"),"NO"),"NO")</f>
        <v>NO</v>
      </c>
      <c r="J28" s="69"/>
    </row>
    <row r="29" spans="1:10" x14ac:dyDescent="0.3">
      <c r="A29" s="162" t="s">
        <v>620</v>
      </c>
      <c r="B29" s="145" t="s">
        <v>621</v>
      </c>
      <c r="C29" s="116"/>
      <c r="D29" s="116"/>
      <c r="E29" s="55" t="str">
        <f>IFERROR(TRUNC(IF(C29&lt;&gt;0,C29/$C$133,"")*100,2),"")</f>
        <v/>
      </c>
      <c r="F29" s="55" t="str">
        <f>IFERROR(TRUNC(IF(D29&lt;&gt;0,D29/$D$133,"")*100,2),"")</f>
        <v/>
      </c>
      <c r="G29" s="56" t="str">
        <f>IF(OR(C29&lt;&gt;0,D29&lt;&gt;0),C29-D29,"")</f>
        <v/>
      </c>
      <c r="H29" s="55" t="str">
        <f>IFERROR(ABS(IF(G29&lt;&gt;0,IF(D29&lt;&gt;0,TRUNC(G29/D29*100,2),IF(C29&lt;&gt;0,TRUNC(G29/C29*100,2),"")),"")),"")</f>
        <v/>
      </c>
      <c r="I29" s="108" t="str">
        <f>IF(OR(N(E29)&lt;&gt;0,N(F29)&lt;&gt;0),IF(OR(N(E29)&gt;4,N(F29)&gt;4),IF(N(H29)&gt;14,"SI","NO"),"NO"),"NO")</f>
        <v>NO</v>
      </c>
      <c r="J29" s="69"/>
    </row>
    <row r="30" spans="1:10" x14ac:dyDescent="0.3">
      <c r="A30" s="162" t="s">
        <v>622</v>
      </c>
      <c r="B30" s="145" t="s">
        <v>623</v>
      </c>
      <c r="C30" s="52"/>
      <c r="D30" s="52"/>
      <c r="E30" s="57"/>
      <c r="F30" s="57"/>
      <c r="G30" s="52"/>
      <c r="H30" s="57"/>
      <c r="I30" s="58"/>
      <c r="J30" s="69"/>
    </row>
    <row r="31" spans="1:10" x14ac:dyDescent="0.3">
      <c r="A31" s="162" t="s">
        <v>624</v>
      </c>
      <c r="B31" s="145" t="s">
        <v>625</v>
      </c>
      <c r="C31" s="54">
        <f>ROUND(SUM(C20:C27)+C29+C28+C30,0)</f>
        <v>0</v>
      </c>
      <c r="D31" s="54">
        <f>ROUND(SUM(D20:D27)+D29+D28+D30,0)</f>
        <v>0</v>
      </c>
      <c r="E31" s="29"/>
      <c r="F31" s="29"/>
      <c r="G31" s="29"/>
      <c r="H31" s="29"/>
      <c r="I31" s="29"/>
      <c r="J31" s="69"/>
    </row>
    <row r="32" spans="1:10" x14ac:dyDescent="0.3">
      <c r="A32" s="162"/>
      <c r="B32" s="145"/>
      <c r="C32" s="18"/>
      <c r="D32" s="18"/>
      <c r="E32" s="18"/>
      <c r="F32" s="18"/>
      <c r="G32" s="18"/>
      <c r="H32" s="18"/>
      <c r="I32" s="18"/>
      <c r="J32" s="69"/>
    </row>
    <row r="33" spans="1:10" x14ac:dyDescent="0.3">
      <c r="A33" s="162"/>
      <c r="B33" s="148" t="s">
        <v>626</v>
      </c>
      <c r="C33" s="51"/>
      <c r="D33" s="18"/>
      <c r="E33" s="18"/>
      <c r="F33" s="18"/>
      <c r="G33" s="18"/>
      <c r="H33" s="18"/>
      <c r="I33" s="18"/>
      <c r="J33" s="69"/>
    </row>
    <row r="34" spans="1:10" x14ac:dyDescent="0.3">
      <c r="A34" s="162"/>
      <c r="B34" s="145"/>
      <c r="C34" s="18"/>
      <c r="D34" s="18"/>
      <c r="E34" s="18"/>
      <c r="F34" s="18"/>
      <c r="G34" s="18"/>
      <c r="H34" s="18"/>
      <c r="I34" s="18"/>
      <c r="J34" s="69"/>
    </row>
    <row r="35" spans="1:10" x14ac:dyDescent="0.3">
      <c r="A35" s="162" t="s">
        <v>627</v>
      </c>
      <c r="B35" s="145" t="s">
        <v>628</v>
      </c>
      <c r="C35" s="193">
        <f>ROUND('ANEXO 6'!C52,0)</f>
        <v>0</v>
      </c>
      <c r="D35" s="192">
        <f>ROUND('ANEXO 6'!D52,0)</f>
        <v>0</v>
      </c>
      <c r="E35" s="59" t="str">
        <f>IFERROR(TRUNC(IF(C35&lt;&gt;0,C35/$C$133,"")*100,2),"")</f>
        <v/>
      </c>
      <c r="F35" s="59" t="str">
        <f>IFERROR(TRUNC(IF(D35&lt;&gt;0,D35/$D$133,"")*100,2),"")</f>
        <v/>
      </c>
      <c r="G35" s="60" t="str">
        <f>IF(OR(C35&lt;&gt;0,D35&lt;&gt;0),C35-D35,"")</f>
        <v/>
      </c>
      <c r="H35" s="59" t="str">
        <f>IFERROR(ABS(IF(G35&lt;&gt;0,IF(D35&lt;&gt;0,TRUNC(G35/D35*100,2),IF(C35&lt;&gt;0,TRUNC(G35/C35*100,2),"")),"")),"")</f>
        <v/>
      </c>
      <c r="I35" s="103" t="str">
        <f>IF(OR(N(E35)&lt;&gt;0,N(F35)&lt;&gt;0),IF(OR(N(E35)&gt;4,N(F35)&gt;4),IF(N(H35)&gt;14,"SI","NO"),"NO"),"NO")</f>
        <v>NO</v>
      </c>
      <c r="J35" s="69"/>
    </row>
    <row r="36" spans="1:10" x14ac:dyDescent="0.3">
      <c r="A36" s="162" t="s">
        <v>629</v>
      </c>
      <c r="B36" s="145" t="s">
        <v>630</v>
      </c>
      <c r="C36" s="193">
        <f>ROUND('ANEXO 6'!C41,0)</f>
        <v>0</v>
      </c>
      <c r="D36" s="192">
        <f>ROUND('ANEXO 6'!D41,0)</f>
        <v>0</v>
      </c>
      <c r="E36" s="59" t="str">
        <f>IFERROR(TRUNC(IF(C36&lt;&gt;0,C36/$C$133,"")*100,2),"")</f>
        <v/>
      </c>
      <c r="F36" s="59" t="str">
        <f>IFERROR(TRUNC(IF(D36&lt;&gt;0,D36/$D$133,"")*100,2),"")</f>
        <v/>
      </c>
      <c r="G36" s="60" t="str">
        <f>IF(OR(C36&lt;&gt;0,D36&lt;&gt;0),C36-D36,"")</f>
        <v/>
      </c>
      <c r="H36" s="59" t="str">
        <f>IFERROR(ABS(IF(G36&lt;&gt;0,IF(D36&lt;&gt;0,TRUNC(G36/D36*100,2),IF(C36&lt;&gt;0,TRUNC(G36/C36*100,2),"")),"")),"")</f>
        <v/>
      </c>
      <c r="I36" s="103" t="str">
        <f>IF(OR(N(E36)&lt;&gt;0,N(F36)&lt;&gt;0),IF(OR(N(E36)&gt;4,N(F36)&gt;4),IF(N(H36)&gt;14,"SI","NO"),"NO"),"NO")</f>
        <v>NO</v>
      </c>
      <c r="J36" s="69"/>
    </row>
    <row r="37" spans="1:10" x14ac:dyDescent="0.3">
      <c r="A37" s="162" t="s">
        <v>631</v>
      </c>
      <c r="B37" s="145" t="s">
        <v>632</v>
      </c>
      <c r="C37" s="193">
        <f>ROUND('ANEXO 6'!C18,0)</f>
        <v>0</v>
      </c>
      <c r="D37" s="192">
        <f>ROUND('ANEXO 6'!D18,0)</f>
        <v>0</v>
      </c>
      <c r="E37" s="59" t="str">
        <f>IFERROR(TRUNC(IF(C37&lt;&gt;0,C37/$C$133,"")*100,2),"")</f>
        <v/>
      </c>
      <c r="F37" s="59" t="str">
        <f>IFERROR(TRUNC(IF(D37&lt;&gt;0,D37/$D$133,"")*100,2),"")</f>
        <v/>
      </c>
      <c r="G37" s="60" t="str">
        <f>IF(OR(C37&lt;&gt;0,D37&lt;&gt;0),C37-D37,"")</f>
        <v/>
      </c>
      <c r="H37" s="59" t="str">
        <f>IFERROR(ABS(IF(G37&lt;&gt;0,IF(D37&lt;&gt;0,TRUNC(G37/D37*100,2),IF(C37&lt;&gt;0,TRUNC(G37/C37*100,2),"")),"")),"")</f>
        <v/>
      </c>
      <c r="I37" s="103" t="str">
        <f>IF(OR(N(E37)&lt;&gt;0,N(F37)&lt;&gt;0),IF(OR(N(E37)&gt;4,N(F37)&gt;4),IF(N(H37)&gt;14,"SI","NO"),"NO"),"NO")</f>
        <v>NO</v>
      </c>
      <c r="J37" s="69"/>
    </row>
    <row r="38" spans="1:10" x14ac:dyDescent="0.3">
      <c r="A38" s="162" t="s">
        <v>633</v>
      </c>
      <c r="B38" s="145" t="s">
        <v>634</v>
      </c>
      <c r="C38" s="116"/>
      <c r="D38" s="117"/>
      <c r="E38" s="59" t="str">
        <f>IFERROR(TRUNC(IF(C38&lt;&gt;0,C38/$C$133,"")*100,2),"")</f>
        <v/>
      </c>
      <c r="F38" s="59" t="str">
        <f>IFERROR(TRUNC(IF(D38&lt;&gt;0,D38/$D$133,"")*100,2),"")</f>
        <v/>
      </c>
      <c r="G38" s="60" t="str">
        <f>IF(OR(C38&lt;&gt;0,D38&lt;&gt;0),C38-D38,"")</f>
        <v/>
      </c>
      <c r="H38" s="59" t="str">
        <f>IFERROR(ABS(IF(G38&lt;&gt;0,IF(D38&lt;&gt;0,TRUNC(G38/D38*100,2),IF(C38&lt;&gt;0,TRUNC(G38/C38*100,2),"")),"")),"")</f>
        <v/>
      </c>
      <c r="I38" s="103" t="str">
        <f>IF(OR(N(E38)&lt;&gt;0,N(F38)&lt;&gt;0),IF(OR(N(E38)&gt;4,N(F38)&gt;4),IF(N(H38)&gt;14,"SI","NO"),"NO"),"NO")</f>
        <v>NO</v>
      </c>
      <c r="J38" s="69"/>
    </row>
    <row r="39" spans="1:10" x14ac:dyDescent="0.3">
      <c r="A39" s="162" t="s">
        <v>635</v>
      </c>
      <c r="B39" s="145" t="s">
        <v>636</v>
      </c>
      <c r="C39" s="116"/>
      <c r="D39" s="116"/>
      <c r="E39" s="55" t="str">
        <f>IFERROR(TRUNC(IF(C39&lt;&gt;0,C39/$C$133,"")*100,2),"")</f>
        <v/>
      </c>
      <c r="F39" s="55" t="str">
        <f>IFERROR(TRUNC(IF(D39&lt;&gt;0,D39/$D$133,"")*100,2),"")</f>
        <v/>
      </c>
      <c r="G39" s="56" t="str">
        <f>IF(OR(C39&lt;&gt;0,D39&lt;&gt;0),C39-D39,"")</f>
        <v/>
      </c>
      <c r="H39" s="55" t="str">
        <f>IFERROR(ABS(IF(G39&lt;&gt;0,IF(D39&lt;&gt;0,TRUNC(G39/D39*100,2),IF(C39&lt;&gt;0,TRUNC(G39/C39*100,2),"")),"")),"")</f>
        <v/>
      </c>
      <c r="I39" s="108" t="str">
        <f>IF(OR(N(E39)&lt;&gt;0,N(F39)&lt;&gt;0),IF(OR(N(E39)&gt;4,N(F39)&gt;4),IF(N(H39)&gt;14,"SI","NO"),"NO"),"NO")</f>
        <v>NO</v>
      </c>
      <c r="J39" s="69"/>
    </row>
    <row r="40" spans="1:10" x14ac:dyDescent="0.3">
      <c r="A40" s="162" t="s">
        <v>637</v>
      </c>
      <c r="B40" s="145" t="s">
        <v>638</v>
      </c>
      <c r="C40" s="52"/>
      <c r="D40" s="52"/>
      <c r="E40" s="57"/>
      <c r="F40" s="57"/>
      <c r="G40" s="52"/>
      <c r="H40" s="57"/>
      <c r="I40" s="58"/>
      <c r="J40" s="69"/>
    </row>
    <row r="41" spans="1:10" x14ac:dyDescent="0.3">
      <c r="A41" s="162" t="s">
        <v>639</v>
      </c>
      <c r="B41" s="145" t="s">
        <v>640</v>
      </c>
      <c r="C41" s="54">
        <f>ROUND(SUM(C35:C40),0)</f>
        <v>0</v>
      </c>
      <c r="D41" s="54">
        <f>ROUND(SUM(D35:D40),0)</f>
        <v>0</v>
      </c>
      <c r="E41" s="29"/>
      <c r="F41" s="29"/>
      <c r="G41" s="29"/>
      <c r="H41" s="29"/>
      <c r="I41" s="29"/>
      <c r="J41" s="69"/>
    </row>
    <row r="42" spans="1:10" x14ac:dyDescent="0.3">
      <c r="A42" s="162"/>
      <c r="B42" s="145"/>
      <c r="C42" s="18"/>
      <c r="D42" s="18"/>
      <c r="E42" s="18"/>
      <c r="F42" s="18"/>
      <c r="G42" s="18"/>
      <c r="H42" s="18"/>
      <c r="I42" s="18"/>
      <c r="J42" s="69"/>
    </row>
    <row r="43" spans="1:10" x14ac:dyDescent="0.3">
      <c r="A43" s="162"/>
      <c r="B43" s="148" t="s">
        <v>641</v>
      </c>
      <c r="C43" s="51"/>
      <c r="D43" s="18"/>
      <c r="E43" s="18"/>
      <c r="F43" s="18"/>
      <c r="G43" s="18"/>
      <c r="H43" s="18"/>
      <c r="I43" s="18"/>
      <c r="J43" s="69"/>
    </row>
    <row r="44" spans="1:10" x14ac:dyDescent="0.3">
      <c r="A44" s="162"/>
      <c r="B44" s="145"/>
      <c r="C44" s="18"/>
      <c r="D44" s="18"/>
      <c r="E44" s="18"/>
      <c r="F44" s="18"/>
      <c r="G44" s="18"/>
      <c r="H44" s="18"/>
      <c r="I44" s="18"/>
      <c r="J44" s="69"/>
    </row>
    <row r="45" spans="1:10" x14ac:dyDescent="0.3">
      <c r="A45" s="162" t="s">
        <v>642</v>
      </c>
      <c r="B45" s="145" t="s">
        <v>643</v>
      </c>
      <c r="C45" s="116"/>
      <c r="D45" s="116"/>
      <c r="E45" s="55" t="str">
        <f>IFERROR(TRUNC(IF(C45&lt;&gt;0,C45/$C$133,"")*100,2),"")</f>
        <v/>
      </c>
      <c r="F45" s="55" t="str">
        <f>IFERROR(TRUNC(IF(D45&lt;&gt;0,D45/$D$133,"")*100,2),"")</f>
        <v/>
      </c>
      <c r="G45" s="56" t="str">
        <f>IF(OR(C45&lt;&gt;0,D45&lt;&gt;0),C45-D45,"")</f>
        <v/>
      </c>
      <c r="H45" s="55" t="str">
        <f>IFERROR(ABS(IF(G45&lt;&gt;0,IF(D45&lt;&gt;0,TRUNC(G45/D45*100,2),IF(C45&lt;&gt;0,TRUNC(G45/C45*100,2),"")),"")),"")</f>
        <v/>
      </c>
      <c r="I45" s="108" t="str">
        <f>IF(OR(N(E45)&lt;&gt;0,N(F45)&lt;&gt;0),IF(OR(N(E45)&gt;4,N(F45)&gt;4),IF(N(H45)&gt;14,"SI","NO"),"NO"),"NO")</f>
        <v>NO</v>
      </c>
      <c r="J45" s="69"/>
    </row>
    <row r="46" spans="1:10" x14ac:dyDescent="0.3">
      <c r="A46" s="162" t="s">
        <v>644</v>
      </c>
      <c r="B46" s="145" t="s">
        <v>645</v>
      </c>
      <c r="C46" s="116"/>
      <c r="D46" s="116"/>
      <c r="E46" s="55" t="str">
        <f>IFERROR(TRUNC(IF(C46&lt;&gt;0,C46/$C$133,"")*100,2),"")</f>
        <v/>
      </c>
      <c r="F46" s="55" t="str">
        <f>IFERROR(TRUNC(IF(D46&lt;&gt;0,D46/$D$133,"")*100,2),"")</f>
        <v/>
      </c>
      <c r="G46" s="56" t="str">
        <f>IF(OR(C46&lt;&gt;0,D46&lt;&gt;0),C46-D46,"")</f>
        <v/>
      </c>
      <c r="H46" s="55" t="str">
        <f>IFERROR(ABS(IF(G46&lt;&gt;0,IF(D46&lt;&gt;0,TRUNC(G46/D46*100,2),IF(C46&lt;&gt;0,TRUNC(G46/C46*100,2),"")),"")),"")</f>
        <v/>
      </c>
      <c r="I46" s="108" t="str">
        <f>IF(OR(N(E46)&lt;&gt;0,N(F46)&lt;&gt;0),IF(OR(N(E46)&gt;4,N(F46)&gt;4),IF(N(H46)&gt;14,"SI","NO"),"NO"),"NO")</f>
        <v>NO</v>
      </c>
      <c r="J46" s="69"/>
    </row>
    <row r="47" spans="1:10" x14ac:dyDescent="0.3">
      <c r="A47" s="162" t="s">
        <v>646</v>
      </c>
      <c r="B47" s="145" t="s">
        <v>647</v>
      </c>
      <c r="C47" s="52"/>
      <c r="D47" s="52"/>
      <c r="E47" s="57"/>
      <c r="F47" s="57"/>
      <c r="G47" s="52"/>
      <c r="H47" s="57"/>
      <c r="I47" s="58"/>
      <c r="J47" s="69"/>
    </row>
    <row r="48" spans="1:10" ht="20.399999999999999" x14ac:dyDescent="0.3">
      <c r="A48" s="162" t="s">
        <v>648</v>
      </c>
      <c r="B48" s="145" t="s">
        <v>649</v>
      </c>
      <c r="C48" s="116"/>
      <c r="D48" s="116"/>
      <c r="E48" s="55" t="str">
        <f>IFERROR(TRUNC(IF(C48&lt;&gt;0,C48/$C$133,"")*100,2),"")</f>
        <v/>
      </c>
      <c r="F48" s="55" t="str">
        <f>IFERROR(TRUNC(IF(D48&lt;&gt;0,D48/$D$133,"")*100,2),"")</f>
        <v/>
      </c>
      <c r="G48" s="56" t="str">
        <f>IF(OR(C48&lt;&gt;0,D48&lt;&gt;0),C48-D48,"")</f>
        <v/>
      </c>
      <c r="H48" s="55" t="str">
        <f>IFERROR(ABS(IF(G48&lt;&gt;0,IF(D48&lt;&gt;0,TRUNC(G48/D48*100,2),IF(C48&lt;&gt;0,TRUNC(G48/C48*100,2),"")),"")),"")</f>
        <v/>
      </c>
      <c r="I48" s="108" t="str">
        <f>IF(OR(N(E48)&lt;&gt;0,N(F48)&lt;&gt;0),IF(OR(N(E48)&gt;4,N(F48)&gt;4),IF(N(H48)&gt;14,"SI","NO"),"NO"),"NO")</f>
        <v>NO</v>
      </c>
      <c r="J48" s="69"/>
    </row>
    <row r="49" spans="1:10" x14ac:dyDescent="0.3">
      <c r="A49" s="162" t="s">
        <v>650</v>
      </c>
      <c r="B49" s="145" t="s">
        <v>651</v>
      </c>
      <c r="C49" s="54">
        <f>ROUND(SUM(C45:C47)+C48,0)</f>
        <v>0</v>
      </c>
      <c r="D49" s="54">
        <f>ROUND(SUM(D45:D47)+D48,0)</f>
        <v>0</v>
      </c>
      <c r="E49" s="29"/>
      <c r="F49" s="29"/>
      <c r="G49" s="29"/>
      <c r="H49" s="29"/>
      <c r="I49" s="29"/>
      <c r="J49" s="69"/>
    </row>
    <row r="50" spans="1:10" x14ac:dyDescent="0.3">
      <c r="A50" s="162"/>
      <c r="B50" s="145"/>
      <c r="C50" s="18"/>
      <c r="D50" s="18"/>
      <c r="E50" s="18"/>
      <c r="F50" s="18"/>
      <c r="G50" s="18"/>
      <c r="H50" s="18"/>
      <c r="I50" s="18"/>
      <c r="J50" s="69"/>
    </row>
    <row r="51" spans="1:10" x14ac:dyDescent="0.3">
      <c r="A51" s="162" t="s">
        <v>652</v>
      </c>
      <c r="B51" s="145" t="s">
        <v>653</v>
      </c>
      <c r="C51" s="52"/>
      <c r="D51" s="52"/>
      <c r="E51" s="57"/>
      <c r="F51" s="57"/>
      <c r="G51" s="52"/>
      <c r="H51" s="57"/>
      <c r="I51" s="58"/>
      <c r="J51" s="69"/>
    </row>
    <row r="52" spans="1:10" x14ac:dyDescent="0.3">
      <c r="A52" s="162"/>
      <c r="B52" s="145"/>
      <c r="C52" s="18"/>
      <c r="D52" s="18"/>
      <c r="E52" s="18"/>
      <c r="F52" s="18"/>
      <c r="G52" s="18"/>
      <c r="H52" s="18"/>
      <c r="I52" s="18"/>
      <c r="J52" s="69"/>
    </row>
    <row r="53" spans="1:10" x14ac:dyDescent="0.3">
      <c r="A53" s="162" t="s">
        <v>654</v>
      </c>
      <c r="B53" s="145" t="s">
        <v>655</v>
      </c>
      <c r="C53" s="116"/>
      <c r="D53" s="116"/>
      <c r="E53" s="55" t="str">
        <f>IFERROR(TRUNC(IF(C53&lt;&gt;0,C53/$C$133,"")*100,2),"")</f>
        <v/>
      </c>
      <c r="F53" s="55" t="str">
        <f>IFERROR(TRUNC(IF(D53&lt;&gt;0,D53/$D$133,"")*100,2),"")</f>
        <v/>
      </c>
      <c r="G53" s="56" t="str">
        <f>IF(OR(C53&lt;&gt;0,D53&lt;&gt;0),C53-D53,"")</f>
        <v/>
      </c>
      <c r="H53" s="55" t="str">
        <f>IFERROR(ABS(IF(G53&lt;&gt;0,IF(D53&lt;&gt;0,TRUNC(G53/D53*100,2),IF(C53&lt;&gt;0,TRUNC(G53/C53*100,2),"")),"")),"")</f>
        <v/>
      </c>
      <c r="I53" s="108" t="str">
        <f>IF(OR(N(E53)&lt;&gt;0,N(F53)&lt;&gt;0),IF(OR(N(E53)&gt;4,N(F53)&gt;4),IF(N(H53)&gt;14,"SI","NO"),"NO"),"NO")</f>
        <v>NO</v>
      </c>
      <c r="J53" s="69"/>
    </row>
    <row r="54" spans="1:10" x14ac:dyDescent="0.3">
      <c r="A54" s="162"/>
      <c r="B54" s="145"/>
      <c r="C54" s="18"/>
      <c r="D54" s="18"/>
      <c r="E54" s="18"/>
      <c r="F54" s="18"/>
      <c r="G54" s="18"/>
      <c r="H54" s="18"/>
      <c r="I54" s="18"/>
      <c r="J54" s="69"/>
    </row>
    <row r="55" spans="1:10" x14ac:dyDescent="0.3">
      <c r="A55" s="162" t="s">
        <v>656</v>
      </c>
      <c r="B55" s="145" t="s">
        <v>657</v>
      </c>
      <c r="C55" s="116">
        <f>ROUND(C16+C31+C41+C49+C51+C53,0)</f>
        <v>0</v>
      </c>
      <c r="D55" s="116">
        <f>ROUND(D16+D31+D41+D49+D51+D53,0)</f>
        <v>0</v>
      </c>
      <c r="E55" s="29"/>
      <c r="F55" s="29"/>
      <c r="G55" s="29"/>
      <c r="H55" s="29"/>
      <c r="I55" s="29"/>
      <c r="J55" s="69"/>
    </row>
    <row r="56" spans="1:10" x14ac:dyDescent="0.3">
      <c r="A56" s="162"/>
      <c r="B56" s="145"/>
      <c r="C56" s="18"/>
      <c r="D56" s="18"/>
      <c r="E56" s="18"/>
      <c r="F56" s="18"/>
      <c r="G56" s="18"/>
      <c r="H56" s="18"/>
      <c r="I56" s="18"/>
      <c r="J56" s="69"/>
    </row>
    <row r="57" spans="1:10" x14ac:dyDescent="0.3">
      <c r="A57" s="162"/>
      <c r="B57" s="148" t="s">
        <v>658</v>
      </c>
      <c r="C57" s="51"/>
      <c r="D57" s="18"/>
      <c r="E57" s="18"/>
      <c r="F57" s="18"/>
      <c r="G57" s="18"/>
      <c r="H57" s="18"/>
      <c r="I57" s="18"/>
      <c r="J57" s="69"/>
    </row>
    <row r="58" spans="1:10" x14ac:dyDescent="0.3">
      <c r="A58" s="162"/>
      <c r="B58" s="148"/>
      <c r="C58" s="51"/>
      <c r="D58" s="18"/>
      <c r="E58" s="18"/>
      <c r="F58" s="18"/>
      <c r="G58" s="18"/>
      <c r="H58" s="18"/>
      <c r="I58" s="18"/>
      <c r="J58" s="69"/>
    </row>
    <row r="59" spans="1:10" x14ac:dyDescent="0.3">
      <c r="A59" s="162"/>
      <c r="B59" s="148" t="s">
        <v>659</v>
      </c>
      <c r="C59" s="51"/>
      <c r="D59" s="18"/>
      <c r="E59" s="18"/>
      <c r="F59" s="18"/>
      <c r="G59" s="18"/>
      <c r="H59" s="18"/>
      <c r="I59" s="18"/>
      <c r="J59" s="69"/>
    </row>
    <row r="60" spans="1:10" x14ac:dyDescent="0.3">
      <c r="A60" s="162"/>
      <c r="B60" s="145"/>
      <c r="C60" s="18"/>
      <c r="D60" s="18"/>
      <c r="E60" s="18"/>
      <c r="F60" s="18"/>
      <c r="G60" s="18"/>
      <c r="H60" s="18"/>
      <c r="I60" s="18"/>
      <c r="J60" s="69"/>
    </row>
    <row r="61" spans="1:10" ht="20.399999999999999" x14ac:dyDescent="0.3">
      <c r="A61" s="162" t="s">
        <v>660</v>
      </c>
      <c r="B61" s="145" t="s">
        <v>661</v>
      </c>
      <c r="C61" s="116"/>
      <c r="D61" s="116"/>
      <c r="E61" s="55" t="str">
        <f>IFERROR(TRUNC(IF(C61&lt;&gt;0,C61/$C$133,"")*100,2),"")</f>
        <v/>
      </c>
      <c r="F61" s="55" t="str">
        <f>IFERROR(TRUNC(IF(D61&lt;&gt;0,D61/$D$133,"")*100,2),"")</f>
        <v/>
      </c>
      <c r="G61" s="56" t="str">
        <f>IF(OR(C61&lt;&gt;0,D61&lt;&gt;0),C61-D61,"")</f>
        <v/>
      </c>
      <c r="H61" s="55" t="str">
        <f>IFERROR(ABS(IF(G61&lt;&gt;0,IF(D61&lt;&gt;0,TRUNC(G61/D61*100,2),IF(C61&lt;&gt;0,TRUNC(G61/C61*100,2),"")),"")),"")</f>
        <v/>
      </c>
      <c r="I61" s="108" t="str">
        <f>IF(OR(N(E61)&lt;&gt;0,N(F61)&lt;&gt;0),IF(OR(N(E61)&gt;4,N(F61)&gt;4),IF(N(H61)&gt;14,"SI","NO"),"NO"),"NO")</f>
        <v>NO</v>
      </c>
      <c r="J61" s="69"/>
    </row>
    <row r="62" spans="1:10" ht="20.399999999999999" x14ac:dyDescent="0.3">
      <c r="A62" s="162" t="s">
        <v>662</v>
      </c>
      <c r="B62" s="145" t="s">
        <v>663</v>
      </c>
      <c r="C62" s="116"/>
      <c r="D62" s="116"/>
      <c r="E62" s="55" t="str">
        <f>IFERROR(TRUNC(IF(C62&lt;&gt;0,C62/$C$133,"")*100,2),"")</f>
        <v/>
      </c>
      <c r="F62" s="55" t="str">
        <f>IFERROR(TRUNC(IF(D62&lt;&gt;0,D62/$D$133,"")*100,2),"")</f>
        <v/>
      </c>
      <c r="G62" s="56" t="str">
        <f>IF(OR(C62&lt;&gt;0,D62&lt;&gt;0),C62-D62,"")</f>
        <v/>
      </c>
      <c r="H62" s="55" t="str">
        <f>IFERROR(ABS(IF(G62&lt;&gt;0,IF(D62&lt;&gt;0,TRUNC(G62/D62*100,2),IF(C62&lt;&gt;0,TRUNC(G62/C62*100,2),"")),"")),"")</f>
        <v/>
      </c>
      <c r="I62" s="108" t="str">
        <f>IF(OR(N(E62)&lt;&gt;0,N(F62)&lt;&gt;0),IF(OR(N(E62)&gt;4,N(F62)&gt;4),IF(N(H62)&gt;14,"SI","NO"),"NO"),"NO")</f>
        <v>NO</v>
      </c>
      <c r="J62" s="69"/>
    </row>
    <row r="63" spans="1:10" ht="20.399999999999999" x14ac:dyDescent="0.3">
      <c r="A63" s="162" t="s">
        <v>664</v>
      </c>
      <c r="B63" s="145" t="s">
        <v>665</v>
      </c>
      <c r="C63" s="54">
        <f>ROUND(SUM(C61:C62),0)</f>
        <v>0</v>
      </c>
      <c r="D63" s="54">
        <f>ROUND(SUM(D61:D62),0)</f>
        <v>0</v>
      </c>
      <c r="E63" s="29"/>
      <c r="F63" s="29"/>
      <c r="G63" s="29"/>
      <c r="H63" s="29"/>
      <c r="I63" s="29"/>
      <c r="J63" s="69"/>
    </row>
    <row r="64" spans="1:10" x14ac:dyDescent="0.3">
      <c r="A64" s="162"/>
      <c r="B64" s="145"/>
      <c r="C64" s="18"/>
      <c r="D64" s="18"/>
      <c r="E64" s="18"/>
      <c r="F64" s="18"/>
      <c r="G64" s="18"/>
      <c r="H64" s="18"/>
      <c r="I64" s="18"/>
      <c r="J64" s="69"/>
    </row>
    <row r="65" spans="1:10" x14ac:dyDescent="0.3">
      <c r="A65" s="162"/>
      <c r="B65" s="148" t="s">
        <v>666</v>
      </c>
      <c r="C65" s="18"/>
      <c r="D65" s="18"/>
      <c r="E65" s="18"/>
      <c r="F65" s="18"/>
      <c r="G65" s="18"/>
      <c r="H65" s="18"/>
      <c r="I65" s="18"/>
      <c r="J65" s="69"/>
    </row>
    <row r="66" spans="1:10" x14ac:dyDescent="0.3">
      <c r="A66" s="162"/>
      <c r="B66" s="145"/>
      <c r="C66" s="18"/>
      <c r="D66" s="18"/>
      <c r="E66" s="18"/>
      <c r="F66" s="18"/>
      <c r="G66" s="18"/>
      <c r="H66" s="18"/>
      <c r="I66" s="18"/>
      <c r="J66" s="69"/>
    </row>
    <row r="67" spans="1:10" x14ac:dyDescent="0.3">
      <c r="A67" s="162" t="s">
        <v>667</v>
      </c>
      <c r="B67" s="145" t="s">
        <v>645</v>
      </c>
      <c r="C67" s="116"/>
      <c r="D67" s="116"/>
      <c r="E67" s="55" t="str">
        <f>IFERROR(TRUNC(IF(C67&lt;&gt;0,C67/$C$133,"")*100,2),"")</f>
        <v/>
      </c>
      <c r="F67" s="55" t="str">
        <f>IFERROR(TRUNC(IF(D67&lt;&gt;0,D67/$D$133,"")*100,2),"")</f>
        <v/>
      </c>
      <c r="G67" s="56" t="str">
        <f>IF(OR(C67&lt;&gt;0,D67&lt;&gt;0),C67-D67,"")</f>
        <v/>
      </c>
      <c r="H67" s="55" t="str">
        <f>IFERROR(ABS(IF(G67&lt;&gt;0,IF(D67&lt;&gt;0,TRUNC(G67/D67*100,2),IF(C67&lt;&gt;0,TRUNC(G67/C67*100,2),"")),"")),"")</f>
        <v/>
      </c>
      <c r="I67" s="108" t="str">
        <f>IF(OR(N(E67)&lt;&gt;0,N(F67)&lt;&gt;0),IF(OR(N(E67)&gt;4,N(F67)&gt;4),IF(N(H67)&gt;14,"SI","NO"),"NO"),"NO")</f>
        <v>NO</v>
      </c>
      <c r="J67" s="69"/>
    </row>
    <row r="68" spans="1:10" x14ac:dyDescent="0.3">
      <c r="A68" s="162" t="s">
        <v>668</v>
      </c>
      <c r="B68" s="145" t="s">
        <v>647</v>
      </c>
      <c r="C68" s="52"/>
      <c r="D68" s="52"/>
      <c r="E68" s="57"/>
      <c r="F68" s="57"/>
      <c r="G68" s="52"/>
      <c r="H68" s="57"/>
      <c r="I68" s="58"/>
      <c r="J68" s="69"/>
    </row>
    <row r="69" spans="1:10" ht="20.399999999999999" x14ac:dyDescent="0.3">
      <c r="A69" s="162" t="s">
        <v>669</v>
      </c>
      <c r="B69" s="145" t="s">
        <v>670</v>
      </c>
      <c r="C69" s="54">
        <f>ROUND(C67+C68,0)</f>
        <v>0</v>
      </c>
      <c r="D69" s="54">
        <f>ROUND(D67+D68,0)</f>
        <v>0</v>
      </c>
      <c r="E69" s="29"/>
      <c r="F69" s="29"/>
      <c r="G69" s="29"/>
      <c r="H69" s="29"/>
      <c r="I69" s="29"/>
      <c r="J69" s="69"/>
    </row>
    <row r="70" spans="1:10" x14ac:dyDescent="0.3">
      <c r="A70" s="162"/>
      <c r="B70" s="145"/>
      <c r="C70" s="18"/>
      <c r="D70" s="18"/>
      <c r="E70" s="18"/>
      <c r="F70" s="18"/>
      <c r="G70" s="18"/>
      <c r="H70" s="18"/>
      <c r="I70" s="18"/>
      <c r="J70" s="69"/>
    </row>
    <row r="71" spans="1:10" x14ac:dyDescent="0.3">
      <c r="A71" s="162"/>
      <c r="B71" s="148" t="s">
        <v>671</v>
      </c>
      <c r="C71" s="51"/>
      <c r="D71" s="18"/>
      <c r="E71" s="18"/>
      <c r="F71" s="18"/>
      <c r="G71" s="18"/>
      <c r="H71" s="18"/>
      <c r="I71" s="18"/>
      <c r="J71" s="69"/>
    </row>
    <row r="72" spans="1:10" x14ac:dyDescent="0.3">
      <c r="A72" s="162"/>
      <c r="B72" s="145"/>
      <c r="C72" s="18"/>
      <c r="D72" s="18"/>
      <c r="E72" s="18"/>
      <c r="F72" s="18"/>
      <c r="G72" s="18"/>
      <c r="H72" s="18"/>
      <c r="I72" s="18"/>
      <c r="J72" s="69"/>
    </row>
    <row r="73" spans="1:10" x14ac:dyDescent="0.3">
      <c r="A73" s="184" t="s">
        <v>672</v>
      </c>
      <c r="B73" s="189" t="s">
        <v>5427</v>
      </c>
      <c r="C73" s="61"/>
      <c r="D73" s="61"/>
      <c r="E73" s="62" t="str">
        <f>IFERROR(TRUNC(IF(C73&lt;&gt;0,C73/$C$133,"")*100,2),"")</f>
        <v/>
      </c>
      <c r="F73" s="62" t="str">
        <f>IFERROR(TRUNC(IF(D73&lt;&gt;0,D73/$D$133,"")*100,2),"")</f>
        <v/>
      </c>
      <c r="G73" s="63" t="str">
        <f>IF(OR(C73&lt;&gt;0,D73&lt;&gt;0),C73-D73,"")</f>
        <v/>
      </c>
      <c r="H73" s="62" t="str">
        <f>IFERROR(ABS(IF(G73&lt;&gt;0,IF(D73&lt;&gt;0,TRUNC(G73/D73*100,2),IF(C73&lt;&gt;0,TRUNC(G73/C73*100,2),"")),"")),"")</f>
        <v/>
      </c>
      <c r="I73" s="119" t="str">
        <f>IF(OR(N(E73)&lt;&gt;0,N(F73)&lt;&gt;0),IF(OR(N(E73)&gt;4,N(F73)&gt;4),IF(N(H73)&gt;14,"SI","NO"),"NO"),"NO")</f>
        <v>NO</v>
      </c>
      <c r="J73" s="69"/>
    </row>
    <row r="74" spans="1:10" x14ac:dyDescent="0.3">
      <c r="A74" s="162" t="s">
        <v>673</v>
      </c>
      <c r="B74" s="145" t="s">
        <v>674</v>
      </c>
      <c r="C74" s="120">
        <f>ROUND(SUM(C73:C73),0)</f>
        <v>0</v>
      </c>
      <c r="D74" s="120">
        <f>ROUND(SUM(D73:D73),0)</f>
        <v>0</v>
      </c>
      <c r="E74" s="29"/>
      <c r="F74" s="29"/>
      <c r="G74" s="29"/>
      <c r="H74" s="29"/>
      <c r="I74" s="29"/>
      <c r="J74" s="69"/>
    </row>
    <row r="75" spans="1:10" x14ac:dyDescent="0.3">
      <c r="A75" s="162"/>
      <c r="B75" s="145"/>
      <c r="C75" s="18"/>
      <c r="D75" s="18"/>
      <c r="E75" s="18"/>
      <c r="F75" s="18"/>
      <c r="G75" s="18"/>
      <c r="H75" s="18"/>
      <c r="I75" s="18"/>
      <c r="J75" s="69"/>
    </row>
    <row r="76" spans="1:10" x14ac:dyDescent="0.3">
      <c r="A76" s="162"/>
      <c r="B76" s="148" t="s">
        <v>675</v>
      </c>
      <c r="C76" s="51"/>
      <c r="D76" s="18"/>
      <c r="E76" s="18"/>
      <c r="F76" s="18"/>
      <c r="G76" s="18"/>
      <c r="H76" s="18"/>
      <c r="I76" s="18"/>
      <c r="J76" s="69"/>
    </row>
    <row r="77" spans="1:10" x14ac:dyDescent="0.3">
      <c r="A77" s="162"/>
      <c r="B77" s="148"/>
      <c r="C77" s="51"/>
      <c r="D77" s="18"/>
      <c r="E77" s="18"/>
      <c r="F77" s="18"/>
      <c r="G77" s="18"/>
      <c r="H77" s="18"/>
      <c r="I77" s="18"/>
      <c r="J77" s="69"/>
    </row>
    <row r="78" spans="1:10" x14ac:dyDescent="0.3">
      <c r="A78" s="162"/>
      <c r="B78" s="148" t="s">
        <v>676</v>
      </c>
      <c r="C78" s="51"/>
      <c r="D78" s="18"/>
      <c r="E78" s="18"/>
      <c r="F78" s="18"/>
      <c r="G78" s="18"/>
      <c r="H78" s="18"/>
      <c r="I78" s="18"/>
      <c r="J78" s="69"/>
    </row>
    <row r="79" spans="1:10" x14ac:dyDescent="0.3">
      <c r="A79" s="162"/>
      <c r="B79" s="145"/>
      <c r="C79" s="18"/>
      <c r="D79" s="18"/>
      <c r="E79" s="18"/>
      <c r="F79" s="18"/>
      <c r="G79" s="18"/>
      <c r="H79" s="18"/>
      <c r="I79" s="18"/>
      <c r="J79" s="69"/>
    </row>
    <row r="80" spans="1:10" x14ac:dyDescent="0.3">
      <c r="A80" s="162" t="s">
        <v>677</v>
      </c>
      <c r="B80" s="145" t="s">
        <v>678</v>
      </c>
      <c r="C80" s="116"/>
      <c r="D80" s="117"/>
      <c r="E80" s="59" t="str">
        <f t="shared" ref="E80:E85" si="5">IFERROR(TRUNC(IF(C80&lt;&gt;0,C80/$C$133,"")*100,2),"")</f>
        <v/>
      </c>
      <c r="F80" s="59" t="str">
        <f t="shared" ref="F80:F85" si="6">IFERROR(TRUNC(IF(D80&lt;&gt;0,D80/$D$133,"")*100,2),"")</f>
        <v/>
      </c>
      <c r="G80" s="60" t="str">
        <f t="shared" ref="G80:G85" si="7">IF(OR(C80&lt;&gt;0,D80&lt;&gt;0),C80-D80,"")</f>
        <v/>
      </c>
      <c r="H80" s="59" t="str">
        <f t="shared" ref="H80:H85" si="8">IFERROR(ABS(IF(G80&lt;&gt;0,IF(D80&lt;&gt;0,TRUNC(G80/D80*100,2),IF(C80&lt;&gt;0,TRUNC(G80/C80*100,2),"")),"")),"")</f>
        <v/>
      </c>
      <c r="I80" s="103" t="str">
        <f t="shared" ref="I80:I85" si="9">IF(OR(N(E80)&lt;&gt;0,N(F80)&lt;&gt;0),IF(OR(N(E80)&gt;4,N(F80)&gt;4),IF(N(H80)&gt;14,"SI","NO"),"NO"),"NO")</f>
        <v>NO</v>
      </c>
      <c r="J80" s="69"/>
    </row>
    <row r="81" spans="1:10" x14ac:dyDescent="0.3">
      <c r="A81" s="162" t="s">
        <v>679</v>
      </c>
      <c r="B81" s="145" t="s">
        <v>680</v>
      </c>
      <c r="C81" s="116"/>
      <c r="D81" s="117"/>
      <c r="E81" s="59" t="str">
        <f t="shared" si="5"/>
        <v/>
      </c>
      <c r="F81" s="59" t="str">
        <f t="shared" si="6"/>
        <v/>
      </c>
      <c r="G81" s="60" t="str">
        <f t="shared" si="7"/>
        <v/>
      </c>
      <c r="H81" s="59" t="str">
        <f t="shared" si="8"/>
        <v/>
      </c>
      <c r="I81" s="103" t="str">
        <f t="shared" si="9"/>
        <v>NO</v>
      </c>
      <c r="J81" s="69"/>
    </row>
    <row r="82" spans="1:10" x14ac:dyDescent="0.3">
      <c r="A82" s="162" t="s">
        <v>681</v>
      </c>
      <c r="B82" s="145" t="s">
        <v>682</v>
      </c>
      <c r="C82" s="116"/>
      <c r="D82" s="117"/>
      <c r="E82" s="59" t="str">
        <f t="shared" si="5"/>
        <v/>
      </c>
      <c r="F82" s="59" t="str">
        <f t="shared" si="6"/>
        <v/>
      </c>
      <c r="G82" s="60" t="str">
        <f t="shared" si="7"/>
        <v/>
      </c>
      <c r="H82" s="59" t="str">
        <f t="shared" si="8"/>
        <v/>
      </c>
      <c r="I82" s="103" t="str">
        <f t="shared" si="9"/>
        <v>NO</v>
      </c>
      <c r="J82" s="69"/>
    </row>
    <row r="83" spans="1:10" x14ac:dyDescent="0.3">
      <c r="A83" s="162" t="s">
        <v>683</v>
      </c>
      <c r="B83" s="145" t="s">
        <v>684</v>
      </c>
      <c r="C83" s="116"/>
      <c r="D83" s="117"/>
      <c r="E83" s="59" t="str">
        <f t="shared" si="5"/>
        <v/>
      </c>
      <c r="F83" s="59" t="str">
        <f t="shared" si="6"/>
        <v/>
      </c>
      <c r="G83" s="60" t="str">
        <f t="shared" si="7"/>
        <v/>
      </c>
      <c r="H83" s="59" t="str">
        <f t="shared" si="8"/>
        <v/>
      </c>
      <c r="I83" s="103" t="str">
        <f t="shared" si="9"/>
        <v>NO</v>
      </c>
      <c r="J83" s="69"/>
    </row>
    <row r="84" spans="1:10" x14ac:dyDescent="0.3">
      <c r="A84" s="162" t="s">
        <v>685</v>
      </c>
      <c r="B84" s="145" t="s">
        <v>686</v>
      </c>
      <c r="C84" s="116"/>
      <c r="D84" s="117"/>
      <c r="E84" s="59" t="str">
        <f t="shared" si="5"/>
        <v/>
      </c>
      <c r="F84" s="59" t="str">
        <f t="shared" si="6"/>
        <v/>
      </c>
      <c r="G84" s="60" t="str">
        <f t="shared" si="7"/>
        <v/>
      </c>
      <c r="H84" s="59" t="str">
        <f t="shared" si="8"/>
        <v/>
      </c>
      <c r="I84" s="103" t="str">
        <f t="shared" si="9"/>
        <v>NO</v>
      </c>
      <c r="J84" s="69"/>
    </row>
    <row r="85" spans="1:10" x14ac:dyDescent="0.3">
      <c r="A85" s="162" t="s">
        <v>687</v>
      </c>
      <c r="B85" s="145" t="s">
        <v>688</v>
      </c>
      <c r="C85" s="116"/>
      <c r="D85" s="117"/>
      <c r="E85" s="59" t="str">
        <f t="shared" si="5"/>
        <v/>
      </c>
      <c r="F85" s="59" t="str">
        <f t="shared" si="6"/>
        <v/>
      </c>
      <c r="G85" s="60" t="str">
        <f t="shared" si="7"/>
        <v/>
      </c>
      <c r="H85" s="59" t="str">
        <f t="shared" si="8"/>
        <v/>
      </c>
      <c r="I85" s="103" t="str">
        <f t="shared" si="9"/>
        <v>NO</v>
      </c>
      <c r="J85" s="69"/>
    </row>
    <row r="86" spans="1:10" x14ac:dyDescent="0.3">
      <c r="A86" s="162" t="s">
        <v>689</v>
      </c>
      <c r="B86" s="145" t="s">
        <v>690</v>
      </c>
      <c r="C86" s="52"/>
      <c r="D86" s="52"/>
      <c r="E86" s="57"/>
      <c r="F86" s="57"/>
      <c r="G86" s="52"/>
      <c r="H86" s="57"/>
      <c r="I86" s="58"/>
      <c r="J86" s="69"/>
    </row>
    <row r="87" spans="1:10" x14ac:dyDescent="0.3">
      <c r="A87" s="162" t="s">
        <v>691</v>
      </c>
      <c r="B87" s="145" t="s">
        <v>692</v>
      </c>
      <c r="C87" s="54">
        <f>ROUND(SUM(C80:C86),0)</f>
        <v>0</v>
      </c>
      <c r="D87" s="54">
        <f>ROUND(SUM(D80:D86),0)</f>
        <v>0</v>
      </c>
      <c r="E87" s="29"/>
      <c r="F87" s="29"/>
      <c r="G87" s="29"/>
      <c r="H87" s="29"/>
      <c r="I87" s="29"/>
      <c r="J87" s="69"/>
    </row>
    <row r="88" spans="1:10" x14ac:dyDescent="0.3">
      <c r="A88" s="162"/>
      <c r="B88" s="145"/>
      <c r="C88" s="18"/>
      <c r="D88" s="18"/>
      <c r="E88" s="18"/>
      <c r="F88" s="18"/>
      <c r="G88" s="18"/>
      <c r="H88" s="18"/>
      <c r="I88" s="18"/>
      <c r="J88" s="69"/>
    </row>
    <row r="89" spans="1:10" x14ac:dyDescent="0.3">
      <c r="A89" s="162"/>
      <c r="B89" s="148" t="s">
        <v>693</v>
      </c>
      <c r="C89" s="51"/>
      <c r="D89" s="18"/>
      <c r="E89" s="18"/>
      <c r="F89" s="18"/>
      <c r="G89" s="18"/>
      <c r="H89" s="18"/>
      <c r="I89" s="18"/>
      <c r="J89" s="69"/>
    </row>
    <row r="90" spans="1:10" x14ac:dyDescent="0.3">
      <c r="A90" s="162"/>
      <c r="B90" s="145"/>
      <c r="C90" s="18"/>
      <c r="D90" s="18"/>
      <c r="E90" s="18"/>
      <c r="F90" s="18"/>
      <c r="G90" s="18"/>
      <c r="H90" s="18"/>
      <c r="I90" s="18"/>
      <c r="J90" s="69"/>
    </row>
    <row r="91" spans="1:10" x14ac:dyDescent="0.3">
      <c r="A91" s="162" t="s">
        <v>694</v>
      </c>
      <c r="B91" s="145" t="s">
        <v>695</v>
      </c>
      <c r="C91" s="116"/>
      <c r="D91" s="117"/>
      <c r="E91" s="59" t="str">
        <f>IFERROR(TRUNC(IF(C91&lt;&gt;0,C91/$C$133,"")*100,2),"")</f>
        <v/>
      </c>
      <c r="F91" s="59" t="str">
        <f>IFERROR(TRUNC(IF(D91&lt;&gt;0,D91/$D$133,"")*100,2),"")</f>
        <v/>
      </c>
      <c r="G91" s="60" t="str">
        <f>IF(OR(C91&lt;&gt;0,D91&lt;&gt;0),C91-D91,"")</f>
        <v/>
      </c>
      <c r="H91" s="59" t="str">
        <f>IFERROR(ABS(IF(G91&lt;&gt;0,IF(D91&lt;&gt;0,TRUNC(G91/D91*100,2),IF(C91&lt;&gt;0,TRUNC(G91/C91*100,2),"")),"")),"")</f>
        <v/>
      </c>
      <c r="I91" s="103" t="str">
        <f>IF(OR(N(E91)&lt;&gt;0,N(F91)&lt;&gt;0),IF(OR(N(E91)&gt;4,N(F91)&gt;4),IF(N(H91)&gt;14,"SI","NO"),"NO"),"NO")</f>
        <v>NO</v>
      </c>
      <c r="J91" s="69"/>
    </row>
    <row r="92" spans="1:10" x14ac:dyDescent="0.3">
      <c r="A92" s="162" t="s">
        <v>696</v>
      </c>
      <c r="B92" s="145" t="s">
        <v>697</v>
      </c>
      <c r="C92" s="116"/>
      <c r="D92" s="117"/>
      <c r="E92" s="59" t="str">
        <f>IFERROR(TRUNC(IF(C92&lt;&gt;0,C92/$C$133,"")*100,2),"")</f>
        <v/>
      </c>
      <c r="F92" s="59" t="str">
        <f>IFERROR(TRUNC(IF(D92&lt;&gt;0,D92/$D$133,"")*100,2),"")</f>
        <v/>
      </c>
      <c r="G92" s="60" t="str">
        <f>IF(OR(C92&lt;&gt;0,D92&lt;&gt;0),C92-D92,"")</f>
        <v/>
      </c>
      <c r="H92" s="59" t="str">
        <f>IFERROR(ABS(IF(G92&lt;&gt;0,IF(D92&lt;&gt;0,TRUNC(G92/D92*100,2),IF(C92&lt;&gt;0,TRUNC(G92/C92*100,2),"")),"")),"")</f>
        <v/>
      </c>
      <c r="I92" s="103" t="str">
        <f>IF(OR(N(E92)&lt;&gt;0,N(F92)&lt;&gt;0),IF(OR(N(E92)&gt;4,N(F92)&gt;4),IF(N(H92)&gt;14,"SI","NO"),"NO"),"NO")</f>
        <v>NO</v>
      </c>
      <c r="J92" s="69"/>
    </row>
    <row r="93" spans="1:10" ht="20.399999999999999" x14ac:dyDescent="0.3">
      <c r="A93" s="162" t="s">
        <v>698</v>
      </c>
      <c r="B93" s="145" t="s">
        <v>699</v>
      </c>
      <c r="C93" s="116"/>
      <c r="D93" s="117"/>
      <c r="E93" s="59" t="str">
        <f>IFERROR(TRUNC(IF(C93&lt;&gt;0,C93/$C$133,"")*100,2),"")</f>
        <v/>
      </c>
      <c r="F93" s="59" t="str">
        <f>IFERROR(TRUNC(IF(D93&lt;&gt;0,D93/$D$133,"")*100,2),"")</f>
        <v/>
      </c>
      <c r="G93" s="60" t="str">
        <f>IF(OR(C93&lt;&gt;0,D93&lt;&gt;0),C93-D93,"")</f>
        <v/>
      </c>
      <c r="H93" s="59" t="str">
        <f>IFERROR(ABS(IF(G93&lt;&gt;0,IF(D93&lt;&gt;0,TRUNC(G93/D93*100,2),IF(C93&lt;&gt;0,TRUNC(G93/C93*100,2),"")),"")),"")</f>
        <v/>
      </c>
      <c r="I93" s="103" t="str">
        <f>IF(OR(N(E93)&lt;&gt;0,N(F93)&lt;&gt;0),IF(OR(N(E93)&gt;4,N(F93)&gt;4),IF(N(H93)&gt;14,"SI","NO"),"NO"),"NO")</f>
        <v>NO</v>
      </c>
      <c r="J93" s="69"/>
    </row>
    <row r="94" spans="1:10" ht="20.399999999999999" x14ac:dyDescent="0.3">
      <c r="A94" s="162" t="s">
        <v>700</v>
      </c>
      <c r="B94" s="145" t="s">
        <v>701</v>
      </c>
      <c r="C94" s="116"/>
      <c r="D94" s="117"/>
      <c r="E94" s="59" t="str">
        <f>IFERROR(TRUNC(IF(C94&lt;&gt;0,C94/$C$133,"")*100,2),"")</f>
        <v/>
      </c>
      <c r="F94" s="59" t="str">
        <f>IFERROR(TRUNC(IF(D94&lt;&gt;0,D94/$D$133,"")*100,2),"")</f>
        <v/>
      </c>
      <c r="G94" s="60" t="str">
        <f>IF(OR(C94&lt;&gt;0,D94&lt;&gt;0),C94-D94,"")</f>
        <v/>
      </c>
      <c r="H94" s="59" t="str">
        <f>IFERROR(ABS(IF(G94&lt;&gt;0,IF(D94&lt;&gt;0,TRUNC(G94/D94*100,2),IF(C94&lt;&gt;0,TRUNC(G94/C94*100,2),"")),"")),"")</f>
        <v/>
      </c>
      <c r="I94" s="103" t="str">
        <f>IF(OR(N(E94)&lt;&gt;0,N(F94)&lt;&gt;0),IF(OR(N(E94)&gt;4,N(F94)&gt;4),IF(N(H94)&gt;14,"SI","NO"),"NO"),"NO")</f>
        <v>NO</v>
      </c>
      <c r="J94" s="69"/>
    </row>
    <row r="95" spans="1:10" ht="20.399999999999999" x14ac:dyDescent="0.3">
      <c r="A95" s="162" t="s">
        <v>702</v>
      </c>
      <c r="B95" s="145" t="s">
        <v>703</v>
      </c>
      <c r="C95" s="116"/>
      <c r="D95" s="117"/>
      <c r="E95" s="59" t="str">
        <f>IFERROR(TRUNC(IF(C95&lt;&gt;0,C95/$C$133,"")*100,2),"")</f>
        <v/>
      </c>
      <c r="F95" s="59" t="str">
        <f>IFERROR(TRUNC(IF(D95&lt;&gt;0,D95/$D$133,"")*100,2),"")</f>
        <v/>
      </c>
      <c r="G95" s="60" t="str">
        <f>IF(OR(C95&lt;&gt;0,D95&lt;&gt;0),C95-D95,"")</f>
        <v/>
      </c>
      <c r="H95" s="59" t="str">
        <f>IFERROR(ABS(IF(G95&lt;&gt;0,IF(D95&lt;&gt;0,TRUNC(G95/D95*100,2),IF(C95&lt;&gt;0,TRUNC(G95/C95*100,2),"")),"")),"")</f>
        <v/>
      </c>
      <c r="I95" s="103" t="str">
        <f>IF(OR(N(E95)&lt;&gt;0,N(F95)&lt;&gt;0),IF(OR(N(E95)&gt;4,N(F95)&gt;4),IF(N(H95)&gt;14,"SI","NO"),"NO"),"NO")</f>
        <v>NO</v>
      </c>
      <c r="J95" s="69"/>
    </row>
    <row r="96" spans="1:10" ht="20.399999999999999" x14ac:dyDescent="0.3">
      <c r="A96" s="162" t="s">
        <v>704</v>
      </c>
      <c r="B96" s="145" t="s">
        <v>705</v>
      </c>
      <c r="C96" s="52"/>
      <c r="D96" s="52"/>
      <c r="E96" s="57"/>
      <c r="F96" s="57"/>
      <c r="G96" s="52"/>
      <c r="H96" s="57"/>
      <c r="I96" s="58"/>
      <c r="J96" s="69"/>
    </row>
    <row r="97" spans="1:10" x14ac:dyDescent="0.3">
      <c r="A97" s="162" t="s">
        <v>706</v>
      </c>
      <c r="B97" s="145" t="s">
        <v>707</v>
      </c>
      <c r="C97" s="54">
        <f>ROUND(SUM(C91:C96),0)</f>
        <v>0</v>
      </c>
      <c r="D97" s="54">
        <f>ROUND(SUM(D91:D96),0)</f>
        <v>0</v>
      </c>
      <c r="E97" s="29"/>
      <c r="F97" s="29"/>
      <c r="G97" s="29"/>
      <c r="H97" s="29"/>
      <c r="I97" s="29"/>
      <c r="J97" s="69"/>
    </row>
    <row r="98" spans="1:10" x14ac:dyDescent="0.3">
      <c r="A98" s="162"/>
      <c r="B98" s="145"/>
      <c r="C98" s="18"/>
      <c r="D98" s="18"/>
      <c r="E98" s="18"/>
      <c r="F98" s="18"/>
      <c r="G98" s="18"/>
      <c r="H98" s="18"/>
      <c r="I98" s="18"/>
      <c r="J98" s="69"/>
    </row>
    <row r="99" spans="1:10" x14ac:dyDescent="0.3">
      <c r="A99" s="162"/>
      <c r="B99" s="148" t="s">
        <v>708</v>
      </c>
      <c r="C99" s="18"/>
      <c r="D99" s="18"/>
      <c r="E99" s="18"/>
      <c r="F99" s="18"/>
      <c r="G99" s="18"/>
      <c r="H99" s="18"/>
      <c r="I99" s="18"/>
      <c r="J99" s="69"/>
    </row>
    <row r="100" spans="1:10" x14ac:dyDescent="0.3">
      <c r="A100" s="162"/>
      <c r="B100" s="145"/>
      <c r="C100" s="18"/>
      <c r="D100" s="18"/>
      <c r="E100" s="18"/>
      <c r="F100" s="18"/>
      <c r="G100" s="18"/>
      <c r="H100" s="18"/>
      <c r="I100" s="18"/>
      <c r="J100" s="69"/>
    </row>
    <row r="101" spans="1:10" ht="20.399999999999999" x14ac:dyDescent="0.3">
      <c r="A101" s="162" t="s">
        <v>709</v>
      </c>
      <c r="B101" s="145" t="s">
        <v>5428</v>
      </c>
      <c r="C101" s="116"/>
      <c r="D101" s="116"/>
      <c r="E101" s="55" t="str">
        <f>IFERROR(TRUNC(IF(C101&lt;&gt;0,C101/$C$133,"")*100,2),"")</f>
        <v/>
      </c>
      <c r="F101" s="55" t="str">
        <f>IFERROR(TRUNC(IF(D101&lt;&gt;0,D101/$D$133,"")*100,2),"")</f>
        <v/>
      </c>
      <c r="G101" s="56" t="str">
        <f>IF(OR(C101&lt;&gt;0,D101&lt;&gt;0),C101-D101,"")</f>
        <v/>
      </c>
      <c r="H101" s="55" t="str">
        <f>IFERROR(ABS(IF(G101&lt;&gt;0,IF(D101&lt;&gt;0,TRUNC(G101/D101*100,2),IF(C101&lt;&gt;0,TRUNC(G101/C101*100,2),"")),"")),"")</f>
        <v/>
      </c>
      <c r="I101" s="108" t="str">
        <f>IF(OR(N(E101)&lt;&gt;0,N(F101)&lt;&gt;0),IF(OR(N(E101)&gt;4,N(F101)&gt;4),IF(N(H101)&gt;14,"SI","NO"),"NO"),"NO")</f>
        <v>NO</v>
      </c>
      <c r="J101" s="69"/>
    </row>
    <row r="102" spans="1:10" ht="20.399999999999999" x14ac:dyDescent="0.3">
      <c r="A102" s="162" t="s">
        <v>710</v>
      </c>
      <c r="B102" s="145" t="s">
        <v>5429</v>
      </c>
      <c r="C102" s="116"/>
      <c r="D102" s="116"/>
      <c r="E102" s="55" t="str">
        <f>IFERROR(TRUNC(IF(C102&lt;&gt;0,C102/$C$133,"")*100,2),"")</f>
        <v/>
      </c>
      <c r="F102" s="55" t="str">
        <f>IFERROR(TRUNC(IF(D102&lt;&gt;0,D102/$D$133,"")*100,2),"")</f>
        <v/>
      </c>
      <c r="G102" s="56" t="str">
        <f>IF(OR(C102&lt;&gt;0,D102&lt;&gt;0),C102-D102,"")</f>
        <v/>
      </c>
      <c r="H102" s="55" t="str">
        <f>IFERROR(ABS(IF(G102&lt;&gt;0,IF(D102&lt;&gt;0,TRUNC(G102/D102*100,2),IF(C102&lt;&gt;0,TRUNC(G102/C102*100,2),"")),"")),"")</f>
        <v/>
      </c>
      <c r="I102" s="108" t="str">
        <f>IF(OR(N(E102)&lt;&gt;0,N(F102)&lt;&gt;0),IF(OR(N(E102)&gt;4,N(F102)&gt;4),IF(N(H102)&gt;14,"SI","NO"),"NO"),"NO")</f>
        <v>NO</v>
      </c>
      <c r="J102" s="69"/>
    </row>
    <row r="103" spans="1:10" ht="20.399999999999999" x14ac:dyDescent="0.3">
      <c r="A103" s="162" t="s">
        <v>711</v>
      </c>
      <c r="B103" s="145" t="s">
        <v>5430</v>
      </c>
      <c r="C103" s="116"/>
      <c r="D103" s="116"/>
      <c r="E103" s="55" t="str">
        <f>IFERROR(TRUNC(IF(C103&lt;&gt;0,C103/$C$133,"")*100,2),"")</f>
        <v/>
      </c>
      <c r="F103" s="55" t="str">
        <f>IFERROR(TRUNC(IF(D103&lt;&gt;0,D103/$D$133,"")*100,2),"")</f>
        <v/>
      </c>
      <c r="G103" s="56" t="str">
        <f>IF(OR(C103&lt;&gt;0,D103&lt;&gt;0),C103-D103,"")</f>
        <v/>
      </c>
      <c r="H103" s="55" t="str">
        <f>IFERROR(ABS(IF(G103&lt;&gt;0,IF(D103&lt;&gt;0,TRUNC(G103/D103*100,2),IF(C103&lt;&gt;0,TRUNC(G103/C103*100,2),"")),"")),"")</f>
        <v/>
      </c>
      <c r="I103" s="108" t="str">
        <f>IF(OR(N(E103)&lt;&gt;0,N(F103)&lt;&gt;0),IF(OR(N(E103)&gt;4,N(F103)&gt;4),IF(N(H103)&gt;14,"SI","NO"),"NO"),"NO")</f>
        <v>NO</v>
      </c>
      <c r="J103" s="69"/>
    </row>
    <row r="104" spans="1:10" ht="20.399999999999999" x14ac:dyDescent="0.3">
      <c r="A104" s="162" t="s">
        <v>712</v>
      </c>
      <c r="B104" s="145" t="s">
        <v>5431</v>
      </c>
      <c r="C104" s="116"/>
      <c r="D104" s="116"/>
      <c r="E104" s="55" t="str">
        <f>IFERROR(TRUNC(IF(C104&lt;&gt;0,C104/$C$133,"")*100,2),"")</f>
        <v/>
      </c>
      <c r="F104" s="55" t="str">
        <f>IFERROR(TRUNC(IF(D104&lt;&gt;0,D104/$D$133,"")*100,2),"")</f>
        <v/>
      </c>
      <c r="G104" s="56" t="str">
        <f>IF(OR(C104&lt;&gt;0,D104&lt;&gt;0),C104-D104,"")</f>
        <v/>
      </c>
      <c r="H104" s="55" t="str">
        <f>IFERROR(ABS(IF(G104&lt;&gt;0,IF(D104&lt;&gt;0,TRUNC(G104/D104*100,2),IF(C104&lt;&gt;0,TRUNC(G104/C104*100,2),"")),"")),"")</f>
        <v/>
      </c>
      <c r="I104" s="108" t="str">
        <f>IF(OR(N(E104)&lt;&gt;0,N(F104)&lt;&gt;0),IF(OR(N(E104)&gt;4,N(F104)&gt;4),IF(N(H104)&gt;14,"SI","NO"),"NO"),"NO")</f>
        <v>NO</v>
      </c>
      <c r="J104" s="69"/>
    </row>
    <row r="105" spans="1:10" ht="20.399999999999999" x14ac:dyDescent="0.3">
      <c r="A105" s="162" t="s">
        <v>713</v>
      </c>
      <c r="B105" s="145" t="s">
        <v>5432</v>
      </c>
      <c r="C105" s="116"/>
      <c r="D105" s="116"/>
      <c r="E105" s="55" t="str">
        <f>IFERROR(TRUNC(IF(C105&lt;&gt;0,C105/$C$133,"")*100,2),"")</f>
        <v/>
      </c>
      <c r="F105" s="55" t="str">
        <f>IFERROR(TRUNC(IF(D105&lt;&gt;0,D105/$D$133,"")*100,2),"")</f>
        <v/>
      </c>
      <c r="G105" s="56" t="str">
        <f>IF(OR(C105&lt;&gt;0,D105&lt;&gt;0),C105-D105,"")</f>
        <v/>
      </c>
      <c r="H105" s="55" t="str">
        <f>IFERROR(ABS(IF(G105&lt;&gt;0,IF(D105&lt;&gt;0,TRUNC(G105/D105*100,2),IF(C105&lt;&gt;0,TRUNC(G105/C105*100,2),"")),"")),"")</f>
        <v/>
      </c>
      <c r="I105" s="108" t="str">
        <f>IF(OR(N(E105)&lt;&gt;0,N(F105)&lt;&gt;0),IF(OR(N(E105)&gt;4,N(F105)&gt;4),IF(N(H105)&gt;14,"SI","NO"),"NO"),"NO")</f>
        <v>NO</v>
      </c>
      <c r="J105" s="69"/>
    </row>
    <row r="106" spans="1:10" ht="20.399999999999999" x14ac:dyDescent="0.3">
      <c r="A106" s="162" t="s">
        <v>714</v>
      </c>
      <c r="B106" s="145" t="s">
        <v>5433</v>
      </c>
      <c r="C106" s="52"/>
      <c r="D106" s="52"/>
      <c r="E106" s="57"/>
      <c r="F106" s="57"/>
      <c r="G106" s="52"/>
      <c r="H106" s="57"/>
      <c r="I106" s="58"/>
      <c r="J106" s="69"/>
    </row>
    <row r="107" spans="1:10" ht="20.399999999999999" x14ac:dyDescent="0.3">
      <c r="A107" s="162" t="s">
        <v>715</v>
      </c>
      <c r="B107" s="145" t="s">
        <v>5434</v>
      </c>
      <c r="C107" s="54">
        <f>ROUND(SUM(C101:C106),0)</f>
        <v>0</v>
      </c>
      <c r="D107" s="54">
        <f>ROUND(SUM(D101:D106),0)</f>
        <v>0</v>
      </c>
      <c r="E107" s="29"/>
      <c r="F107" s="29"/>
      <c r="G107" s="29"/>
      <c r="H107" s="29"/>
      <c r="I107" s="29"/>
      <c r="J107" s="69"/>
    </row>
    <row r="108" spans="1:10" x14ac:dyDescent="0.3">
      <c r="A108" s="162"/>
      <c r="B108" s="145"/>
      <c r="C108" s="18"/>
      <c r="D108" s="18"/>
      <c r="E108" s="18"/>
      <c r="F108" s="18"/>
      <c r="G108" s="18"/>
      <c r="H108" s="18"/>
      <c r="I108" s="18"/>
      <c r="J108" s="69"/>
    </row>
    <row r="109" spans="1:10" ht="20.399999999999999" x14ac:dyDescent="0.3">
      <c r="A109" s="162" t="s">
        <v>716</v>
      </c>
      <c r="B109" s="145" t="s">
        <v>717</v>
      </c>
      <c r="C109" s="116">
        <f>ROUND(C87-C97-C107,0)</f>
        <v>0</v>
      </c>
      <c r="D109" s="117">
        <f>ROUND(D87-D97-D107,0)</f>
        <v>0</v>
      </c>
      <c r="E109" s="29"/>
      <c r="F109" s="29"/>
      <c r="G109" s="29"/>
      <c r="H109" s="29"/>
      <c r="I109" s="29"/>
      <c r="J109" s="69"/>
    </row>
    <row r="110" spans="1:10" x14ac:dyDescent="0.3">
      <c r="A110" s="162"/>
      <c r="B110" s="145"/>
      <c r="C110" s="18"/>
      <c r="D110" s="18"/>
      <c r="E110" s="18"/>
      <c r="F110" s="18"/>
      <c r="G110" s="18"/>
      <c r="H110" s="18"/>
      <c r="I110" s="18"/>
      <c r="J110" s="69"/>
    </row>
    <row r="111" spans="1:10" x14ac:dyDescent="0.3">
      <c r="A111" s="162"/>
      <c r="B111" s="148" t="s">
        <v>718</v>
      </c>
      <c r="C111" s="51"/>
      <c r="D111" s="18"/>
      <c r="E111" s="18"/>
      <c r="F111" s="18"/>
      <c r="G111" s="18"/>
      <c r="H111" s="18"/>
      <c r="I111" s="18"/>
      <c r="J111" s="69"/>
    </row>
    <row r="112" spans="1:10" x14ac:dyDescent="0.3">
      <c r="A112" s="162"/>
      <c r="B112" s="145"/>
      <c r="C112" s="18"/>
      <c r="D112" s="18"/>
      <c r="E112" s="18"/>
      <c r="F112" s="18"/>
      <c r="G112" s="18"/>
      <c r="H112" s="18"/>
      <c r="I112" s="18"/>
      <c r="J112" s="69"/>
    </row>
    <row r="113" spans="1:10" x14ac:dyDescent="0.3">
      <c r="A113" s="162" t="s">
        <v>719</v>
      </c>
      <c r="B113" s="145" t="s">
        <v>720</v>
      </c>
      <c r="C113" s="116"/>
      <c r="D113" s="117"/>
      <c r="E113" s="59" t="str">
        <f>IFERROR(TRUNC(IF(C113&lt;&gt;0,C113/$C$133,"")*100,2),"")</f>
        <v/>
      </c>
      <c r="F113" s="59" t="str">
        <f>IFERROR(TRUNC(IF(D113&lt;&gt;0,D113/$D$133,"")*100,2),"")</f>
        <v/>
      </c>
      <c r="G113" s="60" t="str">
        <f>IF(OR(C113&lt;&gt;0,D113&lt;&gt;0),C113-D113,"")</f>
        <v/>
      </c>
      <c r="H113" s="59" t="str">
        <f>IFERROR(ABS(IF(G113&lt;&gt;0,IF(D113&lt;&gt;0,TRUNC(G113/D113*100,2),IF(C113&lt;&gt;0,TRUNC(G113/C113*100,2),"")),"")),"")</f>
        <v/>
      </c>
      <c r="I113" s="103" t="str">
        <f>IF(OR(N(E113)&lt;&gt;0,N(F113)&lt;&gt;0),IF(OR(N(E113)&gt;4,N(F113)&gt;4),IF(N(H113)&gt;14,"SI","NO"),"NO"),"NO")</f>
        <v>NO</v>
      </c>
      <c r="J113" s="69"/>
    </row>
    <row r="114" spans="1:10" x14ac:dyDescent="0.3">
      <c r="A114" s="162" t="s">
        <v>721</v>
      </c>
      <c r="B114" s="145" t="s">
        <v>722</v>
      </c>
      <c r="C114" s="116"/>
      <c r="D114" s="117"/>
      <c r="E114" s="59" t="str">
        <f>IFERROR(TRUNC(IF(C114&lt;&gt;0,C114/$C$133,"")*100,2),"")</f>
        <v/>
      </c>
      <c r="F114" s="59" t="str">
        <f>IFERROR(TRUNC(IF(D114&lt;&gt;0,D114/$D$133,"")*100,2),"")</f>
        <v/>
      </c>
      <c r="G114" s="60" t="str">
        <f>IF(OR(C114&lt;&gt;0,D114&lt;&gt;0),C114-D114,"")</f>
        <v/>
      </c>
      <c r="H114" s="59" t="str">
        <f>IFERROR(ABS(IF(G114&lt;&gt;0,IF(D114&lt;&gt;0,TRUNC(G114/D114*100,2),IF(C114&lt;&gt;0,TRUNC(G114/C114*100,2),"")),"")),"")</f>
        <v/>
      </c>
      <c r="I114" s="103" t="str">
        <f>IF(OR(N(E114)&lt;&gt;0,N(F114)&lt;&gt;0),IF(OR(N(E114)&gt;4,N(F114)&gt;4),IF(N(H114)&gt;14,"SI","NO"),"NO"),"NO")</f>
        <v>NO</v>
      </c>
      <c r="J114" s="69"/>
    </row>
    <row r="115" spans="1:10" x14ac:dyDescent="0.3">
      <c r="A115" s="162" t="s">
        <v>723</v>
      </c>
      <c r="B115" s="145" t="s">
        <v>724</v>
      </c>
      <c r="C115" s="116"/>
      <c r="D115" s="117"/>
      <c r="E115" s="59" t="str">
        <f>IFERROR(TRUNC(IF(C115&lt;&gt;0,C115/$C$133,"")*100,2),"")</f>
        <v/>
      </c>
      <c r="F115" s="59" t="str">
        <f>IFERROR(TRUNC(IF(D115&lt;&gt;0,D115/$D$133,"")*100,2),"")</f>
        <v/>
      </c>
      <c r="G115" s="60" t="str">
        <f>IF(OR(C115&lt;&gt;0,D115&lt;&gt;0),C115-D115,"")</f>
        <v/>
      </c>
      <c r="H115" s="59" t="str">
        <f>IFERROR(ABS(IF(G115&lt;&gt;0,IF(D115&lt;&gt;0,TRUNC(G115/D115*100,2),IF(C115&lt;&gt;0,TRUNC(G115/C115*100,2),"")),"")),"")</f>
        <v/>
      </c>
      <c r="I115" s="103" t="str">
        <f>IF(OR(N(E115)&lt;&gt;0,N(F115)&lt;&gt;0),IF(OR(N(E115)&gt;4,N(F115)&gt;4),IF(N(H115)&gt;14,"SI","NO"),"NO"),"NO")</f>
        <v>NO</v>
      </c>
      <c r="J115" s="69"/>
    </row>
    <row r="116" spans="1:10" x14ac:dyDescent="0.3">
      <c r="A116" s="162" t="s">
        <v>725</v>
      </c>
      <c r="B116" s="145" t="s">
        <v>726</v>
      </c>
      <c r="C116" s="116"/>
      <c r="D116" s="117"/>
      <c r="E116" s="59" t="str">
        <f>IFERROR(TRUNC(IF(C116&lt;&gt;0,C116/$C$133,"")*100,2),"")</f>
        <v/>
      </c>
      <c r="F116" s="59" t="str">
        <f>IFERROR(TRUNC(IF(D116&lt;&gt;0,D116/$D$133,"")*100,2),"")</f>
        <v/>
      </c>
      <c r="G116" s="60" t="str">
        <f>IF(OR(C116&lt;&gt;0,D116&lt;&gt;0),C116-D116,"")</f>
        <v/>
      </c>
      <c r="H116" s="59" t="str">
        <f>IFERROR(ABS(IF(G116&lt;&gt;0,IF(D116&lt;&gt;0,TRUNC(G116/D116*100,2),IF(C116&lt;&gt;0,TRUNC(G116/C116*100,2),"")),"")),"")</f>
        <v/>
      </c>
      <c r="I116" s="103" t="str">
        <f>IF(OR(N(E116)&lt;&gt;0,N(F116)&lt;&gt;0),IF(OR(N(E116)&gt;4,N(F116)&gt;4),IF(N(H116)&gt;14,"SI","NO"),"NO"),"NO")</f>
        <v>NO</v>
      </c>
      <c r="J116" s="69"/>
    </row>
    <row r="117" spans="1:10" x14ac:dyDescent="0.3">
      <c r="A117" s="162" t="s">
        <v>727</v>
      </c>
      <c r="B117" s="145" t="s">
        <v>636</v>
      </c>
      <c r="C117" s="116"/>
      <c r="D117" s="116"/>
      <c r="E117" s="55" t="str">
        <f>IFERROR(TRUNC(IF(C117&lt;&gt;0,C117/$C$133,"")*100,2),"")</f>
        <v/>
      </c>
      <c r="F117" s="55" t="str">
        <f>IFERROR(TRUNC(IF(D117&lt;&gt;0,D117/$D$133,"")*100,2),"")</f>
        <v/>
      </c>
      <c r="G117" s="56" t="str">
        <f>IF(OR(C117&lt;&gt;0,D117&lt;&gt;0),C117-D117,"")</f>
        <v/>
      </c>
      <c r="H117" s="55" t="str">
        <f>IFERROR(ABS(IF(G117&lt;&gt;0,IF(D117&lt;&gt;0,TRUNC(G117/D117*100,2),IF(C117&lt;&gt;0,TRUNC(G117/C117*100,2),"")),"")),"")</f>
        <v/>
      </c>
      <c r="I117" s="108" t="str">
        <f>IF(OR(N(E117)&lt;&gt;0,N(F117)&lt;&gt;0),IF(OR(N(E117)&gt;4,N(F117)&gt;4),IF(N(H117)&gt;14,"SI","NO"),"NO"),"NO")</f>
        <v>NO</v>
      </c>
      <c r="J117" s="69"/>
    </row>
    <row r="118" spans="1:10" x14ac:dyDescent="0.3">
      <c r="A118" s="162" t="s">
        <v>728</v>
      </c>
      <c r="B118" s="145" t="s">
        <v>729</v>
      </c>
      <c r="C118" s="52"/>
      <c r="D118" s="52"/>
      <c r="E118" s="57"/>
      <c r="F118" s="57"/>
      <c r="G118" s="52"/>
      <c r="H118" s="57"/>
      <c r="I118" s="58"/>
      <c r="J118" s="69"/>
    </row>
    <row r="119" spans="1:10" x14ac:dyDescent="0.3">
      <c r="A119" s="162" t="s">
        <v>730</v>
      </c>
      <c r="B119" s="145" t="s">
        <v>731</v>
      </c>
      <c r="C119" s="54">
        <f>ROUND(SUM(C113:C118),0)</f>
        <v>0</v>
      </c>
      <c r="D119" s="54">
        <f>ROUND(SUM(D113:D118),0)</f>
        <v>0</v>
      </c>
      <c r="E119" s="29"/>
      <c r="F119" s="29"/>
      <c r="G119" s="29"/>
      <c r="H119" s="29"/>
      <c r="I119" s="29"/>
      <c r="J119" s="69"/>
    </row>
    <row r="120" spans="1:10" x14ac:dyDescent="0.3">
      <c r="A120" s="162"/>
      <c r="B120" s="145"/>
      <c r="C120" s="18"/>
      <c r="D120" s="18"/>
      <c r="E120" s="18"/>
      <c r="F120" s="18"/>
      <c r="G120" s="18"/>
      <c r="H120" s="18"/>
      <c r="I120" s="18"/>
      <c r="J120" s="69"/>
    </row>
    <row r="121" spans="1:10" x14ac:dyDescent="0.3">
      <c r="A121" s="162"/>
      <c r="B121" s="148" t="s">
        <v>732</v>
      </c>
      <c r="C121" s="51"/>
      <c r="D121" s="18"/>
      <c r="E121" s="18"/>
      <c r="F121" s="18"/>
      <c r="G121" s="18"/>
      <c r="H121" s="18"/>
      <c r="I121" s="18"/>
      <c r="J121" s="69"/>
    </row>
    <row r="122" spans="1:10" x14ac:dyDescent="0.3">
      <c r="A122" s="162"/>
      <c r="B122" s="145"/>
      <c r="C122" s="18"/>
      <c r="D122" s="18"/>
      <c r="E122" s="18"/>
      <c r="F122" s="18"/>
      <c r="G122" s="18"/>
      <c r="H122" s="18"/>
      <c r="I122" s="18"/>
      <c r="J122" s="69"/>
    </row>
    <row r="123" spans="1:10" x14ac:dyDescent="0.3">
      <c r="A123" s="162" t="s">
        <v>733</v>
      </c>
      <c r="B123" s="145" t="s">
        <v>734</v>
      </c>
      <c r="C123" s="116"/>
      <c r="D123" s="116"/>
      <c r="E123" s="55" t="str">
        <f>IFERROR(TRUNC(IF(C123&lt;&gt;0,C123/$C$133,"")*100,2),"")</f>
        <v/>
      </c>
      <c r="F123" s="55" t="str">
        <f>IFERROR(TRUNC(IF(D123&lt;&gt;0,D123/$D$133,"")*100,2),"")</f>
        <v/>
      </c>
      <c r="G123" s="56" t="str">
        <f>IF(OR(C123&lt;&gt;0,D123&lt;&gt;0),C123-D123,"")</f>
        <v/>
      </c>
      <c r="H123" s="55" t="str">
        <f>IFERROR(ABS(IF(G123&lt;&gt;0,IF(D123&lt;&gt;0,TRUNC(G123/D123*100,2),IF(C123&lt;&gt;0,TRUNC(G123/C123*100,2),"")),"")),"")</f>
        <v/>
      </c>
      <c r="I123" s="108" t="str">
        <f>IF(OR(N(E123)&lt;&gt;0,N(F123)&lt;&gt;0),IF(OR(N(E123)&gt;4,N(F123)&gt;4),IF(N(H123)&gt;14,"SI","NO"),"NO"),"NO")</f>
        <v>NO</v>
      </c>
      <c r="J123" s="69"/>
    </row>
    <row r="124" spans="1:10" x14ac:dyDescent="0.3">
      <c r="A124" s="162" t="s">
        <v>735</v>
      </c>
      <c r="B124" s="145" t="s">
        <v>636</v>
      </c>
      <c r="C124" s="116"/>
      <c r="D124" s="116"/>
      <c r="E124" s="55" t="str">
        <f>IFERROR(TRUNC(IF(C124&lt;&gt;0,C124/$C$133,"")*100,2),"")</f>
        <v/>
      </c>
      <c r="F124" s="55" t="str">
        <f>IFERROR(TRUNC(IF(D124&lt;&gt;0,D124/$D$133,"")*100,2),"")</f>
        <v/>
      </c>
      <c r="G124" s="56" t="str">
        <f>IF(OR(C124&lt;&gt;0,D124&lt;&gt;0),C124-D124,"")</f>
        <v/>
      </c>
      <c r="H124" s="55" t="str">
        <f>IFERROR(ABS(IF(G124&lt;&gt;0,IF(D124&lt;&gt;0,TRUNC(G124/D124*100,2),IF(C124&lt;&gt;0,TRUNC(G124/C124*100,2),"")),"")),"")</f>
        <v/>
      </c>
      <c r="I124" s="108" t="str">
        <f>IF(OR(N(E124)&lt;&gt;0,N(F124)&lt;&gt;0),IF(OR(N(E124)&gt;4,N(F124)&gt;4),IF(N(H124)&gt;14,"SI","NO"),"NO"),"NO")</f>
        <v>NO</v>
      </c>
      <c r="J124" s="69"/>
    </row>
    <row r="125" spans="1:10" x14ac:dyDescent="0.3">
      <c r="A125" s="162" t="s">
        <v>736</v>
      </c>
      <c r="B125" s="145" t="s">
        <v>737</v>
      </c>
      <c r="C125" s="116"/>
      <c r="D125" s="116"/>
      <c r="E125" s="55" t="str">
        <f>IFERROR(TRUNC(IF(C125&lt;&gt;0,C125/$C$133,"")*100,2),"")</f>
        <v/>
      </c>
      <c r="F125" s="55" t="str">
        <f>IFERROR(TRUNC(IF(D125&lt;&gt;0,D125/$D$133,"")*100,2),"")</f>
        <v/>
      </c>
      <c r="G125" s="56" t="str">
        <f>IF(OR(C125&lt;&gt;0,D125&lt;&gt;0),C125-D125,"")</f>
        <v/>
      </c>
      <c r="H125" s="55" t="str">
        <f>IFERROR(ABS(IF(G125&lt;&gt;0,IF(D125&lt;&gt;0,TRUNC(G125/D125*100,2),IF(C125&lt;&gt;0,TRUNC(G125/C125*100,2),"")),"")),"")</f>
        <v/>
      </c>
      <c r="I125" s="108" t="str">
        <f>IF(OR(N(E125)&lt;&gt;0,N(F125)&lt;&gt;0),IF(OR(N(E125)&gt;4,N(F125)&gt;4),IF(N(H125)&gt;14,"SI","NO"),"NO"),"NO")</f>
        <v>NO</v>
      </c>
      <c r="J125" s="69"/>
    </row>
    <row r="126" spans="1:10" ht="20.399999999999999" x14ac:dyDescent="0.3">
      <c r="A126" s="162" t="s">
        <v>738</v>
      </c>
      <c r="B126" s="145" t="s">
        <v>739</v>
      </c>
      <c r="C126" s="116"/>
      <c r="D126" s="116"/>
      <c r="E126" s="55" t="str">
        <f>IFERROR(TRUNC(IF(C126&lt;&gt;0,C126/$C$133,"")*100,2),"")</f>
        <v/>
      </c>
      <c r="F126" s="55" t="str">
        <f>IFERROR(TRUNC(IF(D126&lt;&gt;0,D126/$D$133,"")*100,2),"")</f>
        <v/>
      </c>
      <c r="G126" s="56" t="str">
        <f>IF(OR(C126&lt;&gt;0,D126&lt;&gt;0),C126-D126,"")</f>
        <v/>
      </c>
      <c r="H126" s="55" t="str">
        <f>IFERROR(ABS(IF(G126&lt;&gt;0,IF(D126&lt;&gt;0,TRUNC(G126/D126*100,2),IF(C126&lt;&gt;0,TRUNC(G126/C126*100,2),"")),"")),"")</f>
        <v/>
      </c>
      <c r="I126" s="108" t="str">
        <f>IF(OR(N(E126)&lt;&gt;0,N(F126)&lt;&gt;0),IF(OR(N(E126)&gt;4,N(F126)&gt;4),IF(N(H126)&gt;14,"SI","NO"),"NO"),"NO")</f>
        <v>NO</v>
      </c>
      <c r="J126" s="69"/>
    </row>
    <row r="127" spans="1:10" x14ac:dyDescent="0.3">
      <c r="A127" s="162" t="s">
        <v>740</v>
      </c>
      <c r="B127" s="145" t="s">
        <v>741</v>
      </c>
      <c r="C127" s="116"/>
      <c r="D127" s="116"/>
      <c r="E127" s="55" t="str">
        <f>IFERROR(TRUNC(IF(C127&lt;&gt;0,C127/$C$133,"")*100,2),"")</f>
        <v/>
      </c>
      <c r="F127" s="55" t="str">
        <f>IFERROR(TRUNC(IF(D127&lt;&gt;0,D127/$D$133,"")*100,2),"")</f>
        <v/>
      </c>
      <c r="G127" s="56" t="str">
        <f>IF(OR(C127&lt;&gt;0,D127&lt;&gt;0),C127-D127,"")</f>
        <v/>
      </c>
      <c r="H127" s="55" t="str">
        <f>IFERROR(ABS(IF(G127&lt;&gt;0,IF(D127&lt;&gt;0,TRUNC(G127/D127*100,2),IF(C127&lt;&gt;0,TRUNC(G127/C127*100,2),"")),"")),"")</f>
        <v/>
      </c>
      <c r="I127" s="108" t="str">
        <f>IF(OR(N(E127)&lt;&gt;0,N(F127)&lt;&gt;0),IF(OR(N(E127)&gt;4,N(F127)&gt;4),IF(N(H127)&gt;14,"SI","NO"),"NO"),"NO")</f>
        <v>NO</v>
      </c>
      <c r="J127" s="69"/>
    </row>
    <row r="128" spans="1:10" x14ac:dyDescent="0.3">
      <c r="A128" s="162" t="s">
        <v>742</v>
      </c>
      <c r="B128" s="145" t="s">
        <v>732</v>
      </c>
      <c r="C128" s="52"/>
      <c r="D128" s="52"/>
      <c r="E128" s="57"/>
      <c r="F128" s="57"/>
      <c r="G128" s="52"/>
      <c r="H128" s="57"/>
      <c r="I128" s="58"/>
      <c r="J128" s="69"/>
    </row>
    <row r="129" spans="1:10" x14ac:dyDescent="0.3">
      <c r="A129" s="162" t="s">
        <v>743</v>
      </c>
      <c r="B129" s="145" t="s">
        <v>744</v>
      </c>
      <c r="C129" s="54">
        <f>ROUND(SUM(C123:C128),0)</f>
        <v>0</v>
      </c>
      <c r="D129" s="54">
        <f>ROUND(SUM(D123:D128),0)</f>
        <v>0</v>
      </c>
      <c r="E129" s="29"/>
      <c r="F129" s="29"/>
      <c r="G129" s="29"/>
      <c r="H129" s="29"/>
      <c r="I129" s="29"/>
      <c r="J129" s="69"/>
    </row>
    <row r="130" spans="1:10" x14ac:dyDescent="0.3">
      <c r="A130" s="162"/>
      <c r="B130" s="145"/>
      <c r="C130" s="18"/>
      <c r="D130" s="18"/>
      <c r="E130" s="18"/>
      <c r="F130" s="18"/>
      <c r="G130" s="18"/>
      <c r="H130" s="18"/>
      <c r="I130" s="18"/>
      <c r="J130" s="69"/>
    </row>
    <row r="131" spans="1:10" x14ac:dyDescent="0.3">
      <c r="A131" s="162" t="s">
        <v>745</v>
      </c>
      <c r="B131" s="145" t="s">
        <v>746</v>
      </c>
      <c r="C131" s="116">
        <f>ROUND(C63+C69+C74+C109+C119+C129,0)</f>
        <v>0</v>
      </c>
      <c r="D131" s="116">
        <f>ROUND(D63+D69+D74+D109+D119+D129,0)</f>
        <v>0</v>
      </c>
      <c r="E131" s="29"/>
      <c r="F131" s="29"/>
      <c r="G131" s="29"/>
      <c r="H131" s="29"/>
      <c r="I131" s="29"/>
      <c r="J131" s="69"/>
    </row>
    <row r="132" spans="1:10" x14ac:dyDescent="0.3">
      <c r="A132" s="162"/>
      <c r="B132" s="145"/>
      <c r="C132" s="18"/>
      <c r="D132" s="18"/>
      <c r="E132" s="18"/>
      <c r="F132" s="18"/>
      <c r="G132" s="18"/>
      <c r="H132" s="18"/>
      <c r="I132" s="18"/>
      <c r="J132" s="69"/>
    </row>
    <row r="133" spans="1:10" x14ac:dyDescent="0.3">
      <c r="A133" s="162" t="s">
        <v>747</v>
      </c>
      <c r="B133" s="145" t="s">
        <v>748</v>
      </c>
      <c r="C133" s="65">
        <f>ROUND(C55+C131,0)</f>
        <v>0</v>
      </c>
      <c r="D133" s="116">
        <f>ROUND(D55+D131,0)</f>
        <v>0</v>
      </c>
      <c r="E133" s="29"/>
      <c r="F133" s="29"/>
      <c r="G133" s="29"/>
      <c r="H133" s="29"/>
      <c r="I133" s="29"/>
      <c r="J133" s="69"/>
    </row>
    <row r="134" spans="1:10" x14ac:dyDescent="0.3">
      <c r="A134" s="162"/>
      <c r="B134" s="145"/>
      <c r="C134" s="18"/>
      <c r="D134" s="18"/>
      <c r="E134" s="18"/>
      <c r="F134" s="18"/>
      <c r="G134" s="18"/>
      <c r="H134" s="18"/>
      <c r="I134" s="18"/>
      <c r="J134" s="69"/>
    </row>
    <row r="135" spans="1:10" x14ac:dyDescent="0.3">
      <c r="A135" s="162"/>
      <c r="B135" s="147" t="s">
        <v>749</v>
      </c>
      <c r="C135" s="51"/>
      <c r="D135" s="18"/>
      <c r="E135" s="18"/>
      <c r="F135" s="18"/>
      <c r="G135" s="18"/>
      <c r="H135" s="18"/>
      <c r="I135" s="18"/>
      <c r="J135" s="69"/>
    </row>
    <row r="136" spans="1:10" x14ac:dyDescent="0.3">
      <c r="A136" s="162"/>
      <c r="B136" s="148"/>
      <c r="C136" s="51"/>
      <c r="D136" s="18"/>
      <c r="E136" s="18"/>
      <c r="F136" s="18"/>
      <c r="G136" s="18"/>
      <c r="H136" s="18"/>
      <c r="I136" s="18"/>
      <c r="J136" s="69"/>
    </row>
    <row r="137" spans="1:10" x14ac:dyDescent="0.3">
      <c r="A137" s="162"/>
      <c r="B137" s="148" t="s">
        <v>750</v>
      </c>
      <c r="C137" s="51"/>
      <c r="D137" s="18"/>
      <c r="E137" s="18"/>
      <c r="F137" s="18"/>
      <c r="G137" s="18"/>
      <c r="H137" s="18"/>
      <c r="I137" s="18"/>
      <c r="J137" s="69"/>
    </row>
    <row r="138" spans="1:10" x14ac:dyDescent="0.3">
      <c r="A138" s="162"/>
      <c r="B138" s="148"/>
      <c r="C138" s="51"/>
      <c r="D138" s="18"/>
      <c r="E138" s="18"/>
      <c r="F138" s="18"/>
      <c r="G138" s="18"/>
      <c r="H138" s="18"/>
      <c r="I138" s="18"/>
      <c r="J138" s="69"/>
    </row>
    <row r="139" spans="1:10" x14ac:dyDescent="0.3">
      <c r="A139" s="162"/>
      <c r="B139" s="148" t="s">
        <v>751</v>
      </c>
      <c r="C139" s="51"/>
      <c r="D139" s="18"/>
      <c r="E139" s="18"/>
      <c r="F139" s="18"/>
      <c r="G139" s="18"/>
      <c r="H139" s="18"/>
      <c r="I139" s="18"/>
      <c r="J139" s="69"/>
    </row>
    <row r="140" spans="1:10" x14ac:dyDescent="0.3">
      <c r="A140" s="162"/>
      <c r="B140" s="145"/>
      <c r="C140" s="20"/>
      <c r="D140" s="18"/>
      <c r="E140" s="18"/>
      <c r="F140" s="18"/>
      <c r="G140" s="18"/>
      <c r="H140" s="18"/>
      <c r="I140" s="18"/>
      <c r="J140" s="69"/>
    </row>
    <row r="141" spans="1:10" x14ac:dyDescent="0.3">
      <c r="A141" s="162" t="s">
        <v>752</v>
      </c>
      <c r="B141" s="145" t="s">
        <v>753</v>
      </c>
      <c r="C141" s="116"/>
      <c r="D141" s="116"/>
      <c r="E141" s="55" t="str">
        <f>IFERROR(TRUNC(IF(C141&lt;&gt;0,C141/$C$133,"")*100,2),"")</f>
        <v/>
      </c>
      <c r="F141" s="55" t="str">
        <f>IFERROR(TRUNC(IF(D141&lt;&gt;0,D141/$D$133,"")*100,2),"")</f>
        <v/>
      </c>
      <c r="G141" s="56" t="str">
        <f>IF(OR(C141&lt;&gt;0,D141&lt;&gt;0),C141-D141,"")</f>
        <v/>
      </c>
      <c r="H141" s="55" t="str">
        <f>IFERROR(ABS(IF(G141&lt;&gt;0,IF(D141&lt;&gt;0,TRUNC(G141/D141*100,2),IF(C141&lt;&gt;0,TRUNC(G141/C141*100,2),"")),"")),"")</f>
        <v/>
      </c>
      <c r="I141" s="108" t="str">
        <f>IF(OR(N(E141)&lt;&gt;0,N(F141)&lt;&gt;0),IF(OR(N(E141)&gt;4,N(F141)&gt;4),IF(N(H141)&gt;14,"SI","NO"),"NO"),"NO")</f>
        <v>NO</v>
      </c>
      <c r="J141" s="69"/>
    </row>
    <row r="142" spans="1:10" x14ac:dyDescent="0.3">
      <c r="A142" s="162" t="s">
        <v>754</v>
      </c>
      <c r="B142" s="145" t="s">
        <v>755</v>
      </c>
      <c r="C142" s="116"/>
      <c r="D142" s="116"/>
      <c r="E142" s="55" t="str">
        <f>IFERROR(TRUNC(IF(C142&lt;&gt;0,C142/$C$133,"")*100,2),"")</f>
        <v/>
      </c>
      <c r="F142" s="55" t="str">
        <f>IFERROR(TRUNC(IF(D142&lt;&gt;0,D142/$D$133,"")*100,2),"")</f>
        <v/>
      </c>
      <c r="G142" s="56" t="str">
        <f>IF(OR(C142&lt;&gt;0,D142&lt;&gt;0),C142-D142,"")</f>
        <v/>
      </c>
      <c r="H142" s="55" t="str">
        <f>IFERROR(ABS(IF(G142&lt;&gt;0,IF(D142&lt;&gt;0,TRUNC(G142/D142*100,2),IF(C142&lt;&gt;0,TRUNC(G142/C142*100,2),"")),"")),"")</f>
        <v/>
      </c>
      <c r="I142" s="108" t="str">
        <f>IF(OR(N(E142)&lt;&gt;0,N(F142)&lt;&gt;0),IF(OR(N(E142)&gt;4,N(F142)&gt;4),IF(N(H142)&gt;14,"SI","NO"),"NO"),"NO")</f>
        <v>NO</v>
      </c>
      <c r="J142" s="69"/>
    </row>
    <row r="143" spans="1:10" x14ac:dyDescent="0.3">
      <c r="A143" s="162" t="s">
        <v>756</v>
      </c>
      <c r="B143" s="145" t="s">
        <v>757</v>
      </c>
      <c r="C143" s="54">
        <f>ROUND(SUM(C141:C142),0)</f>
        <v>0</v>
      </c>
      <c r="D143" s="54">
        <f>ROUND(SUM(D141:D142),0)</f>
        <v>0</v>
      </c>
      <c r="E143" s="29"/>
      <c r="F143" s="29"/>
      <c r="G143" s="29"/>
      <c r="H143" s="29"/>
      <c r="I143" s="29"/>
      <c r="J143" s="69"/>
    </row>
    <row r="144" spans="1:10" x14ac:dyDescent="0.3">
      <c r="A144" s="162"/>
      <c r="B144" s="145"/>
      <c r="C144" s="18"/>
      <c r="D144" s="18"/>
      <c r="E144" s="18"/>
      <c r="F144" s="18"/>
      <c r="G144" s="18"/>
      <c r="H144" s="18"/>
      <c r="I144" s="18"/>
      <c r="J144" s="69"/>
    </row>
    <row r="145" spans="1:10" x14ac:dyDescent="0.3">
      <c r="A145" s="162"/>
      <c r="B145" s="148" t="s">
        <v>758</v>
      </c>
      <c r="C145" s="18"/>
      <c r="D145" s="18"/>
      <c r="E145" s="18"/>
      <c r="F145" s="18"/>
      <c r="G145" s="18"/>
      <c r="H145" s="18"/>
      <c r="I145" s="18"/>
      <c r="J145" s="69"/>
    </row>
    <row r="146" spans="1:10" x14ac:dyDescent="0.3">
      <c r="A146" s="162"/>
      <c r="B146" s="145"/>
      <c r="C146" s="18"/>
      <c r="D146" s="18"/>
      <c r="E146" s="18"/>
      <c r="F146" s="18"/>
      <c r="G146" s="18"/>
      <c r="H146" s="18"/>
      <c r="I146" s="18"/>
      <c r="J146" s="69"/>
    </row>
    <row r="147" spans="1:10" x14ac:dyDescent="0.3">
      <c r="A147" s="162" t="s">
        <v>759</v>
      </c>
      <c r="B147" s="145" t="s">
        <v>758</v>
      </c>
      <c r="C147" s="116"/>
      <c r="D147" s="116"/>
      <c r="E147" s="55" t="str">
        <f>IFERROR(TRUNC(IF(C147&lt;&gt;0,C147/$C$133,"")*100,2),"")</f>
        <v/>
      </c>
      <c r="F147" s="55" t="str">
        <f>IFERROR(TRUNC(IF(D147&lt;&gt;0,D147/$D$133,"")*100,2),"")</f>
        <v/>
      </c>
      <c r="G147" s="56" t="str">
        <f>IF(OR(C147&lt;&gt;0,D147&lt;&gt;0),C147-D147,"")</f>
        <v/>
      </c>
      <c r="H147" s="55" t="str">
        <f>IFERROR(ABS(IF(G147&lt;&gt;0,IF(D147&lt;&gt;0,TRUNC(G147/D147*100,2),IF(C147&lt;&gt;0,TRUNC(G147/C147*100,2),"")),"")),"")</f>
        <v/>
      </c>
      <c r="I147" s="108" t="str">
        <f>IF(OR(N(E147)&lt;&gt;0,N(F147)&lt;&gt;0),IF(OR(N(E147)&gt;4,N(F147)&gt;4),IF(N(H147)&gt;14,"SI","NO"),"NO"),"NO")</f>
        <v>NO</v>
      </c>
      <c r="J147" s="69"/>
    </row>
    <row r="148" spans="1:10" x14ac:dyDescent="0.3">
      <c r="A148" s="162" t="s">
        <v>760</v>
      </c>
      <c r="B148" s="145" t="s">
        <v>638</v>
      </c>
      <c r="C148" s="52"/>
      <c r="D148" s="52"/>
      <c r="E148" s="57"/>
      <c r="F148" s="57"/>
      <c r="G148" s="52"/>
      <c r="H148" s="57"/>
      <c r="I148" s="66"/>
      <c r="J148" s="69"/>
    </row>
    <row r="149" spans="1:10" x14ac:dyDescent="0.3">
      <c r="A149" s="162" t="s">
        <v>761</v>
      </c>
      <c r="B149" s="145" t="s">
        <v>762</v>
      </c>
      <c r="C149" s="54">
        <f>ROUND(SUM(C147:C148),0)</f>
        <v>0</v>
      </c>
      <c r="D149" s="54">
        <f>ROUND(SUM(D147:D148),0)</f>
        <v>0</v>
      </c>
      <c r="E149" s="67"/>
      <c r="F149" s="67"/>
      <c r="G149" s="67"/>
      <c r="H149" s="67"/>
      <c r="I149" s="67"/>
      <c r="J149" s="69"/>
    </row>
    <row r="150" spans="1:10" x14ac:dyDescent="0.3">
      <c r="A150" s="162"/>
      <c r="B150" s="145"/>
      <c r="C150" s="18"/>
      <c r="D150" s="18"/>
      <c r="E150" s="18"/>
      <c r="F150" s="18"/>
      <c r="G150" s="18"/>
      <c r="H150" s="18"/>
      <c r="I150" s="18"/>
      <c r="J150" s="69"/>
    </row>
    <row r="151" spans="1:10" x14ac:dyDescent="0.3">
      <c r="A151" s="162"/>
      <c r="B151" s="148" t="s">
        <v>763</v>
      </c>
      <c r="C151" s="51"/>
      <c r="D151" s="18"/>
      <c r="E151" s="18"/>
      <c r="F151" s="18"/>
      <c r="G151" s="18"/>
      <c r="H151" s="18"/>
      <c r="I151" s="18"/>
      <c r="J151" s="69"/>
    </row>
    <row r="152" spans="1:10" x14ac:dyDescent="0.3">
      <c r="A152" s="162"/>
      <c r="B152" s="145"/>
      <c r="C152" s="18"/>
      <c r="D152" s="18"/>
      <c r="E152" s="18"/>
      <c r="F152" s="18"/>
      <c r="G152" s="18"/>
      <c r="H152" s="18"/>
      <c r="I152" s="18"/>
      <c r="J152" s="69"/>
    </row>
    <row r="153" spans="1:10" x14ac:dyDescent="0.3">
      <c r="A153" s="162" t="s">
        <v>764</v>
      </c>
      <c r="B153" s="145" t="s">
        <v>753</v>
      </c>
      <c r="C153" s="116"/>
      <c r="D153" s="116"/>
      <c r="E153" s="55" t="str">
        <f>IFERROR(TRUNC(IF(C153&lt;&gt;0,C153/$C$133,"")*100,2),"")</f>
        <v/>
      </c>
      <c r="F153" s="55" t="str">
        <f>IFERROR(TRUNC(IF(D153&lt;&gt;0,D153/$D$133,"")*100,2),"")</f>
        <v/>
      </c>
      <c r="G153" s="56" t="str">
        <f>IF(OR(C153&lt;&gt;0,D153&lt;&gt;0),C153-D153,"")</f>
        <v/>
      </c>
      <c r="H153" s="55" t="str">
        <f>IFERROR(ABS(IF(G153&lt;&gt;0,IF(D153&lt;&gt;0,TRUNC(G153/D153*100,2),IF(C153&lt;&gt;0,TRUNC(G153/C153*100,2),"")),"")),"")</f>
        <v/>
      </c>
      <c r="I153" s="108" t="str">
        <f>IF(OR(N(E153)&lt;&gt;0,N(F153)&lt;&gt;0),IF(OR(N(E153)&gt;4,N(F153)&gt;4),IF(N(H153)&gt;14,"SI","NO"),"NO"),"NO")</f>
        <v>NO</v>
      </c>
      <c r="J153" s="69"/>
    </row>
    <row r="154" spans="1:10" x14ac:dyDescent="0.3">
      <c r="A154" s="162" t="s">
        <v>765</v>
      </c>
      <c r="B154" s="145" t="s">
        <v>755</v>
      </c>
      <c r="C154" s="116"/>
      <c r="D154" s="116"/>
      <c r="E154" s="55" t="str">
        <f>IFERROR(TRUNC(IF(C154&lt;&gt;0,C154/$C$133,"")*100,2),"")</f>
        <v/>
      </c>
      <c r="F154" s="55" t="str">
        <f>IFERROR(TRUNC(IF(D154&lt;&gt;0,D154/$D$133,"")*100,2),"")</f>
        <v/>
      </c>
      <c r="G154" s="56" t="str">
        <f>IF(OR(C154&lt;&gt;0,D154&lt;&gt;0),C154-D154,"")</f>
        <v/>
      </c>
      <c r="H154" s="55" t="str">
        <f>IFERROR(ABS(IF(G154&lt;&gt;0,IF(D154&lt;&gt;0,TRUNC(G154/D154*100,2),IF(C154&lt;&gt;0,TRUNC(G154/C154*100,2),"")),"")),"")</f>
        <v/>
      </c>
      <c r="I154" s="108" t="str">
        <f>IF(OR(N(E154)&lt;&gt;0,N(F154)&lt;&gt;0),IF(OR(N(E154)&gt;4,N(F154)&gt;4),IF(N(H154)&gt;14,"SI","NO"),"NO"),"NO")</f>
        <v>NO</v>
      </c>
      <c r="J154" s="69"/>
    </row>
    <row r="155" spans="1:10" x14ac:dyDescent="0.3">
      <c r="A155" s="162" t="s">
        <v>766</v>
      </c>
      <c r="B155" s="145" t="s">
        <v>767</v>
      </c>
      <c r="C155" s="54">
        <f>ROUND(SUM(C153:C154),0)</f>
        <v>0</v>
      </c>
      <c r="D155" s="54">
        <f>ROUND(SUM(D153:D154),0)</f>
        <v>0</v>
      </c>
      <c r="E155" s="29"/>
      <c r="F155" s="29"/>
      <c r="G155" s="29"/>
      <c r="H155" s="29"/>
      <c r="I155" s="29"/>
      <c r="J155" s="69"/>
    </row>
    <row r="156" spans="1:10" x14ac:dyDescent="0.3">
      <c r="A156" s="162"/>
      <c r="B156" s="145"/>
      <c r="C156" s="18"/>
      <c r="D156" s="18"/>
      <c r="E156" s="18"/>
      <c r="F156" s="18"/>
      <c r="G156" s="18"/>
      <c r="H156" s="18"/>
      <c r="I156" s="18"/>
      <c r="J156" s="69"/>
    </row>
    <row r="157" spans="1:10" x14ac:dyDescent="0.3">
      <c r="A157" s="162"/>
      <c r="B157" s="148" t="s">
        <v>768</v>
      </c>
      <c r="C157" s="51"/>
      <c r="D157" s="18"/>
      <c r="E157" s="18"/>
      <c r="F157" s="18"/>
      <c r="G157" s="18"/>
      <c r="H157" s="18"/>
      <c r="I157" s="18"/>
      <c r="J157" s="69"/>
    </row>
    <row r="158" spans="1:10" x14ac:dyDescent="0.3">
      <c r="A158" s="162"/>
      <c r="B158" s="145"/>
      <c r="C158" s="18"/>
      <c r="D158" s="18"/>
      <c r="E158" s="18"/>
      <c r="F158" s="18"/>
      <c r="G158" s="18"/>
      <c r="H158" s="18"/>
      <c r="I158" s="18"/>
      <c r="J158" s="69"/>
    </row>
    <row r="159" spans="1:10" x14ac:dyDescent="0.3">
      <c r="A159" s="162" t="s">
        <v>769</v>
      </c>
      <c r="B159" s="145" t="s">
        <v>753</v>
      </c>
      <c r="C159" s="116"/>
      <c r="D159" s="116"/>
      <c r="E159" s="55" t="str">
        <f>IFERROR(TRUNC(IF(C159&lt;&gt;0,C159/$C$133,"")*100,2),"")</f>
        <v/>
      </c>
      <c r="F159" s="55" t="str">
        <f>IFERROR(TRUNC(IF(D159&lt;&gt;0,D159/$D$133,"")*100,2),"")</f>
        <v/>
      </c>
      <c r="G159" s="56" t="str">
        <f>IF(OR(C159&lt;&gt;0,D159&lt;&gt;0),C159-D159,"")</f>
        <v/>
      </c>
      <c r="H159" s="55" t="str">
        <f>IFERROR(ABS(IF(G159&lt;&gt;0,IF(D159&lt;&gt;0,TRUNC(G159/D159*100,2),IF(C159&lt;&gt;0,TRUNC(G159/C159*100,2),"")),"")),"")</f>
        <v/>
      </c>
      <c r="I159" s="108" t="str">
        <f>IF(OR(N(E159)&lt;&gt;0,N(F159)&lt;&gt;0),IF(OR(N(E159)&gt;4,N(F159)&gt;4),IF(N(H159)&gt;14,"SI","NO"),"NO"),"NO")</f>
        <v>NO</v>
      </c>
      <c r="J159" s="69"/>
    </row>
    <row r="160" spans="1:10" x14ac:dyDescent="0.3">
      <c r="A160" s="162" t="s">
        <v>770</v>
      </c>
      <c r="B160" s="145" t="s">
        <v>755</v>
      </c>
      <c r="C160" s="116"/>
      <c r="D160" s="116"/>
      <c r="E160" s="55" t="str">
        <f>IFERROR(TRUNC(IF(C160&lt;&gt;0,C160/$C$133,"")*100,2),"")</f>
        <v/>
      </c>
      <c r="F160" s="55" t="str">
        <f>IFERROR(TRUNC(IF(D160&lt;&gt;0,D160/$D$133,"")*100,2),"")</f>
        <v/>
      </c>
      <c r="G160" s="56" t="str">
        <f>IF(OR(C160&lt;&gt;0,D160&lt;&gt;0),C160-D160,"")</f>
        <v/>
      </c>
      <c r="H160" s="55" t="str">
        <f>IFERROR(ABS(IF(G160&lt;&gt;0,IF(D160&lt;&gt;0,TRUNC(G160/D160*100,2),IF(C160&lt;&gt;0,TRUNC(G160/C160*100,2),"")),"")),"")</f>
        <v/>
      </c>
      <c r="I160" s="108" t="str">
        <f>IF(OR(N(E160)&lt;&gt;0,N(F160)&lt;&gt;0),IF(OR(N(E160)&gt;4,N(F160)&gt;4),IF(N(H160)&gt;14,"SI","NO"),"NO"),"NO")</f>
        <v>NO</v>
      </c>
      <c r="J160" s="69"/>
    </row>
    <row r="161" spans="1:10" x14ac:dyDescent="0.3">
      <c r="A161" s="162" t="s">
        <v>771</v>
      </c>
      <c r="B161" s="145" t="s">
        <v>772</v>
      </c>
      <c r="C161" s="54">
        <f>ROUND(SUM(C159:C160),0)</f>
        <v>0</v>
      </c>
      <c r="D161" s="54">
        <f>ROUND(SUM(D159:D160),0)</f>
        <v>0</v>
      </c>
      <c r="E161" s="29"/>
      <c r="F161" s="29"/>
      <c r="G161" s="29"/>
      <c r="H161" s="29"/>
      <c r="I161" s="29"/>
      <c r="J161" s="69"/>
    </row>
    <row r="162" spans="1:10" x14ac:dyDescent="0.3">
      <c r="A162" s="162"/>
      <c r="B162" s="145"/>
      <c r="C162" s="18"/>
      <c r="D162" s="18"/>
      <c r="E162" s="18"/>
      <c r="F162" s="18"/>
      <c r="G162" s="18"/>
      <c r="H162" s="18"/>
      <c r="I162" s="18"/>
      <c r="J162" s="69"/>
    </row>
    <row r="163" spans="1:10" x14ac:dyDescent="0.3">
      <c r="A163" s="162"/>
      <c r="B163" s="148" t="s">
        <v>773</v>
      </c>
      <c r="C163" s="51"/>
      <c r="D163" s="18"/>
      <c r="E163" s="18"/>
      <c r="F163" s="18"/>
      <c r="G163" s="18"/>
      <c r="H163" s="18"/>
      <c r="I163" s="18"/>
      <c r="J163" s="69"/>
    </row>
    <row r="164" spans="1:10" x14ac:dyDescent="0.3">
      <c r="A164" s="162" t="s">
        <v>774</v>
      </c>
      <c r="B164" s="145" t="s">
        <v>775</v>
      </c>
      <c r="C164" s="193">
        <f>ROUND('ANEXO 10'!E9+'ANEXO 10'!E10+'ANEXO 10'!E15+'ANEXO 10'!E19+'ANEXO 10'!E23+'ANEXO 10'!E27+'ANEXO 10'!E31+'ANEXO 10'!E35+'ANEXO 10'!E39+'ANEXO 10'!E43+'ANEXO 10'!E47+'ANEXO 10'!E121+'ANEXO 10'!E125+'ANEXO 10'!E129+'ANEXO 10'!E133+'ANEXO 10'!E137,0)</f>
        <v>0</v>
      </c>
      <c r="D164" s="116"/>
      <c r="E164" s="55" t="str">
        <f t="shared" ref="E164:E175" si="10">IFERROR(TRUNC(IF(C164&lt;&gt;0,C164/$C$133,"")*100,2),"")</f>
        <v/>
      </c>
      <c r="F164" s="55" t="str">
        <f t="shared" ref="F164:F175" si="11">IFERROR(TRUNC(IF(D164&lt;&gt;0,D164/$D$133,"")*100,2),"")</f>
        <v/>
      </c>
      <c r="G164" s="56" t="str">
        <f t="shared" ref="G164:G175" si="12">IF(OR(C164&lt;&gt;0,D164&lt;&gt;0),C164-D164,"")</f>
        <v/>
      </c>
      <c r="H164" s="55" t="str">
        <f t="shared" ref="H164:H175" si="13">IFERROR(ABS(IF(G164&lt;&gt;0,IF(D164&lt;&gt;0,TRUNC(G164/D164*100,2),IF(C164&lt;&gt;0,TRUNC(G164/C164*100,2),"")),"")),"")</f>
        <v/>
      </c>
      <c r="I164" s="108" t="str">
        <f t="shared" ref="I164:I175" si="14">IF(OR(N(E164)&lt;&gt;0,N(F164)&lt;&gt;0),IF(OR(N(E164)&gt;4,N(F164)&gt;4),IF(N(H164)&gt;14,"SI","NO"),"NO"),"NO")</f>
        <v>NO</v>
      </c>
      <c r="J164" s="69"/>
    </row>
    <row r="165" spans="1:10" x14ac:dyDescent="0.3">
      <c r="A165" s="162" t="s">
        <v>776</v>
      </c>
      <c r="B165" s="145" t="s">
        <v>777</v>
      </c>
      <c r="C165" s="193">
        <f>ROUND('ANEXO 10'!E61,0)</f>
        <v>0</v>
      </c>
      <c r="D165" s="116"/>
      <c r="E165" s="55" t="str">
        <f t="shared" si="10"/>
        <v/>
      </c>
      <c r="F165" s="55" t="str">
        <f t="shared" si="11"/>
        <v/>
      </c>
      <c r="G165" s="56" t="str">
        <f t="shared" si="12"/>
        <v/>
      </c>
      <c r="H165" s="55" t="str">
        <f t="shared" si="13"/>
        <v/>
      </c>
      <c r="I165" s="108" t="str">
        <f t="shared" si="14"/>
        <v>NO</v>
      </c>
      <c r="J165" s="69"/>
    </row>
    <row r="166" spans="1:10" x14ac:dyDescent="0.3">
      <c r="A166" s="162" t="s">
        <v>778</v>
      </c>
      <c r="B166" s="145" t="s">
        <v>543</v>
      </c>
      <c r="C166" s="193">
        <f>ROUND('ANEXO 10'!E65+'ANEXO 10'!E69+'ANEXO 10'!E141+'ANEXO 10'!E145,0)</f>
        <v>0</v>
      </c>
      <c r="D166" s="116"/>
      <c r="E166" s="55" t="str">
        <f t="shared" si="10"/>
        <v/>
      </c>
      <c r="F166" s="55" t="str">
        <f t="shared" si="11"/>
        <v/>
      </c>
      <c r="G166" s="56" t="str">
        <f t="shared" si="12"/>
        <v/>
      </c>
      <c r="H166" s="55" t="str">
        <f t="shared" si="13"/>
        <v/>
      </c>
      <c r="I166" s="108" t="str">
        <f t="shared" si="14"/>
        <v>NO</v>
      </c>
      <c r="J166" s="69"/>
    </row>
    <row r="167" spans="1:10" x14ac:dyDescent="0.3">
      <c r="A167" s="162" t="s">
        <v>779</v>
      </c>
      <c r="B167" s="145" t="s">
        <v>780</v>
      </c>
      <c r="C167" s="193">
        <f>ROUND('ANEXO 10'!E51,0)</f>
        <v>0</v>
      </c>
      <c r="D167" s="116"/>
      <c r="E167" s="55" t="str">
        <f t="shared" si="10"/>
        <v/>
      </c>
      <c r="F167" s="55" t="str">
        <f t="shared" si="11"/>
        <v/>
      </c>
      <c r="G167" s="56" t="str">
        <f t="shared" si="12"/>
        <v/>
      </c>
      <c r="H167" s="55" t="str">
        <f t="shared" si="13"/>
        <v/>
      </c>
      <c r="I167" s="108" t="str">
        <f t="shared" si="14"/>
        <v>NO</v>
      </c>
      <c r="J167" s="69"/>
    </row>
    <row r="168" spans="1:10" ht="20.399999999999999" x14ac:dyDescent="0.3">
      <c r="A168" s="162" t="s">
        <v>781</v>
      </c>
      <c r="B168" s="145" t="s">
        <v>782</v>
      </c>
      <c r="C168" s="193">
        <f>ROUND('ANEXO 10'!E73+'ANEXO 10'!E77+'ANEXO 10'!E149+'ANEXO 10'!E153,0)</f>
        <v>0</v>
      </c>
      <c r="D168" s="116"/>
      <c r="E168" s="55" t="str">
        <f t="shared" si="10"/>
        <v/>
      </c>
      <c r="F168" s="55" t="str">
        <f t="shared" si="11"/>
        <v/>
      </c>
      <c r="G168" s="56" t="str">
        <f t="shared" si="12"/>
        <v/>
      </c>
      <c r="H168" s="55" t="str">
        <f t="shared" si="13"/>
        <v/>
      </c>
      <c r="I168" s="108" t="str">
        <f t="shared" si="14"/>
        <v>NO</v>
      </c>
      <c r="J168" s="69"/>
    </row>
    <row r="169" spans="1:10" x14ac:dyDescent="0.3">
      <c r="A169" s="162" t="s">
        <v>783</v>
      </c>
      <c r="B169" s="145" t="s">
        <v>784</v>
      </c>
      <c r="C169" s="193">
        <f>ROUND('ANEXO 10'!E81+'ANEXO 10'!E157,0)</f>
        <v>0</v>
      </c>
      <c r="D169" s="116"/>
      <c r="E169" s="55" t="str">
        <f t="shared" si="10"/>
        <v/>
      </c>
      <c r="F169" s="55" t="str">
        <f t="shared" si="11"/>
        <v/>
      </c>
      <c r="G169" s="56" t="str">
        <f t="shared" si="12"/>
        <v/>
      </c>
      <c r="H169" s="55" t="str">
        <f t="shared" si="13"/>
        <v/>
      </c>
      <c r="I169" s="108" t="str">
        <f t="shared" si="14"/>
        <v>NO</v>
      </c>
      <c r="J169" s="69"/>
    </row>
    <row r="170" spans="1:10" x14ac:dyDescent="0.3">
      <c r="A170" s="162" t="s">
        <v>785</v>
      </c>
      <c r="B170" s="145" t="s">
        <v>786</v>
      </c>
      <c r="C170" s="193">
        <f>ROUND('ANEXO 10'!E97+'ANEXO 10'!E101+'ANEXO 10'!E173,0)</f>
        <v>0</v>
      </c>
      <c r="D170" s="116"/>
      <c r="E170" s="55" t="str">
        <f t="shared" si="10"/>
        <v/>
      </c>
      <c r="F170" s="55" t="str">
        <f t="shared" si="11"/>
        <v/>
      </c>
      <c r="G170" s="56" t="str">
        <f t="shared" si="12"/>
        <v/>
      </c>
      <c r="H170" s="55" t="str">
        <f t="shared" si="13"/>
        <v/>
      </c>
      <c r="I170" s="108" t="str">
        <f t="shared" si="14"/>
        <v>NO</v>
      </c>
      <c r="J170" s="69"/>
    </row>
    <row r="171" spans="1:10" x14ac:dyDescent="0.3">
      <c r="A171" s="162" t="s">
        <v>787</v>
      </c>
      <c r="B171" s="145" t="s">
        <v>788</v>
      </c>
      <c r="C171" s="193">
        <f>ROUND('ANEXO 10'!E85+'ANEXO 10'!E161,0)-C172</f>
        <v>0</v>
      </c>
      <c r="D171" s="116"/>
      <c r="E171" s="55" t="str">
        <f t="shared" si="10"/>
        <v/>
      </c>
      <c r="F171" s="55" t="str">
        <f t="shared" si="11"/>
        <v/>
      </c>
      <c r="G171" s="56" t="str">
        <f t="shared" si="12"/>
        <v/>
      </c>
      <c r="H171" s="55" t="str">
        <f t="shared" si="13"/>
        <v/>
      </c>
      <c r="I171" s="108" t="str">
        <f t="shared" si="14"/>
        <v>NO</v>
      </c>
      <c r="J171" s="69"/>
    </row>
    <row r="172" spans="1:10" x14ac:dyDescent="0.3">
      <c r="A172" s="162" t="s">
        <v>789</v>
      </c>
      <c r="B172" s="145" t="s">
        <v>790</v>
      </c>
      <c r="C172" s="116"/>
      <c r="D172" s="116"/>
      <c r="E172" s="55" t="str">
        <f t="shared" si="10"/>
        <v/>
      </c>
      <c r="F172" s="55" t="str">
        <f t="shared" si="11"/>
        <v/>
      </c>
      <c r="G172" s="56" t="str">
        <f t="shared" si="12"/>
        <v/>
      </c>
      <c r="H172" s="55" t="str">
        <f t="shared" si="13"/>
        <v/>
      </c>
      <c r="I172" s="108" t="str">
        <f t="shared" si="14"/>
        <v>NO</v>
      </c>
      <c r="J172" s="69"/>
    </row>
    <row r="173" spans="1:10" x14ac:dyDescent="0.3">
      <c r="A173" s="162" t="s">
        <v>791</v>
      </c>
      <c r="B173" s="145" t="s">
        <v>792</v>
      </c>
      <c r="C173" s="193">
        <f>ROUND('ANEXO 10'!E89+'ANEXO 10'!E165,0)</f>
        <v>0</v>
      </c>
      <c r="D173" s="116"/>
      <c r="E173" s="55" t="str">
        <f t="shared" si="10"/>
        <v/>
      </c>
      <c r="F173" s="55" t="str">
        <f t="shared" si="11"/>
        <v/>
      </c>
      <c r="G173" s="56" t="str">
        <f t="shared" si="12"/>
        <v/>
      </c>
      <c r="H173" s="55" t="str">
        <f t="shared" si="13"/>
        <v/>
      </c>
      <c r="I173" s="108" t="str">
        <f t="shared" si="14"/>
        <v>NO</v>
      </c>
      <c r="J173" s="69"/>
    </row>
    <row r="174" spans="1:10" x14ac:dyDescent="0.3">
      <c r="A174" s="162" t="s">
        <v>793</v>
      </c>
      <c r="B174" s="145" t="s">
        <v>794</v>
      </c>
      <c r="C174" s="193">
        <f>ROUND('ANEXO 10'!E93+'ANEXO 10'!E169,0)</f>
        <v>0</v>
      </c>
      <c r="D174" s="116"/>
      <c r="E174" s="55" t="str">
        <f t="shared" si="10"/>
        <v/>
      </c>
      <c r="F174" s="55" t="str">
        <f t="shared" si="11"/>
        <v/>
      </c>
      <c r="G174" s="56" t="str">
        <f t="shared" si="12"/>
        <v/>
      </c>
      <c r="H174" s="55" t="str">
        <f t="shared" si="13"/>
        <v/>
      </c>
      <c r="I174" s="108" t="str">
        <f t="shared" si="14"/>
        <v>NO</v>
      </c>
      <c r="J174" s="69"/>
    </row>
    <row r="175" spans="1:10" x14ac:dyDescent="0.3">
      <c r="A175" s="162" t="s">
        <v>795</v>
      </c>
      <c r="B175" s="145" t="s">
        <v>796</v>
      </c>
      <c r="C175" s="193">
        <f>ROUND('ANEXO 10'!E55,0)</f>
        <v>0</v>
      </c>
      <c r="D175" s="116"/>
      <c r="E175" s="55" t="str">
        <f t="shared" si="10"/>
        <v/>
      </c>
      <c r="F175" s="55" t="str">
        <f t="shared" si="11"/>
        <v/>
      </c>
      <c r="G175" s="56" t="str">
        <f t="shared" si="12"/>
        <v/>
      </c>
      <c r="H175" s="55" t="str">
        <f t="shared" si="13"/>
        <v/>
      </c>
      <c r="I175" s="108" t="str">
        <f t="shared" si="14"/>
        <v>NO</v>
      </c>
      <c r="J175" s="69"/>
    </row>
    <row r="176" spans="1:10" x14ac:dyDescent="0.3">
      <c r="A176" s="162" t="s">
        <v>797</v>
      </c>
      <c r="B176" s="145" t="s">
        <v>798</v>
      </c>
      <c r="C176" s="52"/>
      <c r="D176" s="52"/>
      <c r="E176" s="57"/>
      <c r="F176" s="57"/>
      <c r="G176" s="52"/>
      <c r="H176" s="57"/>
      <c r="I176" s="58"/>
      <c r="J176" s="69"/>
    </row>
    <row r="177" spans="1:10" x14ac:dyDescent="0.3">
      <c r="A177" s="162" t="s">
        <v>799</v>
      </c>
      <c r="B177" s="145" t="s">
        <v>800</v>
      </c>
      <c r="C177" s="54">
        <f>ROUND(SUM(C164:C175)+C176,0)</f>
        <v>0</v>
      </c>
      <c r="D177" s="54">
        <f>ROUND(SUM(D164:D175)+D176,0)</f>
        <v>0</v>
      </c>
      <c r="E177" s="29"/>
      <c r="F177" s="29"/>
      <c r="G177" s="29"/>
      <c r="H177" s="29"/>
      <c r="I177" s="29"/>
      <c r="J177" s="69"/>
    </row>
    <row r="178" spans="1:10" x14ac:dyDescent="0.3">
      <c r="A178" s="162"/>
      <c r="B178" s="145"/>
      <c r="C178" s="18"/>
      <c r="D178" s="18"/>
      <c r="E178" s="18"/>
      <c r="F178" s="18"/>
      <c r="G178" s="18"/>
      <c r="H178" s="18"/>
      <c r="I178" s="18"/>
      <c r="J178" s="69"/>
    </row>
    <row r="179" spans="1:10" x14ac:dyDescent="0.3">
      <c r="A179" s="162"/>
      <c r="B179" s="148" t="s">
        <v>801</v>
      </c>
      <c r="C179" s="51"/>
      <c r="D179" s="18"/>
      <c r="E179" s="18"/>
      <c r="F179" s="18"/>
      <c r="G179" s="18"/>
      <c r="H179" s="18"/>
      <c r="I179" s="18"/>
      <c r="J179" s="69"/>
    </row>
    <row r="180" spans="1:10" x14ac:dyDescent="0.3">
      <c r="A180" s="162"/>
      <c r="B180" s="145"/>
      <c r="C180" s="18"/>
      <c r="D180" s="18"/>
      <c r="E180" s="18"/>
      <c r="F180" s="18"/>
      <c r="G180" s="18"/>
      <c r="H180" s="18"/>
      <c r="I180" s="18"/>
      <c r="J180" s="69"/>
    </row>
    <row r="181" spans="1:10" x14ac:dyDescent="0.3">
      <c r="A181" s="162" t="s">
        <v>802</v>
      </c>
      <c r="B181" s="145" t="s">
        <v>803</v>
      </c>
      <c r="C181" s="116"/>
      <c r="D181" s="116"/>
      <c r="E181" s="55" t="str">
        <f t="shared" ref="E181:E186" si="15">IFERROR(TRUNC(IF(C181&lt;&gt;0,C181/$C$133,"")*100,2),"")</f>
        <v/>
      </c>
      <c r="F181" s="55" t="str">
        <f t="shared" ref="F181:F186" si="16">IFERROR(TRUNC(IF(D181&lt;&gt;0,D181/$D$133,"")*100,2),"")</f>
        <v/>
      </c>
      <c r="G181" s="56" t="str">
        <f t="shared" ref="G181:G186" si="17">IF(OR(C181&lt;&gt;0,D181&lt;&gt;0),C181-D181,"")</f>
        <v/>
      </c>
      <c r="H181" s="55" t="str">
        <f t="shared" ref="H181:H186" si="18">IFERROR(ABS(IF(G181&lt;&gt;0,IF(D181&lt;&gt;0,TRUNC(G181/D181*100,2),IF(C181&lt;&gt;0,TRUNC(G181/C181*100,2),"")),"")),"")</f>
        <v/>
      </c>
      <c r="I181" s="108" t="str">
        <f t="shared" ref="I181:I186" si="19">IF(OR(N(E181)&lt;&gt;0,N(F181)&lt;&gt;0),IF(OR(N(E181)&gt;4,N(F181)&gt;4),IF(N(H181)&gt;14,"SI","NO"),"NO"),"NO")</f>
        <v>NO</v>
      </c>
      <c r="J181" s="69"/>
    </row>
    <row r="182" spans="1:10" ht="20.399999999999999" x14ac:dyDescent="0.3">
      <c r="A182" s="162" t="s">
        <v>804</v>
      </c>
      <c r="B182" s="145" t="s">
        <v>805</v>
      </c>
      <c r="C182" s="116"/>
      <c r="D182" s="116"/>
      <c r="E182" s="55" t="str">
        <f t="shared" si="15"/>
        <v/>
      </c>
      <c r="F182" s="55" t="str">
        <f t="shared" si="16"/>
        <v/>
      </c>
      <c r="G182" s="56" t="str">
        <f t="shared" si="17"/>
        <v/>
      </c>
      <c r="H182" s="55" t="str">
        <f t="shared" si="18"/>
        <v/>
      </c>
      <c r="I182" s="108" t="str">
        <f t="shared" si="19"/>
        <v>NO</v>
      </c>
      <c r="J182" s="69"/>
    </row>
    <row r="183" spans="1:10" x14ac:dyDescent="0.3">
      <c r="A183" s="162" t="s">
        <v>806</v>
      </c>
      <c r="B183" s="145" t="s">
        <v>807</v>
      </c>
      <c r="C183" s="116"/>
      <c r="D183" s="116"/>
      <c r="E183" s="55" t="str">
        <f t="shared" si="15"/>
        <v/>
      </c>
      <c r="F183" s="55" t="str">
        <f t="shared" si="16"/>
        <v/>
      </c>
      <c r="G183" s="56" t="str">
        <f t="shared" si="17"/>
        <v/>
      </c>
      <c r="H183" s="55" t="str">
        <f t="shared" si="18"/>
        <v/>
      </c>
      <c r="I183" s="108" t="str">
        <f t="shared" si="19"/>
        <v>NO</v>
      </c>
      <c r="J183" s="69"/>
    </row>
    <row r="184" spans="1:10" x14ac:dyDescent="0.3">
      <c r="A184" s="162" t="s">
        <v>808</v>
      </c>
      <c r="B184" s="145" t="s">
        <v>809</v>
      </c>
      <c r="C184" s="116"/>
      <c r="D184" s="116"/>
      <c r="E184" s="55" t="str">
        <f t="shared" si="15"/>
        <v/>
      </c>
      <c r="F184" s="55" t="str">
        <f t="shared" si="16"/>
        <v/>
      </c>
      <c r="G184" s="56" t="str">
        <f t="shared" si="17"/>
        <v/>
      </c>
      <c r="H184" s="55" t="str">
        <f t="shared" si="18"/>
        <v/>
      </c>
      <c r="I184" s="108" t="str">
        <f t="shared" si="19"/>
        <v>NO</v>
      </c>
      <c r="J184" s="69"/>
    </row>
    <row r="185" spans="1:10" x14ac:dyDescent="0.3">
      <c r="A185" s="162" t="s">
        <v>810</v>
      </c>
      <c r="B185" s="145" t="s">
        <v>811</v>
      </c>
      <c r="C185" s="116"/>
      <c r="D185" s="116"/>
      <c r="E185" s="55" t="str">
        <f t="shared" si="15"/>
        <v/>
      </c>
      <c r="F185" s="55" t="str">
        <f t="shared" si="16"/>
        <v/>
      </c>
      <c r="G185" s="56" t="str">
        <f t="shared" si="17"/>
        <v/>
      </c>
      <c r="H185" s="55" t="str">
        <f t="shared" si="18"/>
        <v/>
      </c>
      <c r="I185" s="108" t="str">
        <f t="shared" si="19"/>
        <v>NO</v>
      </c>
      <c r="J185" s="69"/>
    </row>
    <row r="186" spans="1:10" x14ac:dyDescent="0.3">
      <c r="A186" s="162" t="s">
        <v>812</v>
      </c>
      <c r="B186" s="145" t="s">
        <v>813</v>
      </c>
      <c r="C186" s="116"/>
      <c r="D186" s="116"/>
      <c r="E186" s="55" t="str">
        <f t="shared" si="15"/>
        <v/>
      </c>
      <c r="F186" s="55" t="str">
        <f t="shared" si="16"/>
        <v/>
      </c>
      <c r="G186" s="56" t="str">
        <f t="shared" si="17"/>
        <v/>
      </c>
      <c r="H186" s="55" t="str">
        <f t="shared" si="18"/>
        <v/>
      </c>
      <c r="I186" s="108" t="str">
        <f t="shared" si="19"/>
        <v>NO</v>
      </c>
      <c r="J186" s="69"/>
    </row>
    <row r="187" spans="1:10" x14ac:dyDescent="0.3">
      <c r="A187" s="162" t="s">
        <v>814</v>
      </c>
      <c r="B187" s="145" t="s">
        <v>815</v>
      </c>
      <c r="C187" s="52"/>
      <c r="D187" s="52"/>
      <c r="E187" s="57"/>
      <c r="F187" s="57"/>
      <c r="G187" s="52"/>
      <c r="H187" s="57"/>
      <c r="I187" s="58"/>
      <c r="J187" s="69"/>
    </row>
    <row r="188" spans="1:10" x14ac:dyDescent="0.3">
      <c r="A188" s="162" t="s">
        <v>816</v>
      </c>
      <c r="B188" s="145" t="s">
        <v>817</v>
      </c>
      <c r="C188" s="52"/>
      <c r="D188" s="52"/>
      <c r="E188" s="57"/>
      <c r="F188" s="57"/>
      <c r="G188" s="52"/>
      <c r="H188" s="57"/>
      <c r="I188" s="58"/>
      <c r="J188" s="69"/>
    </row>
    <row r="189" spans="1:10" x14ac:dyDescent="0.3">
      <c r="A189" s="162" t="s">
        <v>818</v>
      </c>
      <c r="B189" s="145" t="s">
        <v>819</v>
      </c>
      <c r="C189" s="52"/>
      <c r="D189" s="52"/>
      <c r="E189" s="57"/>
      <c r="F189" s="57"/>
      <c r="G189" s="52"/>
      <c r="H189" s="57"/>
      <c r="I189" s="58"/>
      <c r="J189" s="69"/>
    </row>
    <row r="190" spans="1:10" x14ac:dyDescent="0.3">
      <c r="A190" s="162" t="s">
        <v>820</v>
      </c>
      <c r="B190" s="145" t="s">
        <v>821</v>
      </c>
      <c r="C190" s="54">
        <f>ROUND(SUM(C181:C186)+C187+C188+C189,0)</f>
        <v>0</v>
      </c>
      <c r="D190" s="54">
        <f>ROUND(SUM(D181:D186)+D187+D188+D189,0)</f>
        <v>0</v>
      </c>
      <c r="E190" s="29"/>
      <c r="F190" s="29"/>
      <c r="G190" s="29"/>
      <c r="H190" s="29"/>
      <c r="I190" s="29"/>
      <c r="J190" s="69"/>
    </row>
    <row r="191" spans="1:10" x14ac:dyDescent="0.3">
      <c r="A191" s="162"/>
      <c r="B191" s="145"/>
      <c r="C191" s="18"/>
      <c r="D191" s="18"/>
      <c r="E191" s="18"/>
      <c r="F191" s="18"/>
      <c r="G191" s="18"/>
      <c r="H191" s="18"/>
      <c r="I191" s="18"/>
      <c r="J191" s="69"/>
    </row>
    <row r="192" spans="1:10" ht="20.399999999999999" x14ac:dyDescent="0.3">
      <c r="A192" s="162" t="s">
        <v>822</v>
      </c>
      <c r="B192" s="145" t="s">
        <v>823</v>
      </c>
      <c r="C192" s="116"/>
      <c r="D192" s="116"/>
      <c r="E192" s="55" t="str">
        <f>IFERROR(TRUNC(IF(C192&lt;&gt;0,C192/$C$133,"")*100,2),"")</f>
        <v/>
      </c>
      <c r="F192" s="55" t="str">
        <f>IFERROR(TRUNC(IF(D192&lt;&gt;0,D192/$D$133,"")*100,2),"")</f>
        <v/>
      </c>
      <c r="G192" s="56" t="str">
        <f>IF(OR(C192&lt;&gt;0,D192&lt;&gt;0),C192-D192,"")</f>
        <v/>
      </c>
      <c r="H192" s="55" t="str">
        <f>IFERROR(ABS(IF(G192&lt;&gt;0,IF(D192&lt;&gt;0,TRUNC(G192/D192*100,2),IF(C192&lt;&gt;0,TRUNC(G192/C192*100,2),"")),"")),"")</f>
        <v/>
      </c>
      <c r="I192" s="108" t="str">
        <f>IF(OR(N(E192)&lt;&gt;0,N(F192)&lt;&gt;0),IF(OR(N(E192)&gt;4,N(F192)&gt;4),IF(N(H192)&gt;14,"SI","NO"),"NO"),"NO")</f>
        <v>NO</v>
      </c>
      <c r="J192" s="69"/>
    </row>
    <row r="193" spans="1:10" x14ac:dyDescent="0.3">
      <c r="A193" s="162"/>
      <c r="B193" s="145"/>
      <c r="C193" s="18"/>
      <c r="D193" s="18"/>
      <c r="E193" s="18"/>
      <c r="F193" s="18"/>
      <c r="G193" s="18"/>
      <c r="H193" s="18"/>
      <c r="I193" s="18"/>
      <c r="J193" s="69"/>
    </row>
    <row r="194" spans="1:10" x14ac:dyDescent="0.3">
      <c r="A194" s="162" t="s">
        <v>824</v>
      </c>
      <c r="B194" s="145" t="s">
        <v>825</v>
      </c>
      <c r="C194" s="116">
        <f>ROUND(C143+C149+C155+C161+C177+C190+C192,0)</f>
        <v>0</v>
      </c>
      <c r="D194" s="116">
        <f>ROUND(D143+D149+D155+D161+D177+D190+D192,0)</f>
        <v>0</v>
      </c>
      <c r="E194" s="29"/>
      <c r="F194" s="29"/>
      <c r="G194" s="29"/>
      <c r="H194" s="29"/>
      <c r="I194" s="29"/>
      <c r="J194" s="69"/>
    </row>
    <row r="195" spans="1:10" x14ac:dyDescent="0.3">
      <c r="A195" s="162"/>
      <c r="B195" s="145"/>
      <c r="C195" s="18"/>
      <c r="D195" s="18"/>
      <c r="E195" s="18"/>
      <c r="F195" s="18"/>
      <c r="G195" s="18"/>
      <c r="H195" s="18"/>
      <c r="I195" s="18"/>
      <c r="J195" s="69"/>
    </row>
    <row r="196" spans="1:10" x14ac:dyDescent="0.3">
      <c r="A196" s="162"/>
      <c r="B196" s="148" t="s">
        <v>826</v>
      </c>
      <c r="C196" s="51"/>
      <c r="D196" s="18"/>
      <c r="E196" s="18"/>
      <c r="F196" s="18"/>
      <c r="G196" s="18"/>
      <c r="H196" s="18"/>
      <c r="I196" s="18"/>
      <c r="J196" s="69"/>
    </row>
    <row r="197" spans="1:10" x14ac:dyDescent="0.3">
      <c r="A197" s="162"/>
      <c r="B197" s="148"/>
      <c r="C197" s="51"/>
      <c r="D197" s="18"/>
      <c r="E197" s="18"/>
      <c r="F197" s="18"/>
      <c r="G197" s="18"/>
      <c r="H197" s="18"/>
      <c r="I197" s="18"/>
      <c r="J197" s="69"/>
    </row>
    <row r="198" spans="1:10" x14ac:dyDescent="0.3">
      <c r="A198" s="162"/>
      <c r="B198" s="148" t="s">
        <v>827</v>
      </c>
      <c r="C198" s="51"/>
      <c r="D198" s="18"/>
      <c r="E198" s="18"/>
      <c r="F198" s="18"/>
      <c r="G198" s="18"/>
      <c r="H198" s="18"/>
      <c r="I198" s="18"/>
      <c r="J198" s="69"/>
    </row>
    <row r="199" spans="1:10" x14ac:dyDescent="0.3">
      <c r="A199" s="162"/>
      <c r="B199" s="145"/>
      <c r="C199" s="18"/>
      <c r="D199" s="18"/>
      <c r="E199" s="18"/>
      <c r="F199" s="18"/>
      <c r="G199" s="18"/>
      <c r="H199" s="18"/>
      <c r="I199" s="18"/>
      <c r="J199" s="69"/>
    </row>
    <row r="200" spans="1:10" x14ac:dyDescent="0.3">
      <c r="A200" s="162" t="s">
        <v>828</v>
      </c>
      <c r="B200" s="145" t="s">
        <v>829</v>
      </c>
      <c r="C200" s="116"/>
      <c r="D200" s="116"/>
      <c r="E200" s="55" t="str">
        <f>IFERROR(TRUNC(IF(C200&lt;&gt;0,C200/$C$133,"")*100,2),"")</f>
        <v/>
      </c>
      <c r="F200" s="55" t="str">
        <f>IFERROR(TRUNC(IF(D200&lt;&gt;0,D200/$D$133,"")*100,2),"")</f>
        <v/>
      </c>
      <c r="G200" s="56" t="str">
        <f>IF(OR(C200&lt;&gt;0,D200&lt;&gt;0),C200-D200,"")</f>
        <v/>
      </c>
      <c r="H200" s="55" t="str">
        <f>IFERROR(ABS(IF(G200&lt;&gt;0,IF(D200&lt;&gt;0,TRUNC(G200/D200*100,2),IF(C200&lt;&gt;0,TRUNC(G200/C200*100,2),"")),"")),"")</f>
        <v/>
      </c>
      <c r="I200" s="108" t="str">
        <f>IF(OR(N(E200)&lt;&gt;0,N(F200)&lt;&gt;0),IF(OR(N(E200)&gt;4,N(F200)&gt;4),IF(N(H200)&gt;14,"SI","NO"),"NO"),"NO")</f>
        <v>NO</v>
      </c>
      <c r="J200" s="69"/>
    </row>
    <row r="201" spans="1:10" ht="20.399999999999999" x14ac:dyDescent="0.3">
      <c r="A201" s="162" t="s">
        <v>830</v>
      </c>
      <c r="B201" s="145" t="s">
        <v>831</v>
      </c>
      <c r="C201" s="116"/>
      <c r="D201" s="116"/>
      <c r="E201" s="55" t="str">
        <f>IFERROR(TRUNC(IF(C201&lt;&gt;0,C201/$C$133,"")*100,2),"")</f>
        <v/>
      </c>
      <c r="F201" s="55" t="str">
        <f>IFERROR(TRUNC(IF(D201&lt;&gt;0,D201/$D$133,"")*100,2),"")</f>
        <v/>
      </c>
      <c r="G201" s="56" t="str">
        <f>IF(OR(C201&lt;&gt;0,D201&lt;&gt;0),C201-D201,"")</f>
        <v/>
      </c>
      <c r="H201" s="55" t="str">
        <f>IFERROR(ABS(IF(G201&lt;&gt;0,IF(D201&lt;&gt;0,TRUNC(G201/D201*100,2),IF(C201&lt;&gt;0,TRUNC(G201/C201*100,2),"")),"")),"")</f>
        <v/>
      </c>
      <c r="I201" s="108" t="str">
        <f>IF(OR(N(E201)&lt;&gt;0,N(F201)&lt;&gt;0),IF(OR(N(E201)&gt;4,N(F201)&gt;4),IF(N(H201)&gt;14,"SI","NO"),"NO"),"NO")</f>
        <v>NO</v>
      </c>
      <c r="J201" s="69"/>
    </row>
    <row r="202" spans="1:10" x14ac:dyDescent="0.3">
      <c r="A202" s="162" t="s">
        <v>832</v>
      </c>
      <c r="B202" s="145" t="s">
        <v>5653</v>
      </c>
      <c r="C202" s="116"/>
      <c r="D202" s="116"/>
      <c r="E202" s="55" t="str">
        <f>IFERROR(TRUNC(IF(C202&lt;&gt;0,C202/$C$133,"")*100,2),"")</f>
        <v/>
      </c>
      <c r="F202" s="55" t="str">
        <f>IFERROR(TRUNC(IF(D202&lt;&gt;0,D202/$D$133,"")*100,2),"")</f>
        <v/>
      </c>
      <c r="G202" s="56" t="str">
        <f>IF(OR(C202&lt;&gt;0,D202&lt;&gt;0),C202-D202,"")</f>
        <v/>
      </c>
      <c r="H202" s="55" t="str">
        <f>IFERROR(ABS(IF(G202&lt;&gt;0,IF(D202&lt;&gt;0,TRUNC(G202/D202*100,2),IF(C202&lt;&gt;0,TRUNC(G202/C202*100,2),"")),"")),"")</f>
        <v/>
      </c>
      <c r="I202" s="108" t="str">
        <f>IF(OR(N(E202)&lt;&gt;0,N(F202)&lt;&gt;0),IF(OR(N(E202)&gt;4,N(F202)&gt;4),IF(N(H202)&gt;14,"SI","NO"),"NO"),"NO")</f>
        <v>NO</v>
      </c>
      <c r="J202" s="69"/>
    </row>
    <row r="203" spans="1:10" x14ac:dyDescent="0.3">
      <c r="A203" s="162" t="s">
        <v>833</v>
      </c>
      <c r="B203" s="145" t="s">
        <v>741</v>
      </c>
      <c r="C203" s="116"/>
      <c r="D203" s="116"/>
      <c r="E203" s="55" t="str">
        <f>IFERROR(TRUNC(IF(C203&lt;&gt;0,C203/$C$133,"")*100,2),"")</f>
        <v/>
      </c>
      <c r="F203" s="55" t="str">
        <f>IFERROR(TRUNC(IF(D203&lt;&gt;0,D203/$D$133,"")*100,2),"")</f>
        <v/>
      </c>
      <c r="G203" s="56" t="str">
        <f>IF(OR(C203&lt;&gt;0,D203&lt;&gt;0),C203-D203,"")</f>
        <v/>
      </c>
      <c r="H203" s="55" t="str">
        <f>IFERROR(ABS(IF(G203&lt;&gt;0,IF(D203&lt;&gt;0,TRUNC(G203/D203*100,2),IF(C203&lt;&gt;0,TRUNC(G203/C203*100,2),"")),"")),"")</f>
        <v/>
      </c>
      <c r="I203" s="108" t="str">
        <f>IF(OR(N(E203)&lt;&gt;0,N(F203)&lt;&gt;0),IF(OR(N(E203)&gt;4,N(F203)&gt;4),IF(N(H203)&gt;14,"SI","NO"),"NO"),"NO")</f>
        <v>NO</v>
      </c>
      <c r="J203" s="69"/>
    </row>
    <row r="204" spans="1:10" x14ac:dyDescent="0.3">
      <c r="A204" s="162" t="s">
        <v>834</v>
      </c>
      <c r="B204" s="145" t="s">
        <v>835</v>
      </c>
      <c r="C204" s="54">
        <f>ROUND(SUM(C200:C203),0)</f>
        <v>0</v>
      </c>
      <c r="D204" s="54">
        <f>ROUND(SUM(D200:D203),0)</f>
        <v>0</v>
      </c>
      <c r="E204" s="29"/>
      <c r="F204" s="29"/>
      <c r="G204" s="29"/>
      <c r="H204" s="29"/>
      <c r="I204" s="29"/>
      <c r="J204" s="69"/>
    </row>
    <row r="205" spans="1:10" x14ac:dyDescent="0.3">
      <c r="A205" s="162"/>
      <c r="B205" s="145"/>
      <c r="C205" s="18"/>
      <c r="D205" s="18"/>
      <c r="E205" s="18"/>
      <c r="F205" s="18"/>
      <c r="G205" s="18"/>
      <c r="H205" s="18"/>
      <c r="I205" s="18"/>
      <c r="J205" s="69"/>
    </row>
    <row r="206" spans="1:10" x14ac:dyDescent="0.3">
      <c r="A206" s="162" t="s">
        <v>836</v>
      </c>
      <c r="B206" s="145" t="s">
        <v>837</v>
      </c>
      <c r="C206" s="116"/>
      <c r="D206" s="116"/>
      <c r="E206" s="55" t="str">
        <f>IFERROR(TRUNC(IF(C206&lt;&gt;0,C206/$C$133,"")*100,2),"")</f>
        <v/>
      </c>
      <c r="F206" s="55" t="str">
        <f>IFERROR(TRUNC(IF(D206&lt;&gt;0,D206/$D$133,"")*100,2),"")</f>
        <v/>
      </c>
      <c r="G206" s="56" t="str">
        <f>IF(OR(C206&lt;&gt;0,D206&lt;&gt;0),C206-D206,"")</f>
        <v/>
      </c>
      <c r="H206" s="55" t="str">
        <f>IFERROR(ABS(IF(G206&lt;&gt;0,IF(D206&lt;&gt;0,TRUNC(G206/D206*100,2),IF(C206&lt;&gt;0,TRUNC(G206/C206*100,2),"")),"")),"")</f>
        <v/>
      </c>
      <c r="I206" s="108" t="str">
        <f>IF(OR(N(E206)&lt;&gt;0,N(F206)&lt;&gt;0),IF(OR(N(E206)&gt;4,N(F206)&gt;4),IF(N(H206)&gt;14,"SI","NO"),"NO"),"NO")</f>
        <v>NO</v>
      </c>
      <c r="J206" s="69"/>
    </row>
    <row r="207" spans="1:10" x14ac:dyDescent="0.3">
      <c r="A207" s="162"/>
      <c r="B207" s="145"/>
      <c r="C207" s="18"/>
      <c r="D207" s="18"/>
      <c r="E207" s="18"/>
      <c r="F207" s="18"/>
      <c r="G207" s="18"/>
      <c r="H207" s="18"/>
      <c r="I207" s="18"/>
      <c r="J207" s="69"/>
    </row>
    <row r="208" spans="1:10" x14ac:dyDescent="0.3">
      <c r="A208" s="162"/>
      <c r="B208" s="148" t="s">
        <v>801</v>
      </c>
      <c r="C208" s="51"/>
      <c r="D208" s="18"/>
      <c r="E208" s="18"/>
      <c r="F208" s="18"/>
      <c r="G208" s="18"/>
      <c r="H208" s="18"/>
      <c r="I208" s="18"/>
      <c r="J208" s="69"/>
    </row>
    <row r="209" spans="1:10" x14ac:dyDescent="0.3">
      <c r="A209" s="162"/>
      <c r="B209" s="145"/>
      <c r="C209" s="18"/>
      <c r="D209" s="18"/>
      <c r="E209" s="18"/>
      <c r="F209" s="18"/>
      <c r="G209" s="18"/>
      <c r="H209" s="18"/>
      <c r="I209" s="18"/>
      <c r="J209" s="69"/>
    </row>
    <row r="210" spans="1:10" x14ac:dyDescent="0.3">
      <c r="A210" s="162" t="s">
        <v>838</v>
      </c>
      <c r="B210" s="145" t="s">
        <v>839</v>
      </c>
      <c r="C210" s="116"/>
      <c r="D210" s="116"/>
      <c r="E210" s="55" t="str">
        <f>IFERROR(TRUNC(IF(C210&lt;&gt;0,C210/$C$133,"")*100,2),"")</f>
        <v/>
      </c>
      <c r="F210" s="55" t="str">
        <f>IFERROR(TRUNC(IF(D210&lt;&gt;0,D210/$D$133,"")*100,2),"")</f>
        <v/>
      </c>
      <c r="G210" s="56" t="str">
        <f>IF(OR(C210&lt;&gt;0,D210&lt;&gt;0),C210-D210,"")</f>
        <v/>
      </c>
      <c r="H210" s="55" t="str">
        <f>IFERROR(ABS(IF(G210&lt;&gt;0,IF(D210&lt;&gt;0,TRUNC(G210/D210*100,2),IF(C210&lt;&gt;0,TRUNC(G210/C210*100,2),"")),"")),"")</f>
        <v/>
      </c>
      <c r="I210" s="108" t="str">
        <f>IF(OR(N(E210)&lt;&gt;0,N(F210)&lt;&gt;0),IF(OR(N(E210)&gt;4,N(F210)&gt;4),IF(N(H210)&gt;14,"SI","NO"),"NO"),"NO")</f>
        <v>NO</v>
      </c>
      <c r="J210" s="69"/>
    </row>
    <row r="211" spans="1:10" x14ac:dyDescent="0.3">
      <c r="A211" s="162" t="s">
        <v>840</v>
      </c>
      <c r="B211" s="145" t="s">
        <v>737</v>
      </c>
      <c r="C211" s="116"/>
      <c r="D211" s="116"/>
      <c r="E211" s="55" t="str">
        <f>IFERROR(TRUNC(IF(C211&lt;&gt;0,C211/$C$133,"")*100,2),"")</f>
        <v/>
      </c>
      <c r="F211" s="55" t="str">
        <f>IFERROR(TRUNC(IF(D211&lt;&gt;0,D211/$D$133,"")*100,2),"")</f>
        <v/>
      </c>
      <c r="G211" s="56" t="str">
        <f>IF(OR(C211&lt;&gt;0,D211&lt;&gt;0),C211-D211,"")</f>
        <v/>
      </c>
      <c r="H211" s="55" t="str">
        <f>IFERROR(ABS(IF(G211&lt;&gt;0,IF(D211&lt;&gt;0,TRUNC(G211/D211*100,2),IF(C211&lt;&gt;0,TRUNC(G211/C211*100,2),"")),"")),"")</f>
        <v/>
      </c>
      <c r="I211" s="108" t="str">
        <f>IF(OR(N(E211)&lt;&gt;0,N(F211)&lt;&gt;0),IF(OR(N(E211)&gt;4,N(F211)&gt;4),IF(N(H211)&gt;14,"SI","NO"),"NO"),"NO")</f>
        <v>NO</v>
      </c>
      <c r="J211" s="69"/>
    </row>
    <row r="212" spans="1:10" ht="20.399999999999999" x14ac:dyDescent="0.3">
      <c r="A212" s="162" t="s">
        <v>841</v>
      </c>
      <c r="B212" s="145" t="s">
        <v>739</v>
      </c>
      <c r="C212" s="116"/>
      <c r="D212" s="116"/>
      <c r="E212" s="55" t="str">
        <f>IFERROR(TRUNC(IF(C212&lt;&gt;0,C212/$C$133,"")*100,2),"")</f>
        <v/>
      </c>
      <c r="F212" s="55" t="str">
        <f>IFERROR(TRUNC(IF(D212&lt;&gt;0,D212/$D$133,"")*100,2),"")</f>
        <v/>
      </c>
      <c r="G212" s="56" t="str">
        <f>IF(OR(C212&lt;&gt;0,D212&lt;&gt;0),C212-D212,"")</f>
        <v/>
      </c>
      <c r="H212" s="55" t="str">
        <f>IFERROR(ABS(IF(G212&lt;&gt;0,IF(D212&lt;&gt;0,TRUNC(G212/D212*100,2),IF(C212&lt;&gt;0,TRUNC(G212/C212*100,2),"")),"")),"")</f>
        <v/>
      </c>
      <c r="I212" s="108" t="str">
        <f>IF(OR(N(E212)&lt;&gt;0,N(F212)&lt;&gt;0),IF(OR(N(E212)&gt;4,N(F212)&gt;4),IF(N(H212)&gt;14,"SI","NO"),"NO"),"NO")</f>
        <v>NO</v>
      </c>
      <c r="J212" s="69"/>
    </row>
    <row r="213" spans="1:10" x14ac:dyDescent="0.3">
      <c r="A213" s="162" t="s">
        <v>842</v>
      </c>
      <c r="B213" s="145" t="s">
        <v>638</v>
      </c>
      <c r="C213" s="52"/>
      <c r="D213" s="52"/>
      <c r="E213" s="57"/>
      <c r="F213" s="57"/>
      <c r="G213" s="52"/>
      <c r="H213" s="57"/>
      <c r="I213" s="58"/>
      <c r="J213" s="69"/>
    </row>
    <row r="214" spans="1:10" x14ac:dyDescent="0.3">
      <c r="A214" s="162"/>
      <c r="B214" s="145"/>
      <c r="C214" s="18"/>
      <c r="D214" s="18"/>
      <c r="E214" s="18"/>
      <c r="F214" s="18"/>
      <c r="G214" s="18"/>
      <c r="H214" s="18"/>
      <c r="I214" s="18"/>
      <c r="J214" s="69"/>
    </row>
    <row r="215" spans="1:10" x14ac:dyDescent="0.3">
      <c r="A215" s="162" t="s">
        <v>843</v>
      </c>
      <c r="B215" s="145" t="s">
        <v>821</v>
      </c>
      <c r="C215" s="54">
        <f>ROUND(SUM(C210:C212)+C213,0)</f>
        <v>0</v>
      </c>
      <c r="D215" s="54">
        <f>ROUND(SUM(D210:D212)+D213,0)</f>
        <v>0</v>
      </c>
      <c r="E215" s="29"/>
      <c r="F215" s="29"/>
      <c r="G215" s="29"/>
      <c r="H215" s="29"/>
      <c r="I215" s="29"/>
      <c r="J215" s="69"/>
    </row>
    <row r="216" spans="1:10" x14ac:dyDescent="0.3">
      <c r="A216" s="162"/>
      <c r="B216" s="145"/>
      <c r="C216" s="18"/>
      <c r="D216" s="18"/>
      <c r="E216" s="18"/>
      <c r="F216" s="18"/>
      <c r="G216" s="18"/>
      <c r="H216" s="18"/>
      <c r="I216" s="18"/>
      <c r="J216" s="69"/>
    </row>
    <row r="217" spans="1:10" x14ac:dyDescent="0.3">
      <c r="A217" s="162" t="s">
        <v>844</v>
      </c>
      <c r="B217" s="145" t="s">
        <v>845</v>
      </c>
      <c r="C217" s="116">
        <f>ROUND(C204+C206+C215,0)</f>
        <v>0</v>
      </c>
      <c r="D217" s="116">
        <f>ROUND(D204+D206+D215,0)</f>
        <v>0</v>
      </c>
      <c r="E217" s="29"/>
      <c r="F217" s="29"/>
      <c r="G217" s="29"/>
      <c r="H217" s="29"/>
      <c r="I217" s="29"/>
      <c r="J217" s="69"/>
    </row>
    <row r="218" spans="1:10" x14ac:dyDescent="0.3">
      <c r="A218" s="162"/>
      <c r="B218" s="145"/>
      <c r="C218" s="18"/>
      <c r="D218" s="18"/>
      <c r="E218" s="18"/>
      <c r="F218" s="18"/>
      <c r="G218" s="18"/>
      <c r="H218" s="18"/>
      <c r="I218" s="18"/>
      <c r="J218" s="69"/>
    </row>
    <row r="219" spans="1:10" x14ac:dyDescent="0.3">
      <c r="A219" s="162" t="s">
        <v>846</v>
      </c>
      <c r="B219" s="145" t="s">
        <v>847</v>
      </c>
      <c r="C219" s="65">
        <f>ROUND(C194+C217,0)</f>
        <v>0</v>
      </c>
      <c r="D219" s="116">
        <f>ROUND(D194+D217,0)</f>
        <v>0</v>
      </c>
      <c r="E219" s="29"/>
      <c r="F219" s="29"/>
      <c r="G219" s="29"/>
      <c r="H219" s="29"/>
      <c r="I219" s="29"/>
      <c r="J219" s="69"/>
    </row>
    <row r="220" spans="1:10" x14ac:dyDescent="0.3">
      <c r="A220" s="162"/>
      <c r="B220" s="145"/>
      <c r="C220" s="18"/>
      <c r="D220" s="18"/>
      <c r="E220" s="18"/>
      <c r="F220" s="18"/>
      <c r="G220" s="18"/>
      <c r="H220" s="18"/>
      <c r="I220" s="18"/>
      <c r="J220" s="69"/>
    </row>
    <row r="221" spans="1:10" x14ac:dyDescent="0.3">
      <c r="A221" s="162"/>
      <c r="B221" s="147" t="s">
        <v>848</v>
      </c>
      <c r="C221" s="51"/>
      <c r="D221" s="18"/>
      <c r="E221" s="18"/>
      <c r="F221" s="18"/>
      <c r="G221" s="18"/>
      <c r="H221" s="18"/>
      <c r="I221" s="18"/>
      <c r="J221" s="69"/>
    </row>
    <row r="222" spans="1:10" x14ac:dyDescent="0.3">
      <c r="A222" s="162"/>
      <c r="B222" s="145"/>
      <c r="C222" s="18"/>
      <c r="D222" s="18"/>
      <c r="E222" s="18"/>
      <c r="F222" s="18"/>
      <c r="G222" s="18"/>
      <c r="H222" s="18"/>
      <c r="I222" s="18"/>
      <c r="J222" s="69"/>
    </row>
    <row r="223" spans="1:10" ht="20.399999999999999" x14ac:dyDescent="0.3">
      <c r="A223" s="162" t="s">
        <v>849</v>
      </c>
      <c r="B223" s="145" t="s">
        <v>850</v>
      </c>
      <c r="C223" s="68">
        <f>ROUND('ANEXO 3'!C56,0)</f>
        <v>0</v>
      </c>
      <c r="D223" s="192">
        <f>ROUND('ANEXO 3'!C31,0)</f>
        <v>0</v>
      </c>
      <c r="E223" s="29"/>
      <c r="F223" s="29"/>
      <c r="G223" s="29"/>
      <c r="H223" s="29"/>
      <c r="I223" s="29"/>
      <c r="J223" s="69"/>
    </row>
    <row r="224" spans="1:10" ht="20.399999999999999" x14ac:dyDescent="0.3">
      <c r="A224" s="162" t="s">
        <v>851</v>
      </c>
      <c r="B224" s="145" t="s">
        <v>5690</v>
      </c>
      <c r="C224" s="68">
        <f>ROUND('ANEXO 3'!D56,0)</f>
        <v>0</v>
      </c>
      <c r="D224" s="192">
        <f>ROUND('ANEXO 3'!D31,0)</f>
        <v>0</v>
      </c>
      <c r="E224" s="29"/>
      <c r="F224" s="29"/>
      <c r="G224" s="29"/>
      <c r="H224" s="29"/>
      <c r="I224" s="29"/>
      <c r="J224" s="69"/>
    </row>
    <row r="225" spans="1:10" ht="20.399999999999999" x14ac:dyDescent="0.3">
      <c r="A225" s="162" t="s">
        <v>852</v>
      </c>
      <c r="B225" s="145" t="s">
        <v>853</v>
      </c>
      <c r="C225" s="68">
        <f>ROUND('ANEXO 3'!E56,0)</f>
        <v>0</v>
      </c>
      <c r="D225" s="192">
        <f>ROUND('ANEXO 3'!E31,0)</f>
        <v>0</v>
      </c>
      <c r="E225" s="29"/>
      <c r="F225" s="29"/>
      <c r="G225" s="29"/>
      <c r="H225" s="29"/>
      <c r="I225" s="29"/>
      <c r="J225" s="69"/>
    </row>
    <row r="226" spans="1:10" x14ac:dyDescent="0.3">
      <c r="A226" s="162" t="s">
        <v>854</v>
      </c>
      <c r="B226" s="145" t="s">
        <v>5691</v>
      </c>
      <c r="C226" s="68">
        <f>ROUND('ANEXO 3'!F56,0)</f>
        <v>0</v>
      </c>
      <c r="D226" s="192">
        <f>ROUND('ANEXO 3'!F31,0)</f>
        <v>0</v>
      </c>
      <c r="E226" s="29"/>
      <c r="F226" s="29"/>
      <c r="G226" s="29"/>
      <c r="H226" s="29"/>
      <c r="I226" s="29"/>
      <c r="J226" s="69"/>
    </row>
    <row r="227" spans="1:10" x14ac:dyDescent="0.3">
      <c r="A227" s="162" t="s">
        <v>855</v>
      </c>
      <c r="B227" s="145" t="s">
        <v>856</v>
      </c>
      <c r="C227" s="68">
        <f>ROUND('ANEXO 3'!G56,0)</f>
        <v>0</v>
      </c>
      <c r="D227" s="192">
        <f>ROUND('ANEXO 3'!G31,0)</f>
        <v>0</v>
      </c>
      <c r="E227" s="29"/>
      <c r="F227" s="29"/>
      <c r="G227" s="29"/>
      <c r="H227" s="29"/>
      <c r="I227" s="29"/>
      <c r="J227" s="69"/>
    </row>
    <row r="228" spans="1:10" x14ac:dyDescent="0.3">
      <c r="A228" s="162" t="s">
        <v>857</v>
      </c>
      <c r="B228" s="145" t="s">
        <v>961</v>
      </c>
      <c r="C228" s="68">
        <f>'ANEXO 2'!C75</f>
        <v>0</v>
      </c>
      <c r="D228" s="192">
        <f>'ANEXO 2'!F75</f>
        <v>0</v>
      </c>
      <c r="E228" s="29"/>
      <c r="F228" s="29"/>
      <c r="G228" s="29"/>
      <c r="H228" s="29"/>
      <c r="I228" s="29"/>
      <c r="J228" s="69"/>
    </row>
    <row r="229" spans="1:10" x14ac:dyDescent="0.3">
      <c r="A229" s="162" t="s">
        <v>858</v>
      </c>
      <c r="B229" s="145" t="s">
        <v>859</v>
      </c>
      <c r="C229" s="68">
        <f>'ANEXO 2'!C74</f>
        <v>0</v>
      </c>
      <c r="D229" s="192">
        <f>'ANEXO 2'!F74</f>
        <v>0</v>
      </c>
      <c r="E229" s="29"/>
      <c r="F229" s="29"/>
      <c r="G229" s="29"/>
      <c r="H229" s="29"/>
      <c r="I229" s="29"/>
      <c r="J229" s="69"/>
    </row>
    <row r="230" spans="1:10" ht="20.399999999999999" x14ac:dyDescent="0.3">
      <c r="A230" s="162" t="s">
        <v>860</v>
      </c>
      <c r="B230" s="145" t="s">
        <v>861</v>
      </c>
      <c r="C230" s="68">
        <f>ROUND('ANEXO 3'!J56,0)</f>
        <v>0</v>
      </c>
      <c r="D230" s="192">
        <f>ROUND('ANEXO 3'!J31,0)</f>
        <v>0</v>
      </c>
      <c r="E230" s="29"/>
      <c r="F230" s="29"/>
      <c r="G230" s="29"/>
      <c r="H230" s="29"/>
      <c r="I230" s="29"/>
      <c r="J230" s="69"/>
    </row>
    <row r="231" spans="1:10" ht="20.399999999999999" x14ac:dyDescent="0.3">
      <c r="A231" s="162" t="s">
        <v>862</v>
      </c>
      <c r="B231" s="145" t="s">
        <v>863</v>
      </c>
      <c r="C231" s="68">
        <f>ROUND('ANEXO 3'!K56,0)</f>
        <v>0</v>
      </c>
      <c r="D231" s="192">
        <f>ROUND('ANEXO 3'!K31,0)</f>
        <v>0</v>
      </c>
      <c r="E231" s="29"/>
      <c r="F231" s="29"/>
      <c r="G231" s="29"/>
      <c r="H231" s="29"/>
      <c r="I231" s="29"/>
      <c r="J231" s="69"/>
    </row>
    <row r="232" spans="1:10" ht="20.399999999999999" x14ac:dyDescent="0.3">
      <c r="A232" s="162" t="s">
        <v>864</v>
      </c>
      <c r="B232" s="145" t="s">
        <v>865</v>
      </c>
      <c r="C232" s="52"/>
      <c r="D232" s="52"/>
      <c r="E232" s="29"/>
      <c r="F232" s="29"/>
      <c r="G232" s="29"/>
      <c r="H232" s="29"/>
      <c r="I232" s="29"/>
      <c r="J232" s="69"/>
    </row>
    <row r="233" spans="1:10" ht="20.399999999999999" x14ac:dyDescent="0.3">
      <c r="A233" s="162" t="s">
        <v>866</v>
      </c>
      <c r="B233" s="145" t="s">
        <v>867</v>
      </c>
      <c r="C233" s="52"/>
      <c r="D233" s="52"/>
      <c r="E233" s="29"/>
      <c r="F233" s="29"/>
      <c r="G233" s="29"/>
      <c r="H233" s="29"/>
      <c r="I233" s="29"/>
      <c r="J233" s="69"/>
    </row>
    <row r="234" spans="1:10" ht="20.399999999999999" x14ac:dyDescent="0.3">
      <c r="A234" s="162" t="s">
        <v>868</v>
      </c>
      <c r="B234" s="145" t="s">
        <v>869</v>
      </c>
      <c r="C234" s="52"/>
      <c r="D234" s="52"/>
      <c r="E234" s="29"/>
      <c r="F234" s="29"/>
      <c r="G234" s="29"/>
      <c r="H234" s="29"/>
      <c r="I234" s="29"/>
      <c r="J234" s="69"/>
    </row>
    <row r="235" spans="1:10" ht="20.399999999999999" x14ac:dyDescent="0.3">
      <c r="A235" s="162" t="s">
        <v>870</v>
      </c>
      <c r="B235" s="145" t="s">
        <v>871</v>
      </c>
      <c r="C235" s="52"/>
      <c r="D235" s="52"/>
      <c r="E235" s="29"/>
      <c r="F235" s="29"/>
      <c r="G235" s="29"/>
      <c r="H235" s="29"/>
      <c r="I235" s="29"/>
      <c r="J235" s="69"/>
    </row>
    <row r="236" spans="1:10" ht="20.399999999999999" x14ac:dyDescent="0.3">
      <c r="A236" s="162" t="s">
        <v>872</v>
      </c>
      <c r="B236" s="145" t="s">
        <v>873</v>
      </c>
      <c r="C236" s="68">
        <f>ROUND('ANEXO 3'!P56,0)</f>
        <v>0</v>
      </c>
      <c r="D236" s="192">
        <f>ROUND('ANEXO 3'!P31,0)</f>
        <v>0</v>
      </c>
      <c r="E236" s="29"/>
      <c r="F236" s="29"/>
      <c r="G236" s="29"/>
      <c r="H236" s="29"/>
      <c r="I236" s="29"/>
      <c r="J236" s="69"/>
    </row>
    <row r="237" spans="1:10" ht="20.399999999999999" x14ac:dyDescent="0.3">
      <c r="A237" s="162" t="s">
        <v>874</v>
      </c>
      <c r="B237" s="145" t="s">
        <v>875</v>
      </c>
      <c r="C237" s="68">
        <f>ROUND('ANEXO 3'!Q56,0)</f>
        <v>0</v>
      </c>
      <c r="D237" s="192">
        <f>ROUND('ANEXO 3'!Q31,0)</f>
        <v>0</v>
      </c>
      <c r="E237" s="29"/>
      <c r="F237" s="29"/>
      <c r="G237" s="29"/>
      <c r="H237" s="29"/>
      <c r="I237" s="29"/>
      <c r="J237" s="69"/>
    </row>
    <row r="238" spans="1:10" ht="20.399999999999999" x14ac:dyDescent="0.3">
      <c r="A238" s="162" t="s">
        <v>876</v>
      </c>
      <c r="B238" s="145" t="s">
        <v>1018</v>
      </c>
      <c r="C238" s="68">
        <f>ROUND('ANEXO 3'!R56,0)</f>
        <v>0</v>
      </c>
      <c r="D238" s="192">
        <f>ROUND('ANEXO 3'!R31,0)</f>
        <v>0</v>
      </c>
      <c r="E238" s="29"/>
      <c r="F238" s="29"/>
      <c r="G238" s="29"/>
      <c r="H238" s="29"/>
      <c r="I238" s="29"/>
      <c r="J238" s="69"/>
    </row>
    <row r="239" spans="1:10" x14ac:dyDescent="0.3">
      <c r="A239" s="162" t="s">
        <v>877</v>
      </c>
      <c r="B239" s="145" t="s">
        <v>878</v>
      </c>
      <c r="C239" s="52"/>
      <c r="D239" s="52"/>
      <c r="E239" s="29"/>
      <c r="F239" s="29"/>
      <c r="G239" s="29"/>
      <c r="H239" s="29"/>
      <c r="I239" s="29"/>
      <c r="J239" s="69"/>
    </row>
    <row r="240" spans="1:10" x14ac:dyDescent="0.3">
      <c r="A240" s="162" t="s">
        <v>879</v>
      </c>
      <c r="B240" s="145" t="s">
        <v>880</v>
      </c>
      <c r="C240" s="52"/>
      <c r="D240" s="52"/>
      <c r="E240" s="29"/>
      <c r="F240" s="29"/>
      <c r="G240" s="29"/>
      <c r="H240" s="29"/>
      <c r="I240" s="29"/>
      <c r="J240" s="69"/>
    </row>
    <row r="241" spans="1:10" x14ac:dyDescent="0.3">
      <c r="A241" s="162"/>
      <c r="B241" s="145"/>
      <c r="C241" s="18"/>
      <c r="D241" s="18"/>
      <c r="E241" s="18"/>
      <c r="F241" s="18"/>
      <c r="G241" s="18"/>
      <c r="H241" s="18"/>
      <c r="I241" s="18"/>
      <c r="J241" s="69"/>
    </row>
    <row r="242" spans="1:10" x14ac:dyDescent="0.3">
      <c r="A242" s="162" t="s">
        <v>881</v>
      </c>
      <c r="B242" s="145" t="s">
        <v>882</v>
      </c>
      <c r="C242" s="68">
        <f>ROUND('ANEXO 3'!U56,0)</f>
        <v>0</v>
      </c>
      <c r="D242" s="192">
        <f>ROUND('ANEXO 3'!U31,0)</f>
        <v>0</v>
      </c>
      <c r="E242" s="29"/>
      <c r="F242" s="29"/>
      <c r="G242" s="29"/>
      <c r="H242" s="29"/>
      <c r="I242" s="29"/>
      <c r="J242" s="69"/>
    </row>
    <row r="243" spans="1:10" x14ac:dyDescent="0.3">
      <c r="A243" s="162"/>
      <c r="B243" s="145"/>
      <c r="C243" s="18"/>
      <c r="D243" s="18"/>
      <c r="E243" s="18"/>
      <c r="F243" s="18"/>
      <c r="G243" s="18"/>
      <c r="H243" s="18"/>
      <c r="I243" s="18"/>
      <c r="J243" s="69"/>
    </row>
    <row r="244" spans="1:10" x14ac:dyDescent="0.3">
      <c r="A244" s="162" t="s">
        <v>883</v>
      </c>
      <c r="B244" s="145" t="s">
        <v>884</v>
      </c>
      <c r="C244" s="65">
        <f>ROUND(C219+C242,0)</f>
        <v>0</v>
      </c>
      <c r="D244" s="116">
        <f>ROUND(D219+D242,0)</f>
        <v>0</v>
      </c>
      <c r="E244" s="29"/>
      <c r="F244" s="29"/>
      <c r="G244" s="29"/>
      <c r="H244" s="29"/>
      <c r="I244" s="29"/>
      <c r="J244" s="69"/>
    </row>
    <row r="245" spans="1:10" x14ac:dyDescent="0.3">
      <c r="A245" s="163"/>
      <c r="B245" s="174"/>
      <c r="C245" s="18"/>
      <c r="D245" s="18"/>
      <c r="E245" s="18"/>
      <c r="F245" s="18"/>
      <c r="G245" s="18"/>
      <c r="H245" s="18"/>
      <c r="I245" s="18"/>
      <c r="J245" s="69"/>
    </row>
    <row r="246" spans="1:10" ht="21.6" x14ac:dyDescent="0.3">
      <c r="A246" s="163"/>
      <c r="B246" s="174" t="s">
        <v>885</v>
      </c>
      <c r="C246" s="18"/>
      <c r="D246" s="18"/>
      <c r="E246" s="18"/>
      <c r="F246" s="18"/>
      <c r="G246" s="18"/>
      <c r="H246" s="18"/>
      <c r="I246" s="18"/>
      <c r="J246" s="69"/>
    </row>
    <row r="247" spans="1:10" ht="8.1" customHeight="1" x14ac:dyDescent="0.3">
      <c r="A247" s="168" t="s">
        <v>0</v>
      </c>
      <c r="B247" s="172"/>
      <c r="C247" s="168"/>
      <c r="D247" s="168"/>
      <c r="E247" s="168"/>
      <c r="F247" s="168"/>
      <c r="G247" s="168"/>
      <c r="H247" s="168"/>
      <c r="I247" s="168"/>
      <c r="J247"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L11"/>
  <sheetViews>
    <sheetView workbookViewId="0"/>
  </sheetViews>
  <sheetFormatPr defaultColWidth="11.5546875" defaultRowHeight="14.4" x14ac:dyDescent="0.3"/>
  <cols>
    <col min="1" max="1" width="14.33203125" style="107" customWidth="1"/>
    <col min="2" max="2" width="35.6640625" style="107" customWidth="1"/>
    <col min="3" max="4" width="30.6640625" style="107" customWidth="1"/>
    <col min="5" max="11" width="18.6640625" style="107" customWidth="1"/>
    <col min="12" max="12" width="1.6640625" style="107" customWidth="1"/>
    <col min="13" max="16384" width="11.5546875" style="107"/>
  </cols>
  <sheetData>
    <row r="1" spans="1:12" ht="21.6" x14ac:dyDescent="0.3">
      <c r="A1" s="42" t="s">
        <v>0</v>
      </c>
      <c r="B1" s="122" t="s">
        <v>5610</v>
      </c>
      <c r="C1" s="42"/>
      <c r="D1" s="42"/>
      <c r="E1" s="42" t="s">
        <v>0</v>
      </c>
      <c r="F1" s="42" t="s">
        <v>0</v>
      </c>
      <c r="G1" s="42" t="s">
        <v>0</v>
      </c>
      <c r="H1" s="42" t="s">
        <v>0</v>
      </c>
      <c r="I1" s="42" t="s">
        <v>0</v>
      </c>
      <c r="J1" s="42" t="s">
        <v>0</v>
      </c>
      <c r="K1" s="42" t="s">
        <v>0</v>
      </c>
      <c r="L1" s="69" t="s">
        <v>0</v>
      </c>
    </row>
    <row r="2" spans="1:12" ht="51" x14ac:dyDescent="0.3">
      <c r="A2" s="121" t="s">
        <v>5597</v>
      </c>
      <c r="B2" s="121" t="s">
        <v>5598</v>
      </c>
      <c r="C2" s="45" t="s">
        <v>2258</v>
      </c>
      <c r="D2" s="45" t="s">
        <v>2259</v>
      </c>
      <c r="E2" s="45" t="s">
        <v>2260</v>
      </c>
      <c r="F2" s="45" t="s">
        <v>2261</v>
      </c>
      <c r="G2" s="45" t="s">
        <v>2262</v>
      </c>
      <c r="H2" s="45" t="s">
        <v>2263</v>
      </c>
      <c r="I2" s="45" t="s">
        <v>2264</v>
      </c>
      <c r="J2" s="45" t="s">
        <v>2265</v>
      </c>
      <c r="K2" s="45" t="s">
        <v>2266</v>
      </c>
      <c r="L2" s="69" t="s">
        <v>0</v>
      </c>
    </row>
    <row r="3" spans="1:12" x14ac:dyDescent="0.3">
      <c r="A3" s="163"/>
      <c r="B3" s="46" t="s">
        <v>0</v>
      </c>
      <c r="C3" s="47"/>
      <c r="D3" s="47"/>
      <c r="E3" s="47"/>
      <c r="F3" s="47"/>
      <c r="G3" s="47"/>
      <c r="H3" s="47"/>
      <c r="I3" s="47"/>
      <c r="J3" s="47"/>
      <c r="K3" s="47"/>
      <c r="L3" s="69"/>
    </row>
    <row r="4" spans="1:12" x14ac:dyDescent="0.3">
      <c r="A4" s="163"/>
      <c r="B4" s="48" t="s">
        <v>5626</v>
      </c>
      <c r="C4" s="47"/>
      <c r="D4" s="47"/>
      <c r="E4" s="47"/>
      <c r="F4" s="47"/>
      <c r="G4" s="47"/>
      <c r="H4" s="47"/>
      <c r="I4" s="47"/>
      <c r="J4" s="47"/>
      <c r="K4" s="47"/>
      <c r="L4" s="69"/>
    </row>
    <row r="5" spans="1:12" x14ac:dyDescent="0.3">
      <c r="A5" s="163"/>
      <c r="B5" s="27" t="s">
        <v>0</v>
      </c>
      <c r="C5" s="47"/>
      <c r="D5" s="47"/>
      <c r="E5" s="47"/>
      <c r="F5" s="47"/>
      <c r="G5" s="47"/>
      <c r="H5" s="47"/>
      <c r="I5" s="47"/>
      <c r="J5" s="47"/>
      <c r="K5" s="47"/>
      <c r="L5" s="69"/>
    </row>
    <row r="6" spans="1:12" ht="20.399999999999999" x14ac:dyDescent="0.3">
      <c r="A6" s="163"/>
      <c r="B6" s="129" t="s">
        <v>5635</v>
      </c>
      <c r="C6" s="47"/>
      <c r="D6" s="47"/>
      <c r="E6" s="47"/>
      <c r="F6" s="47"/>
      <c r="G6" s="47"/>
      <c r="H6" s="47"/>
      <c r="I6" s="47"/>
      <c r="J6" s="47"/>
      <c r="K6" s="47"/>
      <c r="L6" s="69"/>
    </row>
    <row r="7" spans="1:12" x14ac:dyDescent="0.3">
      <c r="A7" s="163"/>
      <c r="B7" s="160"/>
      <c r="C7" s="18"/>
      <c r="D7" s="18"/>
      <c r="E7" s="18"/>
      <c r="F7" s="18"/>
      <c r="G7" s="18"/>
      <c r="H7" s="18"/>
      <c r="I7" s="18"/>
      <c r="J7" s="18"/>
      <c r="K7" s="18"/>
      <c r="L7" s="69"/>
    </row>
    <row r="8" spans="1:12" x14ac:dyDescent="0.3">
      <c r="A8" s="184" t="s">
        <v>2267</v>
      </c>
      <c r="B8" s="190" t="s">
        <v>5322</v>
      </c>
      <c r="C8" s="85"/>
      <c r="D8" s="86"/>
      <c r="E8" s="87"/>
      <c r="F8" s="85"/>
      <c r="G8" s="85"/>
      <c r="H8" s="61"/>
      <c r="I8" s="61"/>
      <c r="J8" s="61"/>
      <c r="K8" s="61"/>
      <c r="L8" s="69"/>
    </row>
    <row r="9" spans="1:12" x14ac:dyDescent="0.3">
      <c r="A9" s="162"/>
      <c r="B9" s="153"/>
      <c r="C9" s="18"/>
      <c r="D9" s="18"/>
      <c r="E9" s="18"/>
      <c r="F9" s="18"/>
      <c r="G9" s="18"/>
      <c r="H9" s="18"/>
      <c r="I9" s="18"/>
      <c r="J9" s="18"/>
      <c r="K9" s="18"/>
      <c r="L9" s="69"/>
    </row>
    <row r="10" spans="1:12" x14ac:dyDescent="0.3">
      <c r="A10" s="162" t="s">
        <v>2268</v>
      </c>
      <c r="B10" s="153" t="s">
        <v>905</v>
      </c>
      <c r="C10" s="29"/>
      <c r="D10" s="29"/>
      <c r="E10" s="29"/>
      <c r="F10" s="29"/>
      <c r="G10" s="29"/>
      <c r="H10" s="54">
        <f>ROUND(SUM(H8:H9),0)</f>
        <v>0</v>
      </c>
      <c r="I10" s="54">
        <f>ROUND(SUM(I8:I9),0)</f>
        <v>0</v>
      </c>
      <c r="J10" s="54">
        <f>ROUND(SUM(J8:J9),0)</f>
        <v>0</v>
      </c>
      <c r="K10" s="54">
        <f>ROUND(SUM(K8:K9),0)</f>
        <v>0</v>
      </c>
      <c r="L10" s="69"/>
    </row>
    <row r="11" spans="1:12" ht="8.1" customHeight="1" x14ac:dyDescent="0.3">
      <c r="A11" s="70" t="s">
        <v>0</v>
      </c>
      <c r="B11" s="152"/>
      <c r="C11" s="70"/>
      <c r="D11" s="70"/>
      <c r="E11" s="70"/>
      <c r="F11" s="70"/>
      <c r="G11" s="70"/>
      <c r="H11" s="70"/>
      <c r="I11" s="70"/>
      <c r="J11" s="70"/>
      <c r="K11" s="70"/>
      <c r="L11" s="69"/>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xr:uid="{00000000-0002-0000-0D00-000000000000}">
      <formula1>CATALOGCOLUMNFILTERED41</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149"/>
  <sheetViews>
    <sheetView workbookViewId="0"/>
  </sheetViews>
  <sheetFormatPr defaultColWidth="11.5546875" defaultRowHeight="14.4" x14ac:dyDescent="0.3"/>
  <cols>
    <col min="1" max="1" width="14.33203125" style="107" customWidth="1"/>
    <col min="2" max="2" width="35.6640625" style="107" customWidth="1"/>
    <col min="3" max="4" width="18.6640625" style="107" customWidth="1"/>
    <col min="5" max="5" width="1.6640625" style="107" customWidth="1"/>
    <col min="6" max="16384" width="11.5546875" style="107"/>
  </cols>
  <sheetData>
    <row r="1" spans="1:5" x14ac:dyDescent="0.3">
      <c r="A1" s="42" t="s">
        <v>0</v>
      </c>
      <c r="B1" s="41" t="s">
        <v>5612</v>
      </c>
      <c r="C1" s="42"/>
      <c r="D1" s="42"/>
      <c r="E1" s="69" t="s">
        <v>0</v>
      </c>
    </row>
    <row r="2" spans="1:5" x14ac:dyDescent="0.3">
      <c r="A2" s="78" t="s">
        <v>5597</v>
      </c>
      <c r="B2" s="78" t="s">
        <v>5598</v>
      </c>
      <c r="C2" s="79">
        <v>2017</v>
      </c>
      <c r="D2" s="79">
        <v>2016</v>
      </c>
      <c r="E2" s="69" t="s">
        <v>0</v>
      </c>
    </row>
    <row r="3" spans="1:5" x14ac:dyDescent="0.3">
      <c r="A3" s="163"/>
      <c r="B3" s="46" t="s">
        <v>0</v>
      </c>
      <c r="C3" s="47"/>
      <c r="D3" s="47"/>
      <c r="E3" s="69"/>
    </row>
    <row r="4" spans="1:5" x14ac:dyDescent="0.3">
      <c r="A4" s="163"/>
      <c r="B4" s="51" t="s">
        <v>5626</v>
      </c>
      <c r="C4" s="49"/>
      <c r="D4" s="47"/>
      <c r="E4" s="69"/>
    </row>
    <row r="5" spans="1:5" x14ac:dyDescent="0.3">
      <c r="A5" s="163"/>
      <c r="B5" s="47" t="s">
        <v>0</v>
      </c>
      <c r="C5" s="47"/>
      <c r="D5" s="47"/>
      <c r="E5" s="69"/>
    </row>
    <row r="6" spans="1:5" x14ac:dyDescent="0.3">
      <c r="A6" s="163"/>
      <c r="B6" s="129" t="s">
        <v>5637</v>
      </c>
      <c r="C6" s="49"/>
      <c r="D6" s="47"/>
      <c r="E6" s="69"/>
    </row>
    <row r="7" spans="1:5" x14ac:dyDescent="0.3">
      <c r="A7" s="163"/>
      <c r="B7" s="132" t="s">
        <v>0</v>
      </c>
      <c r="C7" s="49"/>
      <c r="D7" s="47"/>
      <c r="E7" s="69"/>
    </row>
    <row r="8" spans="1:5" x14ac:dyDescent="0.3">
      <c r="A8" s="163"/>
      <c r="B8" s="129" t="s">
        <v>1061</v>
      </c>
      <c r="C8" s="49"/>
      <c r="D8" s="47"/>
      <c r="E8" s="69"/>
    </row>
    <row r="9" spans="1:5" x14ac:dyDescent="0.3">
      <c r="A9" s="163"/>
      <c r="B9" s="160"/>
      <c r="C9" s="47"/>
      <c r="D9" s="71"/>
      <c r="E9" s="69"/>
    </row>
    <row r="10" spans="1:5" x14ac:dyDescent="0.3">
      <c r="A10" s="162" t="s">
        <v>1062</v>
      </c>
      <c r="B10" s="153" t="s">
        <v>952</v>
      </c>
      <c r="C10" s="68">
        <f>IF(Generales!C44="SI",ROUND('ANEXO 2'!C61,0),0)</f>
        <v>0</v>
      </c>
      <c r="D10" s="192">
        <f>IF(Generales!C44="SI",ROUND('ANEXO 2'!F61,0),0)</f>
        <v>0</v>
      </c>
      <c r="E10" s="69"/>
    </row>
    <row r="11" spans="1:5" x14ac:dyDescent="0.3">
      <c r="A11" s="162" t="s">
        <v>1063</v>
      </c>
      <c r="B11" s="153" t="s">
        <v>950</v>
      </c>
      <c r="C11" s="68">
        <f>IF(Generales!C44="SI",ROUND('ANEXO 2'!C60,0),0)</f>
        <v>0</v>
      </c>
      <c r="D11" s="192">
        <f>IF(Generales!C44="SI",ROUND('ANEXO 2'!F60,0),0)</f>
        <v>0</v>
      </c>
      <c r="E11" s="69"/>
    </row>
    <row r="12" spans="1:5" x14ac:dyDescent="0.3">
      <c r="A12" s="162"/>
      <c r="B12" s="153"/>
      <c r="C12" s="18"/>
      <c r="D12" s="20"/>
      <c r="E12" s="69"/>
    </row>
    <row r="13" spans="1:5" ht="20.399999999999999" x14ac:dyDescent="0.3">
      <c r="A13" s="162"/>
      <c r="B13" s="179" t="s">
        <v>1064</v>
      </c>
      <c r="C13" s="51"/>
      <c r="D13" s="20"/>
      <c r="E13" s="69"/>
    </row>
    <row r="14" spans="1:5" x14ac:dyDescent="0.3">
      <c r="A14" s="162"/>
      <c r="B14" s="153"/>
      <c r="C14" s="18"/>
      <c r="D14" s="18"/>
      <c r="E14" s="69"/>
    </row>
    <row r="15" spans="1:5" x14ac:dyDescent="0.3">
      <c r="A15" s="162" t="s">
        <v>1065</v>
      </c>
      <c r="B15" s="153" t="s">
        <v>1066</v>
      </c>
      <c r="C15" s="193">
        <f>IF(Generales!C44="SI",ROUND('ANEXO 7'!AE63+'ANEXO 7'!AE67,0),0)</f>
        <v>0</v>
      </c>
      <c r="D15" s="193">
        <f>IF(Generales!C44="SI",ROUND('ANEXO 7'!AF63+'ANEXO 7'!AF67,0),0)</f>
        <v>0</v>
      </c>
      <c r="E15" s="69"/>
    </row>
    <row r="16" spans="1:5" x14ac:dyDescent="0.3">
      <c r="A16" s="162" t="s">
        <v>1067</v>
      </c>
      <c r="B16" s="153" t="s">
        <v>1068</v>
      </c>
      <c r="C16" s="193">
        <f>IF(Generales!C44="SI",ROUND('ANEXO 1'!D107-'ANEXO 1'!C107,0),0)</f>
        <v>0</v>
      </c>
      <c r="D16" s="116"/>
      <c r="E16" s="69"/>
    </row>
    <row r="17" spans="1:5" ht="20.399999999999999" x14ac:dyDescent="0.3">
      <c r="A17" s="164" t="s">
        <v>1069</v>
      </c>
      <c r="B17" s="153" t="s">
        <v>1070</v>
      </c>
      <c r="C17" s="193">
        <f>-IF(Generales!C44="SI",ROUND('ANEXO 5'!C30+'ANEXO 5'!C31,0),0)+IF(Generales!C44="SI",ROUND(SUM('ANEXO 7'!AE105:AE110),0))</f>
        <v>0</v>
      </c>
      <c r="D17" s="193">
        <f>-IF(Generales!C44="SI",ROUND('ANEXO 5'!D30+'ANEXO 5'!D31,0),0)+IF(Generales!C44="SI",ROUND(SUM('ANEXO 7'!AF105:AF110),0))</f>
        <v>0</v>
      </c>
      <c r="E17" s="69"/>
    </row>
    <row r="18" spans="1:5" x14ac:dyDescent="0.3">
      <c r="A18" s="162" t="s">
        <v>1071</v>
      </c>
      <c r="B18" s="153" t="s">
        <v>924</v>
      </c>
      <c r="C18" s="193">
        <f>-IF(Generales!C44="SI",ROUND('ANEXO 8'!C20,0),0)</f>
        <v>0</v>
      </c>
      <c r="D18" s="193">
        <f>-IF(Generales!C44="SI",ROUND('ANEXO 8'!D20,0),0)</f>
        <v>0</v>
      </c>
      <c r="E18" s="69"/>
    </row>
    <row r="19" spans="1:5" x14ac:dyDescent="0.3">
      <c r="A19" s="162" t="s">
        <v>1072</v>
      </c>
      <c r="B19" s="153" t="s">
        <v>1073</v>
      </c>
      <c r="C19" s="193">
        <f>-IF(Generales!C44="SI",ROUND('ANEXO 5'!C34+'ANEXO 5'!C35,0),0)</f>
        <v>0</v>
      </c>
      <c r="D19" s="193">
        <f>-IF(Generales!C44="SI",ROUND('ANEXO 5'!D34+'ANEXO 5'!D35,0),0)</f>
        <v>0</v>
      </c>
      <c r="E19" s="69"/>
    </row>
    <row r="20" spans="1:5" ht="20.399999999999999" x14ac:dyDescent="0.3">
      <c r="A20" s="162" t="s">
        <v>1074</v>
      </c>
      <c r="B20" s="154" t="s">
        <v>1075</v>
      </c>
      <c r="C20" s="52"/>
      <c r="D20" s="52"/>
      <c r="E20" s="69"/>
    </row>
    <row r="21" spans="1:5" x14ac:dyDescent="0.3">
      <c r="A21" s="162"/>
      <c r="B21" s="153"/>
      <c r="C21" s="18"/>
      <c r="D21" s="18"/>
      <c r="E21" s="69"/>
    </row>
    <row r="22" spans="1:5" ht="20.399999999999999" x14ac:dyDescent="0.3">
      <c r="A22" s="162" t="s">
        <v>1076</v>
      </c>
      <c r="B22" s="153" t="s">
        <v>1077</v>
      </c>
      <c r="C22" s="116">
        <f>ROUND(SUM(C15:C19)+C20,0)</f>
        <v>0</v>
      </c>
      <c r="D22" s="116">
        <f>ROUND(SUM(D15:D19)+D20,0)</f>
        <v>0</v>
      </c>
      <c r="E22" s="69"/>
    </row>
    <row r="23" spans="1:5" x14ac:dyDescent="0.3">
      <c r="A23" s="162"/>
      <c r="B23" s="153"/>
      <c r="C23" s="18"/>
      <c r="D23" s="18"/>
      <c r="E23" s="69"/>
    </row>
    <row r="24" spans="1:5" ht="20.399999999999999" x14ac:dyDescent="0.3">
      <c r="A24" s="162"/>
      <c r="B24" s="179" t="s">
        <v>1078</v>
      </c>
      <c r="C24" s="18"/>
      <c r="D24" s="18"/>
      <c r="E24" s="69"/>
    </row>
    <row r="25" spans="1:5" x14ac:dyDescent="0.3">
      <c r="A25" s="162"/>
      <c r="B25" s="153"/>
      <c r="C25" s="18"/>
      <c r="D25" s="18"/>
      <c r="E25" s="69"/>
    </row>
    <row r="26" spans="1:5" x14ac:dyDescent="0.3">
      <c r="A26" s="162" t="s">
        <v>1079</v>
      </c>
      <c r="B26" s="153" t="s">
        <v>926</v>
      </c>
      <c r="C26" s="193">
        <f>IF(Generales!C44="SI",ROUND('ANEXO 8'!C36,0),0)</f>
        <v>0</v>
      </c>
      <c r="D26" s="193">
        <f>IF(Generales!C44="SI",ROUND('ANEXO 8'!D36,0),0)</f>
        <v>0</v>
      </c>
      <c r="E26" s="69"/>
    </row>
    <row r="27" spans="1:5" ht="20.399999999999999" x14ac:dyDescent="0.3">
      <c r="A27" s="162" t="s">
        <v>1080</v>
      </c>
      <c r="B27" s="153" t="s">
        <v>1081</v>
      </c>
      <c r="C27" s="52"/>
      <c r="D27" s="52"/>
      <c r="E27" s="69"/>
    </row>
    <row r="28" spans="1:5" x14ac:dyDescent="0.3">
      <c r="A28" s="162"/>
      <c r="B28" s="153"/>
      <c r="C28" s="18"/>
      <c r="D28" s="18"/>
      <c r="E28" s="69"/>
    </row>
    <row r="29" spans="1:5" ht="20.399999999999999" x14ac:dyDescent="0.3">
      <c r="A29" s="162" t="s">
        <v>1082</v>
      </c>
      <c r="B29" s="153" t="s">
        <v>1083</v>
      </c>
      <c r="C29" s="116">
        <f>ROUND(SUM(C26:C27),0)</f>
        <v>0</v>
      </c>
      <c r="D29" s="116">
        <f>ROUND(SUM(D26:D27),0)</f>
        <v>0</v>
      </c>
      <c r="E29" s="69"/>
    </row>
    <row r="30" spans="1:5" x14ac:dyDescent="0.3">
      <c r="A30" s="162"/>
      <c r="B30" s="153"/>
      <c r="C30" s="18"/>
      <c r="D30" s="18"/>
      <c r="E30" s="69"/>
    </row>
    <row r="31" spans="1:5" x14ac:dyDescent="0.3">
      <c r="A31" s="162"/>
      <c r="B31" s="153" t="s">
        <v>910</v>
      </c>
      <c r="C31" s="18"/>
      <c r="D31" s="18"/>
      <c r="E31" s="69"/>
    </row>
    <row r="32" spans="1:5" x14ac:dyDescent="0.3">
      <c r="A32" s="162"/>
      <c r="B32" s="154"/>
      <c r="C32" s="18"/>
      <c r="D32" s="18"/>
      <c r="E32" s="69"/>
    </row>
    <row r="33" spans="1:5" ht="20.399999999999999" x14ac:dyDescent="0.3">
      <c r="A33" s="162" t="s">
        <v>1084</v>
      </c>
      <c r="B33" s="153" t="s">
        <v>1085</v>
      </c>
      <c r="C33" s="193">
        <f>IF(Generales!C44="SI",ROUND('ANEXO 1'!D31-'ANEXO 1'!C31+'ANEXO 1'!D49-'ANEXO 1'!C49+'ANEXO 1'!D51-'ANEXO 1'!C51+'ANEXO 1'!D53-'ANEXO 1'!C53+'ANEXO 1'!D63-'ANEXO 1'!C63+'ANEXO 1'!D69-'ANEXO 1'!C69,0),0)</f>
        <v>0</v>
      </c>
      <c r="D33" s="116"/>
      <c r="E33" s="69"/>
    </row>
    <row r="34" spans="1:5" x14ac:dyDescent="0.3">
      <c r="A34" s="162" t="s">
        <v>1086</v>
      </c>
      <c r="B34" s="153" t="s">
        <v>1087</v>
      </c>
      <c r="C34" s="193">
        <f>IF(Generales!C44="SI",ROUND('ANEXO 1'!D41-'ANEXO 1'!C41,0),0)</f>
        <v>0</v>
      </c>
      <c r="D34" s="116"/>
      <c r="E34" s="69"/>
    </row>
    <row r="35" spans="1:5" x14ac:dyDescent="0.3">
      <c r="A35" s="162" t="s">
        <v>1088</v>
      </c>
      <c r="B35" s="153" t="s">
        <v>1089</v>
      </c>
      <c r="C35" s="193">
        <f>IF(Generales!C44="SI",ROUND('ANEXO 1'!C161-'ANEXO 1'!D161,0),0)</f>
        <v>0</v>
      </c>
      <c r="D35" s="116"/>
      <c r="E35" s="69"/>
    </row>
    <row r="36" spans="1:5" x14ac:dyDescent="0.3">
      <c r="A36" s="162" t="s">
        <v>1090</v>
      </c>
      <c r="B36" s="153" t="s">
        <v>1091</v>
      </c>
      <c r="C36" s="193">
        <f>-IF(Generales!C44="SI",ROUND('ANEXO 2'!C67,0),0)</f>
        <v>0</v>
      </c>
      <c r="D36" s="116"/>
      <c r="E36" s="69"/>
    </row>
    <row r="37" spans="1:5" ht="20.399999999999999" x14ac:dyDescent="0.3">
      <c r="A37" s="162" t="s">
        <v>1092</v>
      </c>
      <c r="B37" s="153" t="s">
        <v>1093</v>
      </c>
      <c r="C37" s="116"/>
      <c r="D37" s="116"/>
      <c r="E37" s="69"/>
    </row>
    <row r="38" spans="1:5" x14ac:dyDescent="0.3">
      <c r="A38" s="162" t="s">
        <v>1094</v>
      </c>
      <c r="B38" s="153" t="s">
        <v>1095</v>
      </c>
      <c r="C38" s="52"/>
      <c r="D38" s="52"/>
      <c r="E38" s="69"/>
    </row>
    <row r="39" spans="1:5" x14ac:dyDescent="0.3">
      <c r="A39" s="162"/>
      <c r="B39" s="153"/>
      <c r="C39" s="18"/>
      <c r="D39" s="18"/>
      <c r="E39" s="69"/>
    </row>
    <row r="40" spans="1:5" ht="20.399999999999999" x14ac:dyDescent="0.3">
      <c r="A40" s="162" t="s">
        <v>1096</v>
      </c>
      <c r="B40" s="153" t="s">
        <v>1097</v>
      </c>
      <c r="C40" s="116">
        <f>ROUND(+C10-C11+C22+C29+SUM(C33:C37)+C38,0)</f>
        <v>0</v>
      </c>
      <c r="D40" s="116">
        <f>ROUND(+D10-D11+D22+D29+SUM(D33:D37)+D38,0)</f>
        <v>0</v>
      </c>
      <c r="E40" s="69"/>
    </row>
    <row r="41" spans="1:5" x14ac:dyDescent="0.3">
      <c r="A41" s="162"/>
      <c r="B41" s="153"/>
      <c r="C41" s="18"/>
      <c r="D41" s="18"/>
      <c r="E41" s="69"/>
    </row>
    <row r="42" spans="1:5" x14ac:dyDescent="0.3">
      <c r="A42" s="162"/>
      <c r="B42" s="179" t="s">
        <v>1098</v>
      </c>
      <c r="C42" s="51"/>
      <c r="D42" s="18"/>
      <c r="E42" s="69"/>
    </row>
    <row r="43" spans="1:5" x14ac:dyDescent="0.3">
      <c r="A43" s="162"/>
      <c r="B43" s="153"/>
      <c r="C43" s="18"/>
      <c r="D43" s="18"/>
      <c r="E43" s="69"/>
    </row>
    <row r="44" spans="1:5" ht="20.399999999999999" x14ac:dyDescent="0.3">
      <c r="A44" s="162" t="s">
        <v>1099</v>
      </c>
      <c r="B44" s="153" t="s">
        <v>1100</v>
      </c>
      <c r="C44" s="116"/>
      <c r="D44" s="116"/>
      <c r="E44" s="69"/>
    </row>
    <row r="45" spans="1:5" x14ac:dyDescent="0.3">
      <c r="A45" s="162" t="s">
        <v>1101</v>
      </c>
      <c r="B45" s="153" t="s">
        <v>1102</v>
      </c>
      <c r="C45" s="116">
        <f>-C18</f>
        <v>0</v>
      </c>
      <c r="D45" s="116">
        <f>-D18</f>
        <v>0</v>
      </c>
      <c r="E45" s="69"/>
    </row>
    <row r="46" spans="1:5" x14ac:dyDescent="0.3">
      <c r="A46" s="162" t="s">
        <v>1103</v>
      </c>
      <c r="B46" s="153" t="s">
        <v>1073</v>
      </c>
      <c r="C46" s="116">
        <f>-C19</f>
        <v>0</v>
      </c>
      <c r="D46" s="116">
        <f>-D19</f>
        <v>0</v>
      </c>
      <c r="E46" s="69"/>
    </row>
    <row r="47" spans="1:5" x14ac:dyDescent="0.3">
      <c r="A47" s="162" t="s">
        <v>1104</v>
      </c>
      <c r="B47" s="153" t="s">
        <v>1105</v>
      </c>
      <c r="C47" s="193">
        <f>IF(Generales!C44="SI",ROUND('ANEXO 1'!D87-'ANEXO 1'!C87,0),0)</f>
        <v>0</v>
      </c>
      <c r="D47" s="116"/>
      <c r="E47" s="69"/>
    </row>
    <row r="48" spans="1:5" ht="20.399999999999999" x14ac:dyDescent="0.3">
      <c r="A48" s="162" t="s">
        <v>1106</v>
      </c>
      <c r="B48" s="153" t="s">
        <v>1107</v>
      </c>
      <c r="C48" s="116"/>
      <c r="D48" s="116"/>
      <c r="E48" s="69"/>
    </row>
    <row r="49" spans="1:5" x14ac:dyDescent="0.3">
      <c r="A49" s="162" t="s">
        <v>1108</v>
      </c>
      <c r="B49" s="153" t="s">
        <v>1109</v>
      </c>
      <c r="C49" s="193">
        <f>IF(Generales!C44="SI",ROUND('ANEXO 1'!D74-'ANEXO 1'!C74,0),0)</f>
        <v>0</v>
      </c>
      <c r="D49" s="116"/>
      <c r="E49" s="69"/>
    </row>
    <row r="50" spans="1:5" x14ac:dyDescent="0.3">
      <c r="A50" s="162" t="s">
        <v>1110</v>
      </c>
      <c r="B50" s="153" t="s">
        <v>1111</v>
      </c>
      <c r="C50" s="193">
        <f>IF(Generales!C44="SI",ROUND('ANEXO 1'!D113+'ANEXO 1'!D114+'ANEXO 1'!D115+'ANEXO 1'!D118-'ANEXO 1'!C113-'ANEXO 1'!C114-'ANEXO 1'!C115-'ANEXO 1'!C118,0),0)</f>
        <v>0</v>
      </c>
      <c r="D50" s="116"/>
      <c r="E50" s="69"/>
    </row>
    <row r="51" spans="1:5" x14ac:dyDescent="0.3">
      <c r="A51" s="162" t="s">
        <v>1112</v>
      </c>
      <c r="B51" s="153" t="s">
        <v>1113</v>
      </c>
      <c r="C51" s="193">
        <f>IF(Generales!C44="SI",ROUND('ANEXO 1'!D129-'ANEXO 1'!C129,0),0)</f>
        <v>0</v>
      </c>
      <c r="D51" s="116"/>
      <c r="E51" s="69"/>
    </row>
    <row r="52" spans="1:5" ht="20.399999999999999" x14ac:dyDescent="0.3">
      <c r="A52" s="162" t="s">
        <v>1114</v>
      </c>
      <c r="B52" s="153" t="s">
        <v>1075</v>
      </c>
      <c r="C52" s="52"/>
      <c r="D52" s="52"/>
      <c r="E52" s="69"/>
    </row>
    <row r="53" spans="1:5" x14ac:dyDescent="0.3">
      <c r="A53" s="162"/>
      <c r="B53" s="153"/>
      <c r="C53" s="18"/>
      <c r="D53" s="18"/>
      <c r="E53" s="69"/>
    </row>
    <row r="54" spans="1:5" ht="20.399999999999999" x14ac:dyDescent="0.3">
      <c r="A54" s="162" t="s">
        <v>1115</v>
      </c>
      <c r="B54" s="153" t="s">
        <v>1116</v>
      </c>
      <c r="C54" s="116">
        <f>ROUND(SUM(C44:C51)+C52,0)</f>
        <v>0</v>
      </c>
      <c r="D54" s="116">
        <f>ROUND(SUM(D44:D51)+D52,0)</f>
        <v>0</v>
      </c>
      <c r="E54" s="69"/>
    </row>
    <row r="55" spans="1:5" x14ac:dyDescent="0.3">
      <c r="A55" s="162"/>
      <c r="B55" s="153"/>
      <c r="C55" s="18"/>
      <c r="D55" s="18"/>
      <c r="E55" s="69"/>
    </row>
    <row r="56" spans="1:5" ht="30.6" x14ac:dyDescent="0.3">
      <c r="A56" s="162" t="s">
        <v>1117</v>
      </c>
      <c r="B56" s="153" t="s">
        <v>1118</v>
      </c>
      <c r="C56" s="116">
        <f>ROUND(IF(C40+C54&gt;0,C40+C54,0),0)</f>
        <v>0</v>
      </c>
      <c r="D56" s="116">
        <f>ROUND(IF(D40+D54&gt;0,D40+D54,0),0)</f>
        <v>0</v>
      </c>
      <c r="E56" s="69"/>
    </row>
    <row r="57" spans="1:5" ht="20.399999999999999" x14ac:dyDescent="0.3">
      <c r="A57" s="162" t="s">
        <v>1119</v>
      </c>
      <c r="B57" s="153" t="s">
        <v>1120</v>
      </c>
      <c r="C57" s="116">
        <f>ROUND(IF(C40+C54&lt;0,C40+C54,0),0)</f>
        <v>0</v>
      </c>
      <c r="D57" s="116">
        <f>ROUND(IF(D40+D54&lt;0,D40+D54,0),0)</f>
        <v>0</v>
      </c>
      <c r="E57" s="69"/>
    </row>
    <row r="58" spans="1:5" x14ac:dyDescent="0.3">
      <c r="A58" s="162"/>
      <c r="B58" s="153"/>
      <c r="C58" s="18"/>
      <c r="D58" s="18"/>
      <c r="E58" s="69"/>
    </row>
    <row r="59" spans="1:5" x14ac:dyDescent="0.3">
      <c r="A59" s="162"/>
      <c r="B59" s="179" t="s">
        <v>1121</v>
      </c>
      <c r="C59" s="51"/>
      <c r="D59" s="18"/>
      <c r="E59" s="69"/>
    </row>
    <row r="60" spans="1:5" x14ac:dyDescent="0.3">
      <c r="A60" s="162"/>
      <c r="B60" s="153"/>
      <c r="C60" s="18"/>
      <c r="D60" s="18"/>
      <c r="E60" s="69"/>
    </row>
    <row r="61" spans="1:5" ht="20.399999999999999" x14ac:dyDescent="0.3">
      <c r="A61" s="162" t="s">
        <v>1122</v>
      </c>
      <c r="B61" s="153" t="s">
        <v>1123</v>
      </c>
      <c r="C61" s="193">
        <f>IF(Generales!C44="SI",ROUND('ANEXO 3'!C56-'ANEXO 3'!C31+'ANEXO 3'!D56-'ANEXO 3'!D31,0),0)</f>
        <v>0</v>
      </c>
      <c r="D61" s="116"/>
      <c r="E61" s="69"/>
    </row>
    <row r="62" spans="1:5" ht="20.399999999999999" x14ac:dyDescent="0.3">
      <c r="A62" s="162" t="s">
        <v>1124</v>
      </c>
      <c r="B62" s="153" t="s">
        <v>1125</v>
      </c>
      <c r="C62" s="193">
        <f>IF(Generales!C44="SI",ROUND('ANEXO 3'!E56-'ANEXO 3'!E31,0),0)</f>
        <v>0</v>
      </c>
      <c r="D62" s="116"/>
      <c r="E62" s="69"/>
    </row>
    <row r="63" spans="1:5" ht="20.399999999999999" x14ac:dyDescent="0.3">
      <c r="A63" s="162" t="s">
        <v>1126</v>
      </c>
      <c r="B63" s="153" t="s">
        <v>1127</v>
      </c>
      <c r="C63" s="193">
        <f>-IF(Generales!C44="SI",ROUND('ANEXO 14'!J10,0),0)</f>
        <v>0</v>
      </c>
      <c r="D63" s="116"/>
      <c r="E63" s="69"/>
    </row>
    <row r="64" spans="1:5" ht="20.399999999999999" x14ac:dyDescent="0.3">
      <c r="A64" s="162" t="s">
        <v>1128</v>
      </c>
      <c r="B64" s="153" t="s">
        <v>1129</v>
      </c>
      <c r="C64" s="193">
        <f>IF(Generales!C44="SI",'ANEXO 1'!C143-'ANEXO 1'!D143+'ANEXO 1'!C200-'ANEXO 1'!D200+'ANEXO 1'!C201-'ANEXO 1'!D201-C67,0)</f>
        <v>0</v>
      </c>
      <c r="D64" s="116"/>
      <c r="E64" s="69"/>
    </row>
    <row r="65" spans="1:5" x14ac:dyDescent="0.3">
      <c r="A65" s="162" t="s">
        <v>1130</v>
      </c>
      <c r="B65" s="153" t="s">
        <v>5695</v>
      </c>
      <c r="C65" s="193">
        <f>IF(Generales!C44="SI",'ANEXO 1'!C219-'ANEXO 1'!D219-C35-C66-C67-C63-C64-C68,0)</f>
        <v>0</v>
      </c>
      <c r="D65" s="116"/>
      <c r="E65" s="69"/>
    </row>
    <row r="66" spans="1:5" ht="20.399999999999999" x14ac:dyDescent="0.3">
      <c r="A66" s="162" t="s">
        <v>1131</v>
      </c>
      <c r="B66" s="153" t="s">
        <v>1132</v>
      </c>
      <c r="C66" s="193">
        <f>IF(Generales!C44="SI",'ANEXO 1'!C185+'ANEXO 1'!C186-'ANEXO 1'!D185-'ANEXO 1'!D186+'ANEXO 1'!D202-'ANEXO 1'!D202+C63,0)</f>
        <v>0</v>
      </c>
      <c r="D66" s="116"/>
      <c r="E66" s="69"/>
    </row>
    <row r="67" spans="1:5" ht="20.399999999999999" x14ac:dyDescent="0.3">
      <c r="A67" s="162" t="s">
        <v>1133</v>
      </c>
      <c r="B67" s="153" t="s">
        <v>1134</v>
      </c>
      <c r="C67" s="116"/>
      <c r="D67" s="116"/>
      <c r="E67" s="69"/>
    </row>
    <row r="68" spans="1:5" ht="20.399999999999999" x14ac:dyDescent="0.3">
      <c r="A68" s="162" t="s">
        <v>1135</v>
      </c>
      <c r="B68" s="153" t="s">
        <v>1136</v>
      </c>
      <c r="C68" s="117"/>
      <c r="D68" s="117"/>
      <c r="E68" s="69"/>
    </row>
    <row r="69" spans="1:5" x14ac:dyDescent="0.3">
      <c r="A69" s="162" t="s">
        <v>1137</v>
      </c>
      <c r="B69" s="153" t="s">
        <v>1138</v>
      </c>
      <c r="C69" s="116">
        <f>-C26</f>
        <v>0</v>
      </c>
      <c r="D69" s="116">
        <f>-D26</f>
        <v>0</v>
      </c>
      <c r="E69" s="69"/>
    </row>
    <row r="70" spans="1:5" x14ac:dyDescent="0.3">
      <c r="A70" s="162" t="s">
        <v>1139</v>
      </c>
      <c r="B70" s="153" t="s">
        <v>1140</v>
      </c>
      <c r="C70" s="193">
        <f>IF(Generales!C44="SI",ROUND('ANEXO 3'!U37,0),0)</f>
        <v>0</v>
      </c>
      <c r="D70" s="193">
        <f>IF(Generales!C44="SI",ROUND('ANEXO 3'!U12,0),0)</f>
        <v>0</v>
      </c>
      <c r="E70" s="69"/>
    </row>
    <row r="71" spans="1:5" x14ac:dyDescent="0.3">
      <c r="A71" s="162" t="s">
        <v>1141</v>
      </c>
      <c r="B71" s="153" t="s">
        <v>1142</v>
      </c>
      <c r="C71" s="117"/>
      <c r="D71" s="117"/>
      <c r="E71" s="69"/>
    </row>
    <row r="72" spans="1:5" ht="20.399999999999999" x14ac:dyDescent="0.3">
      <c r="A72" s="162" t="s">
        <v>1143</v>
      </c>
      <c r="B72" s="153" t="s">
        <v>1081</v>
      </c>
      <c r="C72" s="52"/>
      <c r="D72" s="52"/>
      <c r="E72" s="69"/>
    </row>
    <row r="73" spans="1:5" x14ac:dyDescent="0.3">
      <c r="A73" s="162"/>
      <c r="B73" s="153"/>
      <c r="C73" s="18"/>
      <c r="D73" s="18"/>
      <c r="E73" s="69"/>
    </row>
    <row r="74" spans="1:5" ht="20.399999999999999" x14ac:dyDescent="0.3">
      <c r="A74" s="162" t="s">
        <v>1144</v>
      </c>
      <c r="B74" s="153" t="s">
        <v>1145</v>
      </c>
      <c r="C74" s="116">
        <f>ROUND(SUM(C61:C70)+C72,0)</f>
        <v>0</v>
      </c>
      <c r="D74" s="116">
        <f>ROUND(SUM(D61:D70)+D72,0)</f>
        <v>0</v>
      </c>
      <c r="E74" s="69"/>
    </row>
    <row r="75" spans="1:5" x14ac:dyDescent="0.3">
      <c r="A75" s="162"/>
      <c r="B75" s="153"/>
      <c r="C75" s="18"/>
      <c r="D75" s="18"/>
      <c r="E75" s="69"/>
    </row>
    <row r="76" spans="1:5" ht="20.399999999999999" x14ac:dyDescent="0.3">
      <c r="A76" s="162" t="s">
        <v>1146</v>
      </c>
      <c r="B76" s="153" t="s">
        <v>1147</v>
      </c>
      <c r="C76" s="116">
        <f>ROUND(C57+C56+C74,0)</f>
        <v>0</v>
      </c>
      <c r="D76" s="116">
        <f>ROUND(D57+D56+D74,0)</f>
        <v>0</v>
      </c>
      <c r="E76" s="69"/>
    </row>
    <row r="77" spans="1:5" x14ac:dyDescent="0.3">
      <c r="A77" s="162"/>
      <c r="B77" s="153"/>
      <c r="C77" s="18"/>
      <c r="D77" s="18"/>
      <c r="E77" s="69"/>
    </row>
    <row r="78" spans="1:5" ht="20.399999999999999" x14ac:dyDescent="0.3">
      <c r="A78" s="162"/>
      <c r="B78" s="179" t="s">
        <v>1148</v>
      </c>
      <c r="C78" s="51"/>
      <c r="D78" s="18"/>
      <c r="E78" s="69"/>
    </row>
    <row r="79" spans="1:5" x14ac:dyDescent="0.3">
      <c r="A79" s="162"/>
      <c r="B79" s="153"/>
      <c r="C79" s="18"/>
      <c r="D79" s="18"/>
      <c r="E79" s="69"/>
    </row>
    <row r="80" spans="1:5" ht="40.799999999999997" x14ac:dyDescent="0.3">
      <c r="A80" s="162" t="s">
        <v>1149</v>
      </c>
      <c r="B80" s="153" t="s">
        <v>1202</v>
      </c>
      <c r="C80" s="116"/>
      <c r="D80" s="116"/>
      <c r="E80" s="69"/>
    </row>
    <row r="81" spans="1:5" ht="51" x14ac:dyDescent="0.3">
      <c r="A81" s="162" t="s">
        <v>1150</v>
      </c>
      <c r="B81" s="153" t="s">
        <v>5441</v>
      </c>
      <c r="C81" s="116"/>
      <c r="D81" s="116"/>
      <c r="E81" s="69"/>
    </row>
    <row r="82" spans="1:5" ht="20.399999999999999" x14ac:dyDescent="0.3">
      <c r="A82" s="162" t="s">
        <v>1151</v>
      </c>
      <c r="B82" s="153" t="s">
        <v>1152</v>
      </c>
      <c r="C82" s="52"/>
      <c r="D82" s="52"/>
      <c r="E82" s="69"/>
    </row>
    <row r="83" spans="1:5" ht="20.399999999999999" x14ac:dyDescent="0.3">
      <c r="A83" s="162" t="s">
        <v>1153</v>
      </c>
      <c r="B83" s="153" t="s">
        <v>1154</v>
      </c>
      <c r="C83" s="116">
        <f>ROUND(SUM(C80:C82),0)</f>
        <v>0</v>
      </c>
      <c r="D83" s="116">
        <f>ROUND(SUM(D80:D82),0)</f>
        <v>0</v>
      </c>
      <c r="E83" s="69"/>
    </row>
    <row r="84" spans="1:5" x14ac:dyDescent="0.3">
      <c r="A84" s="162" t="s">
        <v>1155</v>
      </c>
      <c r="B84" s="153" t="s">
        <v>1156</v>
      </c>
      <c r="C84" s="193">
        <f>IF(Generales!C44="SI",ROUND('ANEXO 1'!D16,0),0)</f>
        <v>0</v>
      </c>
      <c r="D84" s="116"/>
      <c r="E84" s="69"/>
    </row>
    <row r="85" spans="1:5" x14ac:dyDescent="0.3">
      <c r="A85" s="162"/>
      <c r="B85" s="153"/>
      <c r="C85" s="18"/>
      <c r="D85" s="18"/>
      <c r="E85" s="69"/>
    </row>
    <row r="86" spans="1:5" x14ac:dyDescent="0.3">
      <c r="A86" s="162" t="s">
        <v>1157</v>
      </c>
      <c r="B86" s="153" t="s">
        <v>1158</v>
      </c>
      <c r="C86" s="116">
        <f>ROUND(C76+C84+C83,0)</f>
        <v>0</v>
      </c>
      <c r="D86" s="116">
        <f>ROUND(D76+D84+D83,0)</f>
        <v>0</v>
      </c>
      <c r="E86" s="69"/>
    </row>
    <row r="87" spans="1:5" x14ac:dyDescent="0.3">
      <c r="A87" s="162"/>
      <c r="B87" s="153"/>
      <c r="C87" s="18"/>
      <c r="D87" s="18"/>
      <c r="E87" s="69"/>
    </row>
    <row r="88" spans="1:5" x14ac:dyDescent="0.3">
      <c r="A88" s="175"/>
      <c r="B88" s="176"/>
      <c r="C88" s="29"/>
      <c r="D88" s="29"/>
      <c r="E88" s="69"/>
    </row>
    <row r="89" spans="1:5" x14ac:dyDescent="0.3">
      <c r="A89" s="162"/>
      <c r="B89" s="179" t="s">
        <v>1159</v>
      </c>
      <c r="C89" s="51"/>
      <c r="D89" s="18"/>
      <c r="E89" s="69"/>
    </row>
    <row r="90" spans="1:5" x14ac:dyDescent="0.3">
      <c r="A90" s="162"/>
      <c r="B90" s="153"/>
      <c r="C90" s="18"/>
      <c r="D90" s="18"/>
      <c r="E90" s="69"/>
    </row>
    <row r="91" spans="1:5" x14ac:dyDescent="0.3">
      <c r="A91" s="162"/>
      <c r="B91" s="179" t="s">
        <v>1061</v>
      </c>
      <c r="C91" s="51"/>
      <c r="D91" s="18"/>
      <c r="E91" s="69"/>
    </row>
    <row r="92" spans="1:5" x14ac:dyDescent="0.3">
      <c r="A92" s="162"/>
      <c r="B92" s="153"/>
      <c r="C92" s="18"/>
      <c r="D92" s="18"/>
      <c r="E92" s="69"/>
    </row>
    <row r="93" spans="1:5" x14ac:dyDescent="0.3">
      <c r="A93" s="162" t="s">
        <v>1160</v>
      </c>
      <c r="B93" s="153" t="s">
        <v>1161</v>
      </c>
      <c r="C93" s="193">
        <f>IF(Generales!C45="SI",'ANEXO 1'!C16-'ANEXO 1'!D16-'ANEXO 4'!C94-'ANEXO 4'!C95-'ANEXO 4'!C96-'ANEXO 4'!C97-C98-'ANEXO 4'!C113+SUM(C120:C131)-SUM(C139:C141),0)</f>
        <v>0</v>
      </c>
      <c r="D93" s="116"/>
      <c r="E93" s="69"/>
    </row>
    <row r="94" spans="1:5" x14ac:dyDescent="0.3">
      <c r="A94" s="162" t="s">
        <v>1162</v>
      </c>
      <c r="B94" s="153" t="s">
        <v>1163</v>
      </c>
      <c r="C94" s="118"/>
      <c r="D94" s="116"/>
      <c r="E94" s="69"/>
    </row>
    <row r="95" spans="1:5" ht="20.399999999999999" x14ac:dyDescent="0.3">
      <c r="A95" s="162" t="s">
        <v>1164</v>
      </c>
      <c r="B95" s="153" t="s">
        <v>1165</v>
      </c>
      <c r="C95" s="116"/>
      <c r="D95" s="116"/>
      <c r="E95" s="69"/>
    </row>
    <row r="96" spans="1:5" x14ac:dyDescent="0.3">
      <c r="A96" s="162" t="s">
        <v>1166</v>
      </c>
      <c r="B96" s="153" t="s">
        <v>1091</v>
      </c>
      <c r="C96" s="118"/>
      <c r="D96" s="116"/>
      <c r="E96" s="69"/>
    </row>
    <row r="97" spans="1:5" ht="20.399999999999999" x14ac:dyDescent="0.3">
      <c r="A97" s="162" t="s">
        <v>1167</v>
      </c>
      <c r="B97" s="153" t="s">
        <v>1093</v>
      </c>
      <c r="C97" s="116"/>
      <c r="D97" s="116"/>
      <c r="E97" s="69"/>
    </row>
    <row r="98" spans="1:5" x14ac:dyDescent="0.3">
      <c r="A98" s="162" t="s">
        <v>1168</v>
      </c>
      <c r="B98" s="153" t="s">
        <v>1169</v>
      </c>
      <c r="C98" s="52"/>
      <c r="D98" s="52"/>
      <c r="E98" s="69"/>
    </row>
    <row r="99" spans="1:5" ht="20.399999999999999" x14ac:dyDescent="0.3">
      <c r="A99" s="162" t="s">
        <v>1170</v>
      </c>
      <c r="B99" s="153" t="s">
        <v>1171</v>
      </c>
      <c r="C99" s="116">
        <f>ROUND(SUM(C93:C97)+C98,0)</f>
        <v>0</v>
      </c>
      <c r="D99" s="116">
        <f>ROUND(SUM(D93:D97)+D98,0)</f>
        <v>0</v>
      </c>
      <c r="E99" s="69"/>
    </row>
    <row r="100" spans="1:5" x14ac:dyDescent="0.3">
      <c r="A100" s="162"/>
      <c r="B100" s="153"/>
      <c r="C100" s="18"/>
      <c r="D100" s="18"/>
      <c r="E100" s="69"/>
    </row>
    <row r="101" spans="1:5" x14ac:dyDescent="0.3">
      <c r="A101" s="162"/>
      <c r="B101" s="179" t="s">
        <v>1172</v>
      </c>
      <c r="C101" s="51"/>
      <c r="D101" s="18"/>
      <c r="E101" s="69"/>
    </row>
    <row r="102" spans="1:5" x14ac:dyDescent="0.3">
      <c r="A102" s="162"/>
      <c r="B102" s="153"/>
      <c r="C102" s="18"/>
      <c r="D102" s="18"/>
      <c r="E102" s="69"/>
    </row>
    <row r="103" spans="1:5" ht="20.399999999999999" x14ac:dyDescent="0.3">
      <c r="A103" s="162" t="s">
        <v>1173</v>
      </c>
      <c r="B103" s="153" t="s">
        <v>1100</v>
      </c>
      <c r="C103" s="116"/>
      <c r="D103" s="116"/>
      <c r="E103" s="69"/>
    </row>
    <row r="104" spans="1:5" x14ac:dyDescent="0.3">
      <c r="A104" s="162" t="s">
        <v>1174</v>
      </c>
      <c r="B104" s="153" t="s">
        <v>1102</v>
      </c>
      <c r="C104" s="116"/>
      <c r="D104" s="116"/>
      <c r="E104" s="69"/>
    </row>
    <row r="105" spans="1:5" x14ac:dyDescent="0.3">
      <c r="A105" s="162" t="s">
        <v>1175</v>
      </c>
      <c r="B105" s="153" t="s">
        <v>1073</v>
      </c>
      <c r="C105" s="193">
        <f>IF(Generales!C45="SI",ROUND('ANEXO 5'!C34+'ANEXO 5'!C35,0),0)</f>
        <v>0</v>
      </c>
      <c r="D105" s="193">
        <f>IF(Generales!C45="SI",ROUND('ANEXO 5'!D34+'ANEXO 5'!D35,0),0)</f>
        <v>0</v>
      </c>
      <c r="E105" s="69"/>
    </row>
    <row r="106" spans="1:5" x14ac:dyDescent="0.3">
      <c r="A106" s="162" t="s">
        <v>1176</v>
      </c>
      <c r="B106" s="153" t="s">
        <v>1105</v>
      </c>
      <c r="C106" s="193">
        <f>IF(Generales!C45="SI",ROUND('ANEXO 1'!D87-'ANEXO 1'!C87,0),0)</f>
        <v>0</v>
      </c>
      <c r="D106" s="116"/>
      <c r="E106" s="69"/>
    </row>
    <row r="107" spans="1:5" ht="20.399999999999999" x14ac:dyDescent="0.3">
      <c r="A107" s="162" t="s">
        <v>1177</v>
      </c>
      <c r="B107" s="153" t="s">
        <v>1107</v>
      </c>
      <c r="C107" s="116"/>
      <c r="D107" s="116"/>
      <c r="E107" s="69"/>
    </row>
    <row r="108" spans="1:5" x14ac:dyDescent="0.3">
      <c r="A108" s="162" t="s">
        <v>1178</v>
      </c>
      <c r="B108" s="153" t="s">
        <v>1109</v>
      </c>
      <c r="C108" s="118"/>
      <c r="D108" s="116"/>
      <c r="E108" s="69"/>
    </row>
    <row r="109" spans="1:5" x14ac:dyDescent="0.3">
      <c r="A109" s="162" t="s">
        <v>1179</v>
      </c>
      <c r="B109" s="153" t="s">
        <v>1180</v>
      </c>
      <c r="C109" s="193">
        <f>IF(Generales!C45="SI",ROUND('ANEXO 1'!D113-'ANEXO 1'!C113+'ANEXO 1'!D114-'ANEXO 1'!C114+'ANEXO 1'!D115-'ANEXO 1'!C115+'ANEXO 1'!D118-'ANEXO 1'!C118,0),0)</f>
        <v>0</v>
      </c>
      <c r="D109" s="116"/>
      <c r="E109" s="69"/>
    </row>
    <row r="110" spans="1:5" x14ac:dyDescent="0.3">
      <c r="A110" s="162" t="s">
        <v>1181</v>
      </c>
      <c r="B110" s="153" t="s">
        <v>1113</v>
      </c>
      <c r="C110" s="118"/>
      <c r="D110" s="116"/>
      <c r="E110" s="69"/>
    </row>
    <row r="111" spans="1:5" ht="20.399999999999999" x14ac:dyDescent="0.3">
      <c r="A111" s="162" t="s">
        <v>1182</v>
      </c>
      <c r="B111" s="153" t="s">
        <v>1075</v>
      </c>
      <c r="C111" s="52"/>
      <c r="D111" s="52"/>
      <c r="E111" s="69"/>
    </row>
    <row r="112" spans="1:5" x14ac:dyDescent="0.3">
      <c r="A112" s="162"/>
      <c r="B112" s="153"/>
      <c r="C112" s="18"/>
      <c r="D112" s="18"/>
      <c r="E112" s="69"/>
    </row>
    <row r="113" spans="1:5" ht="20.399999999999999" x14ac:dyDescent="0.3">
      <c r="A113" s="162" t="s">
        <v>1183</v>
      </c>
      <c r="B113" s="153" t="s">
        <v>1116</v>
      </c>
      <c r="C113" s="116">
        <f>ROUND(SUM(C103:C111),0)</f>
        <v>0</v>
      </c>
      <c r="D113" s="116">
        <f>ROUND(SUM(D103:D111),0)</f>
        <v>0</v>
      </c>
      <c r="E113" s="69"/>
    </row>
    <row r="114" spans="1:5" x14ac:dyDescent="0.3">
      <c r="A114" s="162"/>
      <c r="B114" s="153"/>
      <c r="C114" s="18"/>
      <c r="D114" s="18"/>
      <c r="E114" s="69"/>
    </row>
    <row r="115" spans="1:5" ht="30.6" x14ac:dyDescent="0.3">
      <c r="A115" s="162" t="s">
        <v>1184</v>
      </c>
      <c r="B115" s="153" t="s">
        <v>1185</v>
      </c>
      <c r="C115" s="116">
        <f>ROUND(IF(C99+C113&gt;0,C99+C113,0),0)</f>
        <v>0</v>
      </c>
      <c r="D115" s="116">
        <f>ROUND(IF(D99+D113&gt;0,D99+D113,0),0)</f>
        <v>0</v>
      </c>
      <c r="E115" s="69"/>
    </row>
    <row r="116" spans="1:5" ht="20.399999999999999" x14ac:dyDescent="0.3">
      <c r="A116" s="162" t="s">
        <v>1186</v>
      </c>
      <c r="B116" s="153" t="s">
        <v>1120</v>
      </c>
      <c r="C116" s="116">
        <f>ROUND(IF(C99+C113&lt;0,C99+C113,0),0)</f>
        <v>0</v>
      </c>
      <c r="D116" s="116">
        <f>ROUND(IF(D99+D113&lt;0,D99+D113,0),0)</f>
        <v>0</v>
      </c>
      <c r="E116" s="69"/>
    </row>
    <row r="117" spans="1:5" x14ac:dyDescent="0.3">
      <c r="A117" s="162"/>
      <c r="B117" s="153"/>
      <c r="C117" s="18"/>
      <c r="D117" s="18"/>
      <c r="E117" s="69"/>
    </row>
    <row r="118" spans="1:5" x14ac:dyDescent="0.3">
      <c r="A118" s="162"/>
      <c r="B118" s="179" t="s">
        <v>1121</v>
      </c>
      <c r="C118" s="51"/>
      <c r="D118" s="18"/>
      <c r="E118" s="69"/>
    </row>
    <row r="119" spans="1:5" x14ac:dyDescent="0.3">
      <c r="A119" s="162"/>
      <c r="B119" s="153"/>
      <c r="C119" s="18"/>
      <c r="D119" s="18"/>
      <c r="E119" s="69"/>
    </row>
    <row r="120" spans="1:5" ht="20.399999999999999" x14ac:dyDescent="0.3">
      <c r="A120" s="162" t="s">
        <v>1187</v>
      </c>
      <c r="B120" s="153" t="s">
        <v>1123</v>
      </c>
      <c r="C120" s="193">
        <f>IF(Generales!C45="SI",ROUND('ANEXO 14'!H10,0),0)</f>
        <v>0</v>
      </c>
      <c r="D120" s="116"/>
      <c r="E120" s="69"/>
    </row>
    <row r="121" spans="1:5" ht="20.399999999999999" x14ac:dyDescent="0.3">
      <c r="A121" s="162" t="s">
        <v>1188</v>
      </c>
      <c r="B121" s="153" t="s">
        <v>1125</v>
      </c>
      <c r="C121" s="118"/>
      <c r="D121" s="116"/>
      <c r="E121" s="69"/>
    </row>
    <row r="122" spans="1:5" ht="20.399999999999999" x14ac:dyDescent="0.3">
      <c r="A122" s="162" t="s">
        <v>1189</v>
      </c>
      <c r="B122" s="153" t="s">
        <v>1127</v>
      </c>
      <c r="C122" s="193">
        <f>IF(Generales!C45="SI",ROUND('ANEXO 14'!J10,0),0)</f>
        <v>0</v>
      </c>
      <c r="D122" s="116"/>
      <c r="E122" s="69"/>
    </row>
    <row r="123" spans="1:5" ht="20.399999999999999" x14ac:dyDescent="0.3">
      <c r="A123" s="162" t="s">
        <v>1190</v>
      </c>
      <c r="B123" s="153" t="s">
        <v>1129</v>
      </c>
      <c r="C123" s="118"/>
      <c r="D123" s="116"/>
      <c r="E123" s="69"/>
    </row>
    <row r="124" spans="1:5" x14ac:dyDescent="0.3">
      <c r="A124" s="162" t="s">
        <v>1191</v>
      </c>
      <c r="B124" s="153" t="s">
        <v>5695</v>
      </c>
      <c r="C124" s="118"/>
      <c r="D124" s="116"/>
      <c r="E124" s="69"/>
    </row>
    <row r="125" spans="1:5" ht="20.399999999999999" x14ac:dyDescent="0.3">
      <c r="A125" s="162" t="s">
        <v>1192</v>
      </c>
      <c r="B125" s="153" t="s">
        <v>1132</v>
      </c>
      <c r="C125" s="118"/>
      <c r="D125" s="116"/>
      <c r="E125" s="69"/>
    </row>
    <row r="126" spans="1:5" ht="20.399999999999999" x14ac:dyDescent="0.3">
      <c r="A126" s="162" t="s">
        <v>1193</v>
      </c>
      <c r="B126" s="153" t="s">
        <v>1134</v>
      </c>
      <c r="C126" s="116"/>
      <c r="D126" s="116"/>
      <c r="E126" s="69"/>
    </row>
    <row r="127" spans="1:5" ht="20.399999999999999" x14ac:dyDescent="0.3">
      <c r="A127" s="162" t="s">
        <v>1194</v>
      </c>
      <c r="B127" s="153" t="s">
        <v>1136</v>
      </c>
      <c r="C127" s="117"/>
      <c r="D127" s="117"/>
      <c r="E127" s="69"/>
    </row>
    <row r="128" spans="1:5" x14ac:dyDescent="0.3">
      <c r="A128" s="162" t="s">
        <v>1195</v>
      </c>
      <c r="B128" s="153" t="s">
        <v>1138</v>
      </c>
      <c r="C128" s="193">
        <f>IF(Generales!C45="SI",ROUND('ANEXO 8'!C36,0),0)</f>
        <v>0</v>
      </c>
      <c r="D128" s="116"/>
      <c r="E128" s="69"/>
    </row>
    <row r="129" spans="1:5" x14ac:dyDescent="0.3">
      <c r="A129" s="162" t="s">
        <v>1196</v>
      </c>
      <c r="B129" s="153" t="s">
        <v>1140</v>
      </c>
      <c r="C129" s="193">
        <f>IF(Generales!C45="SI",ROUND('ANEXO 3'!U37,0),0)</f>
        <v>0</v>
      </c>
      <c r="D129" s="116"/>
      <c r="E129" s="69"/>
    </row>
    <row r="130" spans="1:5" x14ac:dyDescent="0.3">
      <c r="A130" s="162" t="s">
        <v>1197</v>
      </c>
      <c r="B130" s="153" t="s">
        <v>1142</v>
      </c>
      <c r="C130" s="117"/>
      <c r="D130" s="117"/>
      <c r="E130" s="69"/>
    </row>
    <row r="131" spans="1:5" ht="20.399999999999999" x14ac:dyDescent="0.3">
      <c r="A131" s="162" t="s">
        <v>1198</v>
      </c>
      <c r="B131" s="153" t="s">
        <v>1081</v>
      </c>
      <c r="C131" s="52"/>
      <c r="D131" s="52"/>
      <c r="E131" s="69"/>
    </row>
    <row r="132" spans="1:5" x14ac:dyDescent="0.3">
      <c r="A132" s="162"/>
      <c r="B132" s="153"/>
      <c r="C132" s="18"/>
      <c r="D132" s="18"/>
      <c r="E132" s="69"/>
    </row>
    <row r="133" spans="1:5" ht="20.399999999999999" x14ac:dyDescent="0.3">
      <c r="A133" s="162" t="s">
        <v>1199</v>
      </c>
      <c r="B133" s="153" t="s">
        <v>1145</v>
      </c>
      <c r="C133" s="116">
        <f>ROUND(SUM(C120:C131),0)</f>
        <v>0</v>
      </c>
      <c r="D133" s="116">
        <f>ROUND(SUM(D120:D131),0)</f>
        <v>0</v>
      </c>
      <c r="E133" s="69"/>
    </row>
    <row r="134" spans="1:5" x14ac:dyDescent="0.3">
      <c r="A134" s="162"/>
      <c r="B134" s="153"/>
      <c r="C134" s="18"/>
      <c r="D134" s="18"/>
      <c r="E134" s="69"/>
    </row>
    <row r="135" spans="1:5" ht="20.399999999999999" x14ac:dyDescent="0.3">
      <c r="A135" s="162" t="s">
        <v>1200</v>
      </c>
      <c r="B135" s="153" t="s">
        <v>1147</v>
      </c>
      <c r="C135" s="116">
        <f>ROUND(C116+C115-C133,0)</f>
        <v>0</v>
      </c>
      <c r="D135" s="116">
        <f>ROUND(D116+D115-D133,0)</f>
        <v>0</v>
      </c>
      <c r="E135" s="69"/>
    </row>
    <row r="136" spans="1:5" x14ac:dyDescent="0.3">
      <c r="A136" s="162"/>
      <c r="B136" s="153"/>
      <c r="C136" s="18"/>
      <c r="D136" s="18"/>
      <c r="E136" s="69"/>
    </row>
    <row r="137" spans="1:5" ht="20.399999999999999" x14ac:dyDescent="0.3">
      <c r="A137" s="162"/>
      <c r="B137" s="179" t="s">
        <v>1148</v>
      </c>
      <c r="C137" s="18"/>
      <c r="D137" s="18"/>
      <c r="E137" s="69"/>
    </row>
    <row r="138" spans="1:5" x14ac:dyDescent="0.3">
      <c r="A138" s="162"/>
      <c r="B138" s="153"/>
      <c r="C138" s="18"/>
      <c r="D138" s="18"/>
      <c r="E138" s="69"/>
    </row>
    <row r="139" spans="1:5" ht="40.799999999999997" x14ac:dyDescent="0.3">
      <c r="A139" s="162" t="s">
        <v>1201</v>
      </c>
      <c r="B139" s="153" t="s">
        <v>1202</v>
      </c>
      <c r="C139" s="116"/>
      <c r="D139" s="116"/>
      <c r="E139" s="69"/>
    </row>
    <row r="140" spans="1:5" ht="51" x14ac:dyDescent="0.3">
      <c r="A140" s="162" t="s">
        <v>1203</v>
      </c>
      <c r="B140" s="153" t="s">
        <v>5442</v>
      </c>
      <c r="C140" s="116"/>
      <c r="D140" s="116"/>
      <c r="E140" s="69"/>
    </row>
    <row r="141" spans="1:5" ht="20.399999999999999" x14ac:dyDescent="0.3">
      <c r="A141" s="162" t="s">
        <v>1204</v>
      </c>
      <c r="B141" s="153" t="s">
        <v>1152</v>
      </c>
      <c r="C141" s="52"/>
      <c r="D141" s="52"/>
      <c r="E141" s="69"/>
    </row>
    <row r="142" spans="1:5" ht="20.399999999999999" x14ac:dyDescent="0.3">
      <c r="A142" s="162" t="s">
        <v>1205</v>
      </c>
      <c r="B142" s="153" t="s">
        <v>1154</v>
      </c>
      <c r="C142" s="116">
        <f>ROUND(SUM(C139:C141),0)</f>
        <v>0</v>
      </c>
      <c r="D142" s="116">
        <f>ROUND(SUM(D139:D141),0)</f>
        <v>0</v>
      </c>
      <c r="E142" s="69"/>
    </row>
    <row r="143" spans="1:5" x14ac:dyDescent="0.3">
      <c r="A143" s="162"/>
      <c r="B143" s="153"/>
      <c r="C143" s="18"/>
      <c r="D143" s="18"/>
      <c r="E143" s="69"/>
    </row>
    <row r="144" spans="1:5" x14ac:dyDescent="0.3">
      <c r="A144" s="162" t="s">
        <v>1206</v>
      </c>
      <c r="B144" s="153" t="s">
        <v>1156</v>
      </c>
      <c r="C144" s="193">
        <f>IF(Generales!C45="SI",ROUND('ANEXO 1'!D16,0),0)</f>
        <v>0</v>
      </c>
      <c r="D144" s="116"/>
      <c r="E144" s="69"/>
    </row>
    <row r="145" spans="1:5" x14ac:dyDescent="0.3">
      <c r="A145" s="162"/>
      <c r="B145" s="153"/>
      <c r="C145" s="18"/>
      <c r="D145" s="18"/>
      <c r="E145" s="69"/>
    </row>
    <row r="146" spans="1:5" x14ac:dyDescent="0.3">
      <c r="A146" s="162" t="s">
        <v>1207</v>
      </c>
      <c r="B146" s="153" t="s">
        <v>1158</v>
      </c>
      <c r="C146" s="116">
        <f>ROUND(C135+C144+C142,0)</f>
        <v>0</v>
      </c>
      <c r="D146" s="116">
        <f>ROUND(D135+D144+D142,0)</f>
        <v>0</v>
      </c>
      <c r="E146" s="69"/>
    </row>
    <row r="147" spans="1:5" x14ac:dyDescent="0.3">
      <c r="A147" s="162"/>
      <c r="B147" s="153"/>
      <c r="C147" s="18"/>
      <c r="D147" s="18"/>
      <c r="E147" s="69"/>
    </row>
    <row r="148" spans="1:5" ht="20.399999999999999" x14ac:dyDescent="0.3">
      <c r="A148" s="162"/>
      <c r="B148" s="153" t="s">
        <v>885</v>
      </c>
      <c r="C148" s="18"/>
      <c r="D148" s="18"/>
      <c r="E148" s="69"/>
    </row>
    <row r="149" spans="1:5" ht="8.1" customHeight="1" x14ac:dyDescent="0.3">
      <c r="A149" s="70" t="s">
        <v>0</v>
      </c>
      <c r="B149" s="152"/>
      <c r="C149" s="70"/>
      <c r="D149" s="70"/>
      <c r="E149"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I49"/>
  <sheetViews>
    <sheetView workbookViewId="0"/>
  </sheetViews>
  <sheetFormatPr defaultColWidth="11.5546875" defaultRowHeight="14.4" x14ac:dyDescent="0.3"/>
  <cols>
    <col min="1" max="1" width="14.33203125" style="107" customWidth="1"/>
    <col min="2" max="2" width="35.6640625" style="107" customWidth="1"/>
    <col min="3" max="8" width="18.6640625" style="107" customWidth="1"/>
    <col min="9" max="9" width="1.6640625" style="107" customWidth="1"/>
    <col min="10" max="16384" width="11.5546875" style="107"/>
  </cols>
  <sheetData>
    <row r="1" spans="1:9" x14ac:dyDescent="0.3">
      <c r="A1" s="42" t="s">
        <v>0</v>
      </c>
      <c r="B1" s="123" t="s">
        <v>5611</v>
      </c>
      <c r="C1" s="42"/>
      <c r="D1" s="42"/>
      <c r="E1" s="42" t="s">
        <v>0</v>
      </c>
      <c r="F1" s="42" t="s">
        <v>0</v>
      </c>
      <c r="G1" s="42" t="s">
        <v>0</v>
      </c>
      <c r="H1" s="42" t="s">
        <v>0</v>
      </c>
      <c r="I1" s="69" t="s">
        <v>0</v>
      </c>
    </row>
    <row r="2" spans="1:9" ht="51" x14ac:dyDescent="0.3">
      <c r="A2" s="121" t="s">
        <v>5597</v>
      </c>
      <c r="B2" s="121" t="s">
        <v>5598</v>
      </c>
      <c r="C2" s="44" t="s">
        <v>2885</v>
      </c>
      <c r="D2" s="44" t="s">
        <v>2886</v>
      </c>
      <c r="E2" s="44" t="s">
        <v>2887</v>
      </c>
      <c r="F2" s="44" t="s">
        <v>2888</v>
      </c>
      <c r="G2" s="44" t="s">
        <v>2889</v>
      </c>
      <c r="H2" s="44" t="s">
        <v>2890</v>
      </c>
      <c r="I2" s="69" t="s">
        <v>0</v>
      </c>
    </row>
    <row r="3" spans="1:9" x14ac:dyDescent="0.3">
      <c r="A3" s="163"/>
      <c r="B3" s="46" t="s">
        <v>0</v>
      </c>
      <c r="C3" s="137"/>
      <c r="D3" s="137"/>
      <c r="E3" s="137"/>
      <c r="F3" s="137"/>
      <c r="G3" s="137"/>
      <c r="H3" s="137"/>
      <c r="I3" s="69"/>
    </row>
    <row r="4" spans="1:9" x14ac:dyDescent="0.3">
      <c r="A4" s="163"/>
      <c r="B4" s="49" t="s">
        <v>5626</v>
      </c>
      <c r="C4" s="137"/>
      <c r="D4" s="137"/>
      <c r="E4" s="137"/>
      <c r="F4" s="137"/>
      <c r="G4" s="137"/>
      <c r="H4" s="137"/>
      <c r="I4" s="69"/>
    </row>
    <row r="5" spans="1:9" x14ac:dyDescent="0.3">
      <c r="A5" s="163"/>
      <c r="B5" s="47" t="s">
        <v>0</v>
      </c>
      <c r="C5" s="137"/>
      <c r="D5" s="137"/>
      <c r="E5" s="137"/>
      <c r="F5" s="137"/>
      <c r="G5" s="137"/>
      <c r="H5" s="137"/>
      <c r="I5" s="69"/>
    </row>
    <row r="6" spans="1:9" x14ac:dyDescent="0.3">
      <c r="A6" s="163"/>
      <c r="B6" s="131" t="s">
        <v>5636</v>
      </c>
      <c r="C6" s="137"/>
      <c r="D6" s="137"/>
      <c r="E6" s="137"/>
      <c r="F6" s="137"/>
      <c r="G6" s="137"/>
      <c r="H6" s="137"/>
      <c r="I6" s="69"/>
    </row>
    <row r="7" spans="1:9" x14ac:dyDescent="0.3">
      <c r="A7" s="163"/>
      <c r="B7" s="160"/>
      <c r="C7" s="137"/>
      <c r="D7" s="137"/>
      <c r="E7" s="137"/>
      <c r="F7" s="137"/>
      <c r="G7" s="137"/>
      <c r="H7" s="137"/>
      <c r="I7" s="69"/>
    </row>
    <row r="8" spans="1:9" x14ac:dyDescent="0.3">
      <c r="A8" s="162" t="s">
        <v>2891</v>
      </c>
      <c r="B8" s="153" t="s">
        <v>2892</v>
      </c>
      <c r="C8" s="116"/>
      <c r="D8" s="116"/>
      <c r="E8" s="116"/>
      <c r="F8" s="116"/>
      <c r="G8" s="116"/>
      <c r="H8" s="116">
        <f t="shared" ref="H8:H15" si="0">ROUND(C8+D8-E8-F8-G8,0)</f>
        <v>0</v>
      </c>
      <c r="I8" s="69"/>
    </row>
    <row r="9" spans="1:9" x14ac:dyDescent="0.3">
      <c r="A9" s="162" t="s">
        <v>2893</v>
      </c>
      <c r="B9" s="153" t="s">
        <v>2894</v>
      </c>
      <c r="C9" s="116"/>
      <c r="D9" s="116"/>
      <c r="E9" s="116"/>
      <c r="F9" s="116"/>
      <c r="G9" s="116"/>
      <c r="H9" s="116">
        <f t="shared" si="0"/>
        <v>0</v>
      </c>
      <c r="I9" s="69"/>
    </row>
    <row r="10" spans="1:9" x14ac:dyDescent="0.3">
      <c r="A10" s="162" t="s">
        <v>2895</v>
      </c>
      <c r="B10" s="153" t="s">
        <v>2896</v>
      </c>
      <c r="C10" s="116"/>
      <c r="D10" s="116"/>
      <c r="E10" s="116"/>
      <c r="F10" s="116"/>
      <c r="G10" s="116"/>
      <c r="H10" s="116">
        <f t="shared" si="0"/>
        <v>0</v>
      </c>
      <c r="I10" s="69"/>
    </row>
    <row r="11" spans="1:9" x14ac:dyDescent="0.3">
      <c r="A11" s="162" t="s">
        <v>2897</v>
      </c>
      <c r="B11" s="153" t="s">
        <v>2898</v>
      </c>
      <c r="C11" s="116"/>
      <c r="D11" s="116"/>
      <c r="E11" s="116"/>
      <c r="F11" s="116"/>
      <c r="G11" s="116"/>
      <c r="H11" s="116">
        <f t="shared" si="0"/>
        <v>0</v>
      </c>
      <c r="I11" s="69"/>
    </row>
    <row r="12" spans="1:9" x14ac:dyDescent="0.3">
      <c r="A12" s="162" t="s">
        <v>2899</v>
      </c>
      <c r="B12" s="153" t="s">
        <v>2900</v>
      </c>
      <c r="C12" s="116"/>
      <c r="D12" s="116"/>
      <c r="E12" s="116"/>
      <c r="F12" s="116"/>
      <c r="G12" s="116"/>
      <c r="H12" s="116">
        <f t="shared" si="0"/>
        <v>0</v>
      </c>
      <c r="I12" s="69"/>
    </row>
    <row r="13" spans="1:9" x14ac:dyDescent="0.3">
      <c r="A13" s="162" t="s">
        <v>2901</v>
      </c>
      <c r="B13" s="153" t="s">
        <v>2902</v>
      </c>
      <c r="C13" s="116"/>
      <c r="D13" s="116"/>
      <c r="E13" s="116"/>
      <c r="F13" s="116"/>
      <c r="G13" s="116"/>
      <c r="H13" s="116">
        <f t="shared" si="0"/>
        <v>0</v>
      </c>
      <c r="I13" s="69"/>
    </row>
    <row r="14" spans="1:9" ht="51" x14ac:dyDescent="0.3">
      <c r="A14" s="162" t="s">
        <v>2903</v>
      </c>
      <c r="B14" s="153" t="s">
        <v>5435</v>
      </c>
      <c r="C14" s="185"/>
      <c r="D14" s="185"/>
      <c r="E14" s="185"/>
      <c r="F14" s="185"/>
      <c r="G14" s="185"/>
      <c r="H14" s="185">
        <f t="shared" si="0"/>
        <v>0</v>
      </c>
      <c r="I14" s="149"/>
    </row>
    <row r="15" spans="1:9" ht="40.799999999999997" x14ac:dyDescent="0.3">
      <c r="A15" s="162" t="s">
        <v>2905</v>
      </c>
      <c r="B15" s="153" t="s">
        <v>5436</v>
      </c>
      <c r="C15" s="185"/>
      <c r="D15" s="185"/>
      <c r="E15" s="185"/>
      <c r="F15" s="185"/>
      <c r="G15" s="185"/>
      <c r="H15" s="185">
        <f t="shared" si="0"/>
        <v>0</v>
      </c>
      <c r="I15" s="149"/>
    </row>
    <row r="16" spans="1:9" x14ac:dyDescent="0.3">
      <c r="A16" s="162" t="s">
        <v>2906</v>
      </c>
      <c r="B16" s="153" t="s">
        <v>2904</v>
      </c>
      <c r="C16" s="52"/>
      <c r="D16" s="52"/>
      <c r="E16" s="52"/>
      <c r="F16" s="52"/>
      <c r="G16" s="52"/>
      <c r="H16" s="52"/>
      <c r="I16" s="69"/>
    </row>
    <row r="17" spans="1:9" ht="20.399999999999999" x14ac:dyDescent="0.3">
      <c r="A17" s="162" t="s">
        <v>2908</v>
      </c>
      <c r="B17" s="153" t="s">
        <v>5437</v>
      </c>
      <c r="C17" s="185"/>
      <c r="D17" s="185"/>
      <c r="E17" s="185"/>
      <c r="F17" s="185"/>
      <c r="G17" s="185"/>
      <c r="H17" s="185">
        <f t="shared" ref="H17:H25" si="1">ROUND(C17+D17-E17-F17-G17,0)</f>
        <v>0</v>
      </c>
      <c r="I17" s="149"/>
    </row>
    <row r="18" spans="1:9" x14ac:dyDescent="0.3">
      <c r="A18" s="162" t="s">
        <v>2910</v>
      </c>
      <c r="B18" s="153" t="s">
        <v>688</v>
      </c>
      <c r="C18" s="116"/>
      <c r="D18" s="116"/>
      <c r="E18" s="116"/>
      <c r="F18" s="116"/>
      <c r="G18" s="116"/>
      <c r="H18" s="116">
        <f t="shared" si="1"/>
        <v>0</v>
      </c>
      <c r="I18" s="69"/>
    </row>
    <row r="19" spans="1:9" ht="20.399999999999999" x14ac:dyDescent="0.3">
      <c r="A19" s="162" t="s">
        <v>2912</v>
      </c>
      <c r="B19" s="153" t="s">
        <v>2907</v>
      </c>
      <c r="C19" s="116"/>
      <c r="D19" s="116"/>
      <c r="E19" s="116"/>
      <c r="F19" s="116"/>
      <c r="G19" s="116"/>
      <c r="H19" s="116">
        <f t="shared" si="1"/>
        <v>0</v>
      </c>
      <c r="I19" s="69"/>
    </row>
    <row r="20" spans="1:9" x14ac:dyDescent="0.3">
      <c r="A20" s="162" t="s">
        <v>2914</v>
      </c>
      <c r="B20" s="153" t="s">
        <v>2909</v>
      </c>
      <c r="C20" s="116"/>
      <c r="D20" s="116"/>
      <c r="E20" s="116"/>
      <c r="F20" s="116"/>
      <c r="G20" s="116"/>
      <c r="H20" s="116">
        <f t="shared" si="1"/>
        <v>0</v>
      </c>
      <c r="I20" s="69"/>
    </row>
    <row r="21" spans="1:9" x14ac:dyDescent="0.3">
      <c r="A21" s="162" t="s">
        <v>2916</v>
      </c>
      <c r="B21" s="153" t="s">
        <v>2911</v>
      </c>
      <c r="C21" s="116"/>
      <c r="D21" s="116"/>
      <c r="E21" s="116"/>
      <c r="F21" s="116"/>
      <c r="G21" s="116"/>
      <c r="H21" s="116">
        <f t="shared" si="1"/>
        <v>0</v>
      </c>
      <c r="I21" s="69"/>
    </row>
    <row r="22" spans="1:9" ht="20.399999999999999" x14ac:dyDescent="0.3">
      <c r="A22" s="162" t="s">
        <v>2918</v>
      </c>
      <c r="B22" s="153" t="s">
        <v>2913</v>
      </c>
      <c r="C22" s="116"/>
      <c r="D22" s="116"/>
      <c r="E22" s="116"/>
      <c r="F22" s="116"/>
      <c r="G22" s="116"/>
      <c r="H22" s="116">
        <f t="shared" si="1"/>
        <v>0</v>
      </c>
      <c r="I22" s="69"/>
    </row>
    <row r="23" spans="1:9" ht="40.799999999999997" x14ac:dyDescent="0.3">
      <c r="A23" s="162" t="s">
        <v>2920</v>
      </c>
      <c r="B23" s="153" t="s">
        <v>2915</v>
      </c>
      <c r="C23" s="116"/>
      <c r="D23" s="116"/>
      <c r="E23" s="116"/>
      <c r="F23" s="116"/>
      <c r="G23" s="116"/>
      <c r="H23" s="116">
        <f t="shared" si="1"/>
        <v>0</v>
      </c>
      <c r="I23" s="69"/>
    </row>
    <row r="24" spans="1:9" x14ac:dyDescent="0.3">
      <c r="A24" s="162" t="s">
        <v>2921</v>
      </c>
      <c r="B24" s="153" t="s">
        <v>2917</v>
      </c>
      <c r="C24" s="116"/>
      <c r="D24" s="116"/>
      <c r="E24" s="116"/>
      <c r="F24" s="116"/>
      <c r="G24" s="116"/>
      <c r="H24" s="116">
        <f t="shared" si="1"/>
        <v>0</v>
      </c>
      <c r="I24" s="69"/>
    </row>
    <row r="25" spans="1:9" ht="30.6" x14ac:dyDescent="0.3">
      <c r="A25" s="162" t="s">
        <v>2924</v>
      </c>
      <c r="B25" s="153" t="s">
        <v>2919</v>
      </c>
      <c r="C25" s="116"/>
      <c r="D25" s="116"/>
      <c r="E25" s="116"/>
      <c r="F25" s="116"/>
      <c r="G25" s="116"/>
      <c r="H25" s="116">
        <f t="shared" si="1"/>
        <v>0</v>
      </c>
      <c r="I25" s="69"/>
    </row>
    <row r="26" spans="1:9" x14ac:dyDescent="0.3">
      <c r="A26" s="162" t="s">
        <v>2926</v>
      </c>
      <c r="B26" s="153" t="s">
        <v>690</v>
      </c>
      <c r="C26" s="52"/>
      <c r="D26" s="52"/>
      <c r="E26" s="52"/>
      <c r="F26" s="52"/>
      <c r="G26" s="52"/>
      <c r="H26" s="52"/>
      <c r="I26" s="69"/>
    </row>
    <row r="27" spans="1:9" x14ac:dyDescent="0.3">
      <c r="A27" s="162"/>
      <c r="B27" s="153"/>
      <c r="C27" s="46"/>
      <c r="D27" s="46"/>
      <c r="E27" s="46"/>
      <c r="F27" s="46"/>
      <c r="G27" s="46"/>
      <c r="H27" s="46"/>
      <c r="I27" s="69"/>
    </row>
    <row r="28" spans="1:9" x14ac:dyDescent="0.3">
      <c r="A28" s="162" t="s">
        <v>2928</v>
      </c>
      <c r="B28" s="153" t="s">
        <v>2922</v>
      </c>
      <c r="C28" s="54">
        <f>ROUND(SUM(C8:C16)+SUM(C17:C26),0)</f>
        <v>0</v>
      </c>
      <c r="D28" s="54">
        <f t="shared" ref="D28:H28" si="2">ROUND(SUM(D8:D16)+SUM(D17:D26),0)</f>
        <v>0</v>
      </c>
      <c r="E28" s="54">
        <f t="shared" si="2"/>
        <v>0</v>
      </c>
      <c r="F28" s="54">
        <f t="shared" si="2"/>
        <v>0</v>
      </c>
      <c r="G28" s="54">
        <f t="shared" si="2"/>
        <v>0</v>
      </c>
      <c r="H28" s="54">
        <f t="shared" si="2"/>
        <v>0</v>
      </c>
      <c r="I28" s="69"/>
    </row>
    <row r="29" spans="1:9" x14ac:dyDescent="0.3">
      <c r="A29" s="162"/>
      <c r="B29" s="153"/>
      <c r="C29" s="46"/>
      <c r="D29" s="46"/>
      <c r="E29" s="46"/>
      <c r="F29" s="46"/>
      <c r="G29" s="46"/>
      <c r="H29" s="46"/>
      <c r="I29" s="69"/>
    </row>
    <row r="30" spans="1:9" x14ac:dyDescent="0.3">
      <c r="A30" s="162"/>
      <c r="B30" s="179" t="s">
        <v>2923</v>
      </c>
      <c r="C30" s="46"/>
      <c r="D30" s="46"/>
      <c r="E30" s="46"/>
      <c r="F30" s="46"/>
      <c r="G30" s="46"/>
      <c r="H30" s="46"/>
      <c r="I30" s="69"/>
    </row>
    <row r="31" spans="1:9" x14ac:dyDescent="0.3">
      <c r="A31" s="162"/>
      <c r="B31" s="153"/>
      <c r="C31" s="46"/>
      <c r="D31" s="46"/>
      <c r="E31" s="46"/>
      <c r="F31" s="46"/>
      <c r="G31" s="46"/>
      <c r="H31" s="46"/>
      <c r="I31" s="69"/>
    </row>
    <row r="32" spans="1:9" x14ac:dyDescent="0.3">
      <c r="A32" s="162" t="s">
        <v>2929</v>
      </c>
      <c r="B32" s="153" t="s">
        <v>2925</v>
      </c>
      <c r="C32" s="116"/>
      <c r="D32" s="116"/>
      <c r="E32" s="116"/>
      <c r="F32" s="116"/>
      <c r="G32" s="116"/>
      <c r="H32" s="116">
        <f t="shared" ref="H32:H37" si="3">ROUND(C32+D32-E32-F32-G32,0)</f>
        <v>0</v>
      </c>
      <c r="I32" s="69"/>
    </row>
    <row r="33" spans="1:9" x14ac:dyDescent="0.3">
      <c r="A33" s="162" t="s">
        <v>2931</v>
      </c>
      <c r="B33" s="153" t="s">
        <v>2927</v>
      </c>
      <c r="C33" s="116"/>
      <c r="D33" s="116"/>
      <c r="E33" s="116"/>
      <c r="F33" s="116"/>
      <c r="G33" s="116"/>
      <c r="H33" s="116">
        <f t="shared" si="3"/>
        <v>0</v>
      </c>
      <c r="I33" s="69"/>
    </row>
    <row r="34" spans="1:9" x14ac:dyDescent="0.3">
      <c r="A34" s="162" t="s">
        <v>2933</v>
      </c>
      <c r="B34" s="153" t="s">
        <v>1240</v>
      </c>
      <c r="C34" s="116"/>
      <c r="D34" s="116"/>
      <c r="E34" s="116"/>
      <c r="F34" s="116"/>
      <c r="G34" s="116"/>
      <c r="H34" s="116">
        <f t="shared" si="3"/>
        <v>0</v>
      </c>
      <c r="I34" s="69"/>
    </row>
    <row r="35" spans="1:9" x14ac:dyDescent="0.3">
      <c r="A35" s="162" t="s">
        <v>2935</v>
      </c>
      <c r="B35" s="153" t="s">
        <v>2930</v>
      </c>
      <c r="C35" s="116"/>
      <c r="D35" s="116"/>
      <c r="E35" s="116"/>
      <c r="F35" s="116"/>
      <c r="G35" s="116"/>
      <c r="H35" s="116">
        <f t="shared" si="3"/>
        <v>0</v>
      </c>
      <c r="I35" s="69"/>
    </row>
    <row r="36" spans="1:9" x14ac:dyDescent="0.3">
      <c r="A36" s="162" t="s">
        <v>2937</v>
      </c>
      <c r="B36" s="153" t="s">
        <v>2932</v>
      </c>
      <c r="C36" s="116"/>
      <c r="D36" s="116"/>
      <c r="E36" s="116"/>
      <c r="F36" s="116"/>
      <c r="G36" s="116"/>
      <c r="H36" s="116">
        <f t="shared" si="3"/>
        <v>0</v>
      </c>
      <c r="I36" s="69"/>
    </row>
    <row r="37" spans="1:9" x14ac:dyDescent="0.3">
      <c r="A37" s="162" t="s">
        <v>2940</v>
      </c>
      <c r="B37" s="153" t="s">
        <v>2934</v>
      </c>
      <c r="C37" s="116"/>
      <c r="D37" s="116"/>
      <c r="E37" s="116"/>
      <c r="F37" s="116"/>
      <c r="G37" s="116"/>
      <c r="H37" s="116">
        <f t="shared" si="3"/>
        <v>0</v>
      </c>
      <c r="I37" s="69"/>
    </row>
    <row r="38" spans="1:9" x14ac:dyDescent="0.3">
      <c r="A38" s="162" t="s">
        <v>2941</v>
      </c>
      <c r="B38" s="153" t="s">
        <v>2936</v>
      </c>
      <c r="C38" s="52"/>
      <c r="D38" s="52"/>
      <c r="E38" s="52"/>
      <c r="F38" s="52"/>
      <c r="G38" s="52"/>
      <c r="H38" s="52"/>
      <c r="I38" s="69"/>
    </row>
    <row r="39" spans="1:9" x14ac:dyDescent="0.3">
      <c r="A39" s="162"/>
      <c r="B39" s="153"/>
      <c r="C39" s="46"/>
      <c r="D39" s="46"/>
      <c r="E39" s="46"/>
      <c r="F39" s="46"/>
      <c r="G39" s="46"/>
      <c r="H39" s="46"/>
      <c r="I39" s="69"/>
    </row>
    <row r="40" spans="1:9" x14ac:dyDescent="0.3">
      <c r="A40" s="162" t="s">
        <v>2943</v>
      </c>
      <c r="B40" s="153" t="s">
        <v>2938</v>
      </c>
      <c r="C40" s="54">
        <f t="shared" ref="C40:H40" si="4">ROUND(SUM(C32:C38),0)</f>
        <v>0</v>
      </c>
      <c r="D40" s="54">
        <f t="shared" si="4"/>
        <v>0</v>
      </c>
      <c r="E40" s="54">
        <f t="shared" si="4"/>
        <v>0</v>
      </c>
      <c r="F40" s="54">
        <f t="shared" si="4"/>
        <v>0</v>
      </c>
      <c r="G40" s="54">
        <f t="shared" si="4"/>
        <v>0</v>
      </c>
      <c r="H40" s="54">
        <f t="shared" si="4"/>
        <v>0</v>
      </c>
      <c r="I40" s="69"/>
    </row>
    <row r="41" spans="1:9" x14ac:dyDescent="0.3">
      <c r="A41" s="162"/>
      <c r="B41" s="153"/>
      <c r="C41" s="46"/>
      <c r="D41" s="46"/>
      <c r="E41" s="46"/>
      <c r="F41" s="46"/>
      <c r="G41" s="46"/>
      <c r="H41" s="46"/>
      <c r="I41" s="69"/>
    </row>
    <row r="42" spans="1:9" x14ac:dyDescent="0.3">
      <c r="A42" s="162"/>
      <c r="B42" s="179" t="s">
        <v>2939</v>
      </c>
      <c r="C42" s="46"/>
      <c r="D42" s="46"/>
      <c r="E42" s="46"/>
      <c r="F42" s="46"/>
      <c r="G42" s="46"/>
      <c r="H42" s="46"/>
      <c r="I42" s="69"/>
    </row>
    <row r="43" spans="1:9" x14ac:dyDescent="0.3">
      <c r="A43" s="162"/>
      <c r="B43" s="153"/>
      <c r="C43" s="46"/>
      <c r="D43" s="46"/>
      <c r="E43" s="46"/>
      <c r="F43" s="46"/>
      <c r="G43" s="46"/>
      <c r="H43" s="46"/>
      <c r="I43" s="69"/>
    </row>
    <row r="44" spans="1:9" x14ac:dyDescent="0.3">
      <c r="A44" s="184" t="s">
        <v>5438</v>
      </c>
      <c r="B44" s="190" t="s">
        <v>5322</v>
      </c>
      <c r="C44" s="61"/>
      <c r="D44" s="61"/>
      <c r="E44" s="61"/>
      <c r="F44" s="61"/>
      <c r="G44" s="61"/>
      <c r="H44" s="61">
        <f>ROUND(C44+D44-E44-F44-G44,0)</f>
        <v>0</v>
      </c>
      <c r="I44" s="69"/>
    </row>
    <row r="45" spans="1:9" x14ac:dyDescent="0.3">
      <c r="A45" s="162"/>
      <c r="B45" s="153"/>
      <c r="C45" s="46"/>
      <c r="D45" s="46"/>
      <c r="E45" s="46"/>
      <c r="F45" s="46"/>
      <c r="G45" s="46"/>
      <c r="H45" s="46"/>
      <c r="I45" s="69"/>
    </row>
    <row r="46" spans="1:9" x14ac:dyDescent="0.3">
      <c r="A46" s="162" t="s">
        <v>5439</v>
      </c>
      <c r="B46" s="153" t="s">
        <v>2942</v>
      </c>
      <c r="C46" s="54">
        <f t="shared" ref="C46:H46" si="5">ROUND(SUM(C44:C45),0)</f>
        <v>0</v>
      </c>
      <c r="D46" s="54">
        <f t="shared" si="5"/>
        <v>0</v>
      </c>
      <c r="E46" s="54">
        <f t="shared" si="5"/>
        <v>0</v>
      </c>
      <c r="F46" s="54">
        <f t="shared" si="5"/>
        <v>0</v>
      </c>
      <c r="G46" s="54">
        <f t="shared" si="5"/>
        <v>0</v>
      </c>
      <c r="H46" s="54">
        <f t="shared" si="5"/>
        <v>0</v>
      </c>
      <c r="I46" s="69"/>
    </row>
    <row r="47" spans="1:9" x14ac:dyDescent="0.3">
      <c r="A47" s="162"/>
      <c r="B47" s="153"/>
      <c r="C47" s="46"/>
      <c r="D47" s="46"/>
      <c r="E47" s="46"/>
      <c r="F47" s="46"/>
      <c r="G47" s="46"/>
      <c r="H47" s="46"/>
      <c r="I47" s="69"/>
    </row>
    <row r="48" spans="1:9" x14ac:dyDescent="0.3">
      <c r="A48" s="162" t="s">
        <v>5440</v>
      </c>
      <c r="B48" s="153" t="s">
        <v>2944</v>
      </c>
      <c r="C48" s="54">
        <f t="shared" ref="C48:H48" si="6">ROUND(C28+C40+C46,0)</f>
        <v>0</v>
      </c>
      <c r="D48" s="54">
        <f t="shared" si="6"/>
        <v>0</v>
      </c>
      <c r="E48" s="54">
        <f t="shared" si="6"/>
        <v>0</v>
      </c>
      <c r="F48" s="54">
        <f t="shared" si="6"/>
        <v>0</v>
      </c>
      <c r="G48" s="54">
        <f t="shared" si="6"/>
        <v>0</v>
      </c>
      <c r="H48" s="54">
        <f t="shared" si="6"/>
        <v>0</v>
      </c>
      <c r="I48" s="69"/>
    </row>
    <row r="49" spans="1:9" ht="8.1" customHeight="1" x14ac:dyDescent="0.3">
      <c r="A49" s="70" t="s">
        <v>0</v>
      </c>
      <c r="B49" s="152"/>
      <c r="C49" s="70"/>
      <c r="D49" s="70"/>
      <c r="E49" s="70"/>
      <c r="F49" s="70"/>
      <c r="G49" s="70"/>
      <c r="H49" s="70"/>
      <c r="I49" s="69"/>
    </row>
  </sheetData>
  <sheetProtection password="C9D6" sheet="1" objects="1" scenarios="1" formatCells="0" formatColumns="0" formatRows="0" autoFilter="0"/>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D151"/>
  <sheetViews>
    <sheetView workbookViewId="0"/>
  </sheetViews>
  <sheetFormatPr defaultColWidth="11.5546875" defaultRowHeight="14.4" x14ac:dyDescent="0.3"/>
  <cols>
    <col min="1" max="1" width="14.33203125" style="107" customWidth="1"/>
    <col min="2" max="2" width="43.109375" style="107" customWidth="1"/>
    <col min="3" max="3" width="18.6640625" style="107" customWidth="1"/>
    <col min="4" max="4" width="1.6640625" style="107" customWidth="1"/>
    <col min="5" max="16384" width="11.5546875" style="107"/>
  </cols>
  <sheetData>
    <row r="1" spans="1:4" ht="21.6" x14ac:dyDescent="0.3">
      <c r="A1" s="42" t="s">
        <v>0</v>
      </c>
      <c r="B1" s="122" t="s">
        <v>5613</v>
      </c>
      <c r="C1" s="42"/>
      <c r="D1" s="69"/>
    </row>
    <row r="2" spans="1:4" x14ac:dyDescent="0.3">
      <c r="A2" s="78" t="s">
        <v>5597</v>
      </c>
      <c r="B2" s="78" t="s">
        <v>5598</v>
      </c>
      <c r="C2" s="78" t="s">
        <v>905</v>
      </c>
      <c r="D2" s="69" t="s">
        <v>0</v>
      </c>
    </row>
    <row r="3" spans="1:4" x14ac:dyDescent="0.3">
      <c r="A3" s="163"/>
      <c r="B3" s="46" t="s">
        <v>0</v>
      </c>
      <c r="C3" s="47"/>
      <c r="D3" s="69"/>
    </row>
    <row r="4" spans="1:4" x14ac:dyDescent="0.3">
      <c r="A4" s="163"/>
      <c r="B4" s="48" t="s">
        <v>5626</v>
      </c>
      <c r="C4" s="47"/>
      <c r="D4" s="69"/>
    </row>
    <row r="5" spans="1:4" x14ac:dyDescent="0.3">
      <c r="A5" s="163"/>
      <c r="B5" s="160"/>
      <c r="C5" s="47"/>
      <c r="D5" s="69"/>
    </row>
    <row r="6" spans="1:4" x14ac:dyDescent="0.3">
      <c r="A6" s="162" t="s">
        <v>2061</v>
      </c>
      <c r="B6" s="153" t="s">
        <v>961</v>
      </c>
      <c r="C6" s="68">
        <f>'ANEXO 2'!C75</f>
        <v>0</v>
      </c>
      <c r="D6" s="69"/>
    </row>
    <row r="7" spans="1:4" x14ac:dyDescent="0.3">
      <c r="A7" s="162" t="s">
        <v>2062</v>
      </c>
      <c r="B7" s="153" t="s">
        <v>859</v>
      </c>
      <c r="C7" s="68">
        <f>'ANEXO 2'!C74</f>
        <v>0</v>
      </c>
      <c r="D7" s="69"/>
    </row>
    <row r="8" spans="1:4" x14ac:dyDescent="0.3">
      <c r="A8" s="162"/>
      <c r="B8" s="153"/>
      <c r="C8" s="18"/>
      <c r="D8" s="69"/>
    </row>
    <row r="9" spans="1:4" x14ac:dyDescent="0.3">
      <c r="A9" s="162"/>
      <c r="B9" s="153" t="s">
        <v>2063</v>
      </c>
      <c r="C9" s="18"/>
      <c r="D9" s="69"/>
    </row>
    <row r="10" spans="1:4" x14ac:dyDescent="0.3">
      <c r="A10" s="162"/>
      <c r="B10" s="153"/>
      <c r="C10" s="18"/>
      <c r="D10" s="69"/>
    </row>
    <row r="11" spans="1:4" x14ac:dyDescent="0.3">
      <c r="A11" s="162" t="s">
        <v>2064</v>
      </c>
      <c r="B11" s="153" t="s">
        <v>2065</v>
      </c>
      <c r="C11" s="116"/>
      <c r="D11" s="69"/>
    </row>
    <row r="12" spans="1:4" x14ac:dyDescent="0.3">
      <c r="A12" s="162" t="s">
        <v>2066</v>
      </c>
      <c r="B12" s="153" t="s">
        <v>932</v>
      </c>
      <c r="C12" s="72"/>
      <c r="D12" s="69"/>
    </row>
    <row r="13" spans="1:4" x14ac:dyDescent="0.3">
      <c r="A13" s="162" t="s">
        <v>2067</v>
      </c>
      <c r="B13" s="153" t="s">
        <v>934</v>
      </c>
      <c r="C13" s="72"/>
      <c r="D13" s="69"/>
    </row>
    <row r="14" spans="1:4" x14ac:dyDescent="0.3">
      <c r="A14" s="162" t="s">
        <v>2068</v>
      </c>
      <c r="B14" s="153" t="s">
        <v>2069</v>
      </c>
      <c r="C14" s="72">
        <f>ROUND(IF(C6-C7+C11+C12-C13&gt;0,C6-C7+C11+C12-C13, 0),0)</f>
        <v>0</v>
      </c>
      <c r="D14" s="69"/>
    </row>
    <row r="15" spans="1:4" x14ac:dyDescent="0.3">
      <c r="A15" s="162" t="s">
        <v>2070</v>
      </c>
      <c r="B15" s="153" t="s">
        <v>2071</v>
      </c>
      <c r="C15" s="72">
        <f>ROUND(IF(C6-C7+C11+C12-C13&lt;0,-C6+C7-C11-C12+C13, 0),0)</f>
        <v>0</v>
      </c>
      <c r="D15" s="69"/>
    </row>
    <row r="16" spans="1:4" x14ac:dyDescent="0.3">
      <c r="A16" s="162"/>
      <c r="B16" s="153"/>
      <c r="C16" s="18"/>
      <c r="D16" s="69"/>
    </row>
    <row r="17" spans="1:4" x14ac:dyDescent="0.3">
      <c r="A17" s="162"/>
      <c r="B17" s="153" t="s">
        <v>1267</v>
      </c>
      <c r="C17" s="18"/>
      <c r="D17" s="69"/>
    </row>
    <row r="18" spans="1:4" x14ac:dyDescent="0.3">
      <c r="A18" s="162" t="s">
        <v>2072</v>
      </c>
      <c r="B18" s="153" t="s">
        <v>2073</v>
      </c>
      <c r="C18" s="68">
        <f>ROUND(C63,0)</f>
        <v>0</v>
      </c>
      <c r="D18" s="69"/>
    </row>
    <row r="19" spans="1:4" x14ac:dyDescent="0.3">
      <c r="A19" s="162"/>
      <c r="B19" s="153"/>
      <c r="C19" s="18"/>
      <c r="D19" s="69"/>
    </row>
    <row r="20" spans="1:4" x14ac:dyDescent="0.3">
      <c r="A20" s="162"/>
      <c r="B20" s="153" t="s">
        <v>1267</v>
      </c>
      <c r="C20" s="18"/>
      <c r="D20" s="69"/>
    </row>
    <row r="21" spans="1:4" x14ac:dyDescent="0.3">
      <c r="A21" s="162" t="s">
        <v>2074</v>
      </c>
      <c r="B21" s="153" t="s">
        <v>2075</v>
      </c>
      <c r="C21" s="68">
        <f>ROUND(C90,0)</f>
        <v>0</v>
      </c>
      <c r="D21" s="69"/>
    </row>
    <row r="22" spans="1:4" x14ac:dyDescent="0.3">
      <c r="A22" s="162"/>
      <c r="B22" s="153"/>
      <c r="C22" s="18"/>
      <c r="D22" s="69"/>
    </row>
    <row r="23" spans="1:4" x14ac:dyDescent="0.3">
      <c r="A23" s="162"/>
      <c r="B23" s="153" t="s">
        <v>890</v>
      </c>
      <c r="C23" s="18"/>
      <c r="D23" s="69"/>
    </row>
    <row r="24" spans="1:4" x14ac:dyDescent="0.3">
      <c r="A24" s="162" t="s">
        <v>2076</v>
      </c>
      <c r="B24" s="153" t="s">
        <v>2077</v>
      </c>
      <c r="C24" s="68">
        <f>ROUND(C131,0)</f>
        <v>0</v>
      </c>
      <c r="D24" s="69"/>
    </row>
    <row r="25" spans="1:4" x14ac:dyDescent="0.3">
      <c r="A25" s="162"/>
      <c r="B25" s="153"/>
      <c r="C25" s="18"/>
      <c r="D25" s="69"/>
    </row>
    <row r="26" spans="1:4" x14ac:dyDescent="0.3">
      <c r="A26" s="162"/>
      <c r="B26" s="153" t="s">
        <v>890</v>
      </c>
      <c r="C26" s="18"/>
      <c r="D26" s="69"/>
    </row>
    <row r="27" spans="1:4" x14ac:dyDescent="0.3">
      <c r="A27" s="162" t="s">
        <v>2078</v>
      </c>
      <c r="B27" s="153" t="s">
        <v>2079</v>
      </c>
      <c r="C27" s="68">
        <f>ROUND(C150,0)</f>
        <v>0</v>
      </c>
      <c r="D27" s="69"/>
    </row>
    <row r="28" spans="1:4" x14ac:dyDescent="0.3">
      <c r="A28" s="162"/>
      <c r="B28" s="153"/>
      <c r="C28" s="18"/>
      <c r="D28" s="69"/>
    </row>
    <row r="29" spans="1:4" ht="20.399999999999999" x14ac:dyDescent="0.3">
      <c r="A29" s="162" t="s">
        <v>2080</v>
      </c>
      <c r="B29" s="153" t="s">
        <v>2081</v>
      </c>
      <c r="C29" s="72">
        <f>ROUND(IF(C14-C15+C18+C21-C24-C27&lt;0,-C14+C15-C18-C21+C24+C27, 0),0)</f>
        <v>0</v>
      </c>
      <c r="D29" s="69"/>
    </row>
    <row r="30" spans="1:4" ht="20.399999999999999" x14ac:dyDescent="0.3">
      <c r="A30" s="162" t="s">
        <v>2082</v>
      </c>
      <c r="B30" s="153" t="s">
        <v>2083</v>
      </c>
      <c r="C30" s="72">
        <f>ROUND(IF(C14-C15+C18+C21-C24-C27&gt;0,C14-C15+C18+C21-C24-C27, 0),0)</f>
        <v>0</v>
      </c>
      <c r="D30" s="69"/>
    </row>
    <row r="31" spans="1:4" x14ac:dyDescent="0.3">
      <c r="A31" s="162"/>
      <c r="B31" s="153"/>
      <c r="C31" s="18"/>
      <c r="D31" s="69"/>
    </row>
    <row r="32" spans="1:4" x14ac:dyDescent="0.3">
      <c r="A32" s="162" t="s">
        <v>2084</v>
      </c>
      <c r="B32" s="153" t="s">
        <v>1506</v>
      </c>
      <c r="C32" s="116"/>
      <c r="D32" s="69"/>
    </row>
    <row r="33" spans="1:4" x14ac:dyDescent="0.3">
      <c r="A33" s="162"/>
      <c r="B33" s="153"/>
      <c r="C33" s="18"/>
      <c r="D33" s="69"/>
    </row>
    <row r="34" spans="1:4" ht="20.399999999999999" x14ac:dyDescent="0.3">
      <c r="A34" s="162" t="s">
        <v>2085</v>
      </c>
      <c r="B34" s="153" t="s">
        <v>2086</v>
      </c>
      <c r="C34" s="72">
        <f>ROUND(IF(C30-C29-C32&lt;0,-C30+C29+C32, 0),0)</f>
        <v>0</v>
      </c>
      <c r="D34" s="69"/>
    </row>
    <row r="35" spans="1:4" ht="20.399999999999999" x14ac:dyDescent="0.3">
      <c r="A35" s="162" t="s">
        <v>2087</v>
      </c>
      <c r="B35" s="153" t="s">
        <v>2088</v>
      </c>
      <c r="C35" s="72">
        <f>ROUND(IF(C30-C29-C32&gt;0,C30-C29-C32, 0),0)</f>
        <v>0</v>
      </c>
      <c r="D35" s="69"/>
    </row>
    <row r="36" spans="1:4" x14ac:dyDescent="0.3">
      <c r="A36" s="162"/>
      <c r="B36" s="153"/>
      <c r="C36" s="18"/>
      <c r="D36" s="69"/>
    </row>
    <row r="37" spans="1:4" x14ac:dyDescent="0.3">
      <c r="A37" s="162"/>
      <c r="B37" s="153" t="s">
        <v>2089</v>
      </c>
      <c r="C37" s="18"/>
      <c r="D37" s="69"/>
    </row>
    <row r="38" spans="1:4" x14ac:dyDescent="0.3">
      <c r="A38" s="162"/>
      <c r="B38" s="153"/>
      <c r="C38" s="18"/>
      <c r="D38" s="69"/>
    </row>
    <row r="39" spans="1:4" x14ac:dyDescent="0.3">
      <c r="A39" s="162" t="s">
        <v>2090</v>
      </c>
      <c r="B39" s="153" t="s">
        <v>2091</v>
      </c>
      <c r="C39" s="193">
        <f>'ANEXO 1'!D182+'ANEXO 7'!AE15-'ANEXO 1'!C182</f>
        <v>0</v>
      </c>
      <c r="D39" s="69"/>
    </row>
    <row r="40" spans="1:4" x14ac:dyDescent="0.3">
      <c r="A40" s="162"/>
      <c r="B40" s="153"/>
      <c r="C40" s="18"/>
      <c r="D40" s="69"/>
    </row>
    <row r="41" spans="1:4" x14ac:dyDescent="0.3">
      <c r="A41" s="162" t="s">
        <v>2092</v>
      </c>
      <c r="B41" s="153" t="s">
        <v>2093</v>
      </c>
      <c r="C41" s="72">
        <f>ROUND(IF(C35-C34-C39&lt;0,C34-C35+C39, 0),0)</f>
        <v>0</v>
      </c>
      <c r="D41" s="69"/>
    </row>
    <row r="42" spans="1:4" x14ac:dyDescent="0.3">
      <c r="A42" s="162" t="s">
        <v>2094</v>
      </c>
      <c r="B42" s="153" t="s">
        <v>2095</v>
      </c>
      <c r="C42" s="72">
        <f>ROUND(IF(C35-C34-C39&gt;0,-C34+C35-C39, 0),0)</f>
        <v>0</v>
      </c>
      <c r="D42" s="69"/>
    </row>
    <row r="43" spans="1:4" x14ac:dyDescent="0.3">
      <c r="C43" s="187"/>
      <c r="D43" s="69"/>
    </row>
    <row r="44" spans="1:4" ht="40.799999999999997" x14ac:dyDescent="0.3">
      <c r="A44" s="162" t="s">
        <v>2096</v>
      </c>
      <c r="B44" s="153" t="s">
        <v>2097</v>
      </c>
      <c r="C44" s="116"/>
      <c r="D44" s="69"/>
    </row>
    <row r="45" spans="1:4" ht="20.399999999999999" x14ac:dyDescent="0.3">
      <c r="A45" s="162" t="s">
        <v>2098</v>
      </c>
      <c r="B45" s="153" t="s">
        <v>2099</v>
      </c>
      <c r="C45" s="118"/>
      <c r="D45" s="69"/>
    </row>
    <row r="46" spans="1:4" x14ac:dyDescent="0.3">
      <c r="A46" s="162" t="s">
        <v>2100</v>
      </c>
      <c r="B46" s="153" t="s">
        <v>2101</v>
      </c>
      <c r="C46" s="65">
        <f>ROUND(IF(C42&gt;0,C42-C44-C45, 0),0)</f>
        <v>0</v>
      </c>
      <c r="D46" s="69"/>
    </row>
    <row r="47" spans="1:4" x14ac:dyDescent="0.3">
      <c r="A47" s="162"/>
      <c r="B47" s="153"/>
      <c r="C47" s="18"/>
      <c r="D47" s="69"/>
    </row>
    <row r="48" spans="1:4" x14ac:dyDescent="0.3">
      <c r="A48" s="162"/>
      <c r="B48" s="179" t="s">
        <v>2073</v>
      </c>
      <c r="C48" s="18"/>
      <c r="D48" s="69"/>
    </row>
    <row r="49" spans="1:4" x14ac:dyDescent="0.3">
      <c r="A49" s="162"/>
      <c r="B49" s="153"/>
      <c r="C49" s="18"/>
      <c r="D49" s="69"/>
    </row>
    <row r="50" spans="1:4" x14ac:dyDescent="0.3">
      <c r="A50" s="162" t="s">
        <v>2102</v>
      </c>
      <c r="B50" s="153" t="s">
        <v>2103</v>
      </c>
      <c r="C50" s="73"/>
      <c r="D50" s="69"/>
    </row>
    <row r="51" spans="1:4" x14ac:dyDescent="0.3">
      <c r="A51" s="162" t="s">
        <v>2104</v>
      </c>
      <c r="B51" s="153" t="s">
        <v>2105</v>
      </c>
      <c r="C51" s="116">
        <f>C135</f>
        <v>0</v>
      </c>
      <c r="D51" s="69"/>
    </row>
    <row r="52" spans="1:4" x14ac:dyDescent="0.3">
      <c r="A52" s="162" t="s">
        <v>2106</v>
      </c>
      <c r="B52" s="153" t="s">
        <v>5443</v>
      </c>
      <c r="C52" s="116"/>
      <c r="D52" s="69"/>
    </row>
    <row r="53" spans="1:4" x14ac:dyDescent="0.3">
      <c r="A53" s="162" t="s">
        <v>2107</v>
      </c>
      <c r="B53" s="153" t="s">
        <v>2108</v>
      </c>
      <c r="C53" s="116"/>
      <c r="D53" s="69"/>
    </row>
    <row r="54" spans="1:4" x14ac:dyDescent="0.3">
      <c r="A54" s="162" t="s">
        <v>2109</v>
      </c>
      <c r="B54" s="153" t="s">
        <v>2110</v>
      </c>
      <c r="C54" s="116"/>
      <c r="D54" s="69"/>
    </row>
    <row r="55" spans="1:4" x14ac:dyDescent="0.3">
      <c r="A55" s="162" t="s">
        <v>2111</v>
      </c>
      <c r="B55" s="153" t="s">
        <v>2112</v>
      </c>
      <c r="C55" s="116"/>
      <c r="D55" s="69"/>
    </row>
    <row r="56" spans="1:4" x14ac:dyDescent="0.3">
      <c r="A56" s="162" t="s">
        <v>2113</v>
      </c>
      <c r="B56" s="153" t="s">
        <v>2114</v>
      </c>
      <c r="C56" s="193">
        <f>'ANEXO 1'!C183+'ANEXO 1'!C184</f>
        <v>0</v>
      </c>
      <c r="D56" s="69"/>
    </row>
    <row r="57" spans="1:4" ht="20.399999999999999" x14ac:dyDescent="0.3">
      <c r="A57" s="162" t="s">
        <v>2115</v>
      </c>
      <c r="B57" s="153" t="s">
        <v>2116</v>
      </c>
      <c r="C57" s="116"/>
      <c r="D57" s="69"/>
    </row>
    <row r="58" spans="1:4" x14ac:dyDescent="0.3">
      <c r="A58" s="162" t="s">
        <v>2117</v>
      </c>
      <c r="B58" s="153" t="s">
        <v>2118</v>
      </c>
      <c r="C58" s="116"/>
      <c r="D58" s="69"/>
    </row>
    <row r="59" spans="1:4" x14ac:dyDescent="0.3">
      <c r="A59" s="162" t="s">
        <v>2119</v>
      </c>
      <c r="B59" s="153" t="s">
        <v>5734</v>
      </c>
      <c r="C59" s="116"/>
      <c r="D59" s="69"/>
    </row>
    <row r="60" spans="1:4" x14ac:dyDescent="0.3">
      <c r="A60" s="162" t="s">
        <v>2120</v>
      </c>
      <c r="B60" s="153" t="s">
        <v>2121</v>
      </c>
      <c r="C60" s="117"/>
      <c r="D60" s="69"/>
    </row>
    <row r="61" spans="1:4" x14ac:dyDescent="0.3">
      <c r="A61" s="162" t="s">
        <v>2122</v>
      </c>
      <c r="B61" s="153" t="s">
        <v>638</v>
      </c>
      <c r="C61" s="52"/>
      <c r="D61" s="69"/>
    </row>
    <row r="62" spans="1:4" x14ac:dyDescent="0.3">
      <c r="A62" s="162"/>
      <c r="B62" s="153"/>
      <c r="C62" s="18"/>
      <c r="D62" s="69"/>
    </row>
    <row r="63" spans="1:4" x14ac:dyDescent="0.3">
      <c r="A63" s="162" t="s">
        <v>2123</v>
      </c>
      <c r="B63" s="153" t="s">
        <v>905</v>
      </c>
      <c r="C63" s="77">
        <f>ROUND(SUM(C50:C61),0)</f>
        <v>0</v>
      </c>
      <c r="D63" s="69"/>
    </row>
    <row r="64" spans="1:4" x14ac:dyDescent="0.3">
      <c r="A64" s="162"/>
      <c r="B64" s="153"/>
      <c r="C64" s="18"/>
      <c r="D64" s="69"/>
    </row>
    <row r="65" spans="1:4" x14ac:dyDescent="0.3">
      <c r="A65" s="162"/>
      <c r="B65" s="179" t="s">
        <v>2075</v>
      </c>
      <c r="C65" s="18"/>
      <c r="D65" s="69"/>
    </row>
    <row r="66" spans="1:4" x14ac:dyDescent="0.3">
      <c r="A66" s="162"/>
      <c r="B66" s="153"/>
      <c r="C66" s="18"/>
      <c r="D66" s="69"/>
    </row>
    <row r="67" spans="1:4" x14ac:dyDescent="0.3">
      <c r="A67" s="162" t="s">
        <v>2124</v>
      </c>
      <c r="B67" s="153" t="s">
        <v>775</v>
      </c>
      <c r="C67" s="193">
        <f>'ANEXO 2'!C67</f>
        <v>0</v>
      </c>
      <c r="D67" s="69"/>
    </row>
    <row r="68" spans="1:4" x14ac:dyDescent="0.3">
      <c r="A68" s="162" t="s">
        <v>2125</v>
      </c>
      <c r="B68" s="153" t="s">
        <v>2126</v>
      </c>
      <c r="C68" s="193">
        <f>ROUND('ANEXO 7'!AE15,0)</f>
        <v>0</v>
      </c>
      <c r="D68" s="69"/>
    </row>
    <row r="69" spans="1:4" x14ac:dyDescent="0.3">
      <c r="A69" s="162" t="s">
        <v>2127</v>
      </c>
      <c r="B69" s="153" t="s">
        <v>1950</v>
      </c>
      <c r="C69" s="116"/>
      <c r="D69" s="69"/>
    </row>
    <row r="70" spans="1:4" x14ac:dyDescent="0.3">
      <c r="A70" s="162" t="s">
        <v>2128</v>
      </c>
      <c r="B70" s="153" t="s">
        <v>1457</v>
      </c>
      <c r="C70" s="116">
        <f>C95+C96+C97-C87</f>
        <v>0</v>
      </c>
      <c r="D70" s="69"/>
    </row>
    <row r="71" spans="1:4" ht="30.6" x14ac:dyDescent="0.3">
      <c r="A71" s="162" t="s">
        <v>2129</v>
      </c>
      <c r="B71" s="153" t="s">
        <v>2130</v>
      </c>
      <c r="C71" s="193">
        <f>ROUND('ANEXO 6'!C64,0)</f>
        <v>0</v>
      </c>
      <c r="D71" s="69"/>
    </row>
    <row r="72" spans="1:4" ht="20.399999999999999" x14ac:dyDescent="0.3">
      <c r="A72" s="162" t="s">
        <v>2131</v>
      </c>
      <c r="B72" s="153" t="s">
        <v>2132</v>
      </c>
      <c r="C72" s="193">
        <f>ROUND('ANEXO 6'!C65+'ANEXO 6'!C66+'ANEXO 6'!C90,0)</f>
        <v>0</v>
      </c>
      <c r="D72" s="69"/>
    </row>
    <row r="73" spans="1:4" x14ac:dyDescent="0.3">
      <c r="A73" s="162" t="s">
        <v>2133</v>
      </c>
      <c r="B73" s="153" t="s">
        <v>1332</v>
      </c>
      <c r="C73" s="116">
        <f>C102+C103+C104+C101</f>
        <v>0</v>
      </c>
      <c r="D73" s="69"/>
    </row>
    <row r="74" spans="1:4" x14ac:dyDescent="0.3">
      <c r="A74" s="162" t="s">
        <v>2134</v>
      </c>
      <c r="B74" s="153" t="s">
        <v>2135</v>
      </c>
      <c r="C74" s="116"/>
      <c r="D74" s="69"/>
    </row>
    <row r="75" spans="1:4" x14ac:dyDescent="0.3">
      <c r="A75" s="162" t="s">
        <v>2136</v>
      </c>
      <c r="B75" s="153" t="s">
        <v>2137</v>
      </c>
      <c r="C75" s="116"/>
      <c r="D75" s="69"/>
    </row>
    <row r="76" spans="1:4" x14ac:dyDescent="0.3">
      <c r="A76" s="162" t="s">
        <v>2138</v>
      </c>
      <c r="B76" s="153" t="s">
        <v>2139</v>
      </c>
      <c r="C76" s="193">
        <f>ROUND('ANEXO 7'!AE111,0)</f>
        <v>0</v>
      </c>
      <c r="D76" s="69"/>
    </row>
    <row r="77" spans="1:4" x14ac:dyDescent="0.3">
      <c r="A77" s="162" t="s">
        <v>2140</v>
      </c>
      <c r="B77" s="153" t="s">
        <v>2141</v>
      </c>
      <c r="C77" s="116"/>
      <c r="D77" s="69"/>
    </row>
    <row r="78" spans="1:4" x14ac:dyDescent="0.3">
      <c r="A78" s="162" t="s">
        <v>2142</v>
      </c>
      <c r="B78" s="153" t="s">
        <v>930</v>
      </c>
      <c r="C78" s="193">
        <f>-'ANEXO 8'!C40</f>
        <v>0</v>
      </c>
      <c r="D78" s="69"/>
    </row>
    <row r="79" spans="1:4" x14ac:dyDescent="0.3">
      <c r="A79" s="162" t="s">
        <v>2143</v>
      </c>
      <c r="B79" s="153" t="s">
        <v>726</v>
      </c>
      <c r="C79" s="193">
        <f>ROUND('ANEXO 7'!AE67,0)</f>
        <v>0</v>
      </c>
      <c r="D79" s="69"/>
    </row>
    <row r="80" spans="1:4" x14ac:dyDescent="0.3">
      <c r="A80" s="162" t="s">
        <v>2144</v>
      </c>
      <c r="B80" s="153" t="s">
        <v>2145</v>
      </c>
      <c r="C80" s="193">
        <f>ROUND('ANEXO 7'!AE105+'ANEXO 7'!AE106+'ANEXO 7'!AE107+'ANEXO 7'!AE108+'ANEXO 7'!AE109+'ANEXO 7'!AE110,0)</f>
        <v>0</v>
      </c>
      <c r="D80" s="69"/>
    </row>
    <row r="81" spans="1:4" x14ac:dyDescent="0.3">
      <c r="A81" s="162" t="s">
        <v>2146</v>
      </c>
      <c r="B81" s="153" t="s">
        <v>2147</v>
      </c>
      <c r="C81" s="116"/>
      <c r="D81" s="69"/>
    </row>
    <row r="82" spans="1:4" x14ac:dyDescent="0.3">
      <c r="A82" s="162" t="s">
        <v>2148</v>
      </c>
      <c r="B82" s="153" t="s">
        <v>2149</v>
      </c>
      <c r="C82" s="116"/>
      <c r="D82" s="69"/>
    </row>
    <row r="83" spans="1:4" ht="20.399999999999999" x14ac:dyDescent="0.3">
      <c r="A83" s="162" t="s">
        <v>2150</v>
      </c>
      <c r="B83" s="153" t="s">
        <v>2151</v>
      </c>
      <c r="C83" s="116"/>
      <c r="D83" s="69"/>
    </row>
    <row r="84" spans="1:4" x14ac:dyDescent="0.3">
      <c r="A84" s="162" t="s">
        <v>2152</v>
      </c>
      <c r="B84" s="153" t="s">
        <v>2153</v>
      </c>
      <c r="C84" s="116"/>
      <c r="D84" s="69"/>
    </row>
    <row r="85" spans="1:4" ht="20.399999999999999" x14ac:dyDescent="0.3">
      <c r="A85" s="162" t="s">
        <v>2154</v>
      </c>
      <c r="B85" s="153" t="s">
        <v>2155</v>
      </c>
      <c r="C85" s="116"/>
      <c r="D85" s="69"/>
    </row>
    <row r="86" spans="1:4" ht="20.399999999999999" x14ac:dyDescent="0.3">
      <c r="A86" s="162" t="s">
        <v>2156</v>
      </c>
      <c r="B86" s="153" t="s">
        <v>5735</v>
      </c>
      <c r="C86" s="193">
        <f>ROUND(SUM('ANEXO 7'!AI8:AI14)+'ANEXO 7'!AI17+'ANEXO 7'!AI29,0)</f>
        <v>0</v>
      </c>
      <c r="D86" s="69"/>
    </row>
    <row r="87" spans="1:4" ht="20.399999999999999" x14ac:dyDescent="0.3">
      <c r="A87" s="162" t="s">
        <v>2157</v>
      </c>
      <c r="B87" s="153" t="s">
        <v>5444</v>
      </c>
      <c r="C87" s="116"/>
      <c r="D87" s="69"/>
    </row>
    <row r="88" spans="1:4" x14ac:dyDescent="0.3">
      <c r="A88" s="162" t="s">
        <v>2158</v>
      </c>
      <c r="B88" s="153" t="s">
        <v>638</v>
      </c>
      <c r="C88" s="52"/>
      <c r="D88" s="69"/>
    </row>
    <row r="89" spans="1:4" x14ac:dyDescent="0.3">
      <c r="A89" s="162"/>
      <c r="B89" s="153"/>
      <c r="C89" s="18"/>
      <c r="D89" s="69"/>
    </row>
    <row r="90" spans="1:4" x14ac:dyDescent="0.3">
      <c r="A90" s="162" t="s">
        <v>2159</v>
      </c>
      <c r="B90" s="153" t="s">
        <v>905</v>
      </c>
      <c r="C90" s="77">
        <f>ROUND(SUM(C67:C88),0)</f>
        <v>0</v>
      </c>
      <c r="D90" s="69"/>
    </row>
    <row r="91" spans="1:4" x14ac:dyDescent="0.3">
      <c r="A91" s="162"/>
      <c r="B91" s="153"/>
      <c r="C91" s="18"/>
      <c r="D91" s="69"/>
    </row>
    <row r="92" spans="1:4" x14ac:dyDescent="0.3">
      <c r="A92" s="162"/>
      <c r="B92" s="179" t="s">
        <v>2160</v>
      </c>
      <c r="C92" s="18"/>
      <c r="D92" s="69"/>
    </row>
    <row r="93" spans="1:4" x14ac:dyDescent="0.3">
      <c r="A93" s="162"/>
      <c r="B93" s="153"/>
      <c r="C93" s="18"/>
      <c r="D93" s="69"/>
    </row>
    <row r="94" spans="1:4" x14ac:dyDescent="0.3">
      <c r="A94" s="162" t="s">
        <v>2161</v>
      </c>
      <c r="B94" s="153" t="s">
        <v>1283</v>
      </c>
      <c r="C94" s="193">
        <f>ROUND('ANEXO 7'!C84,0)</f>
        <v>0</v>
      </c>
      <c r="D94" s="69"/>
    </row>
    <row r="95" spans="1:4" x14ac:dyDescent="0.3">
      <c r="A95" s="162" t="s">
        <v>2162</v>
      </c>
      <c r="B95" s="153" t="s">
        <v>903</v>
      </c>
      <c r="C95" s="193">
        <f>ROUND('ANEXO 7'!J84,0)</f>
        <v>0</v>
      </c>
      <c r="D95" s="69"/>
    </row>
    <row r="96" spans="1:4" x14ac:dyDescent="0.3">
      <c r="A96" s="162" t="s">
        <v>2163</v>
      </c>
      <c r="B96" s="153" t="s">
        <v>899</v>
      </c>
      <c r="C96" s="193">
        <f>ROUND('ANEXO 7'!X84,0)</f>
        <v>0</v>
      </c>
      <c r="D96" s="69"/>
    </row>
    <row r="97" spans="1:4" x14ac:dyDescent="0.3">
      <c r="A97" s="162" t="s">
        <v>2164</v>
      </c>
      <c r="B97" s="153" t="s">
        <v>901</v>
      </c>
      <c r="C97" s="193">
        <f>ROUND('ANEXO 7'!Q84,0)</f>
        <v>0</v>
      </c>
      <c r="D97" s="69"/>
    </row>
    <row r="98" spans="1:4" x14ac:dyDescent="0.3">
      <c r="A98" s="162"/>
      <c r="B98" s="153"/>
      <c r="C98" s="18"/>
      <c r="D98" s="69"/>
    </row>
    <row r="99" spans="1:4" x14ac:dyDescent="0.3">
      <c r="A99" s="162"/>
      <c r="B99" s="179" t="s">
        <v>2165</v>
      </c>
      <c r="C99" s="18"/>
      <c r="D99" s="69"/>
    </row>
    <row r="100" spans="1:4" x14ac:dyDescent="0.3">
      <c r="A100" s="162"/>
      <c r="B100" s="153"/>
      <c r="C100" s="18"/>
      <c r="D100" s="69"/>
    </row>
    <row r="101" spans="1:4" x14ac:dyDescent="0.3">
      <c r="A101" s="162" t="s">
        <v>2166</v>
      </c>
      <c r="B101" s="153" t="s">
        <v>1283</v>
      </c>
      <c r="C101" s="193">
        <f>ROUND('ANEXO 7'!C63,0)</f>
        <v>0</v>
      </c>
      <c r="D101" s="69"/>
    </row>
    <row r="102" spans="1:4" x14ac:dyDescent="0.3">
      <c r="A102" s="162" t="s">
        <v>2167</v>
      </c>
      <c r="B102" s="153" t="s">
        <v>903</v>
      </c>
      <c r="C102" s="193">
        <f>ROUND('ANEXO 7'!J63,0)</f>
        <v>0</v>
      </c>
      <c r="D102" s="69"/>
    </row>
    <row r="103" spans="1:4" x14ac:dyDescent="0.3">
      <c r="A103" s="162" t="s">
        <v>2168</v>
      </c>
      <c r="B103" s="153" t="s">
        <v>899</v>
      </c>
      <c r="C103" s="193">
        <f>ROUND('ANEXO 7'!X63,0)</f>
        <v>0</v>
      </c>
      <c r="D103" s="69"/>
    </row>
    <row r="104" spans="1:4" x14ac:dyDescent="0.3">
      <c r="A104" s="162" t="s">
        <v>2169</v>
      </c>
      <c r="B104" s="153" t="s">
        <v>901</v>
      </c>
      <c r="C104" s="193">
        <f>ROUND('ANEXO 7'!Q63,0)</f>
        <v>0</v>
      </c>
      <c r="D104" s="69"/>
    </row>
    <row r="105" spans="1:4" x14ac:dyDescent="0.3">
      <c r="A105" s="162"/>
      <c r="B105" s="153"/>
      <c r="C105" s="18"/>
      <c r="D105" s="69"/>
    </row>
    <row r="106" spans="1:4" x14ac:dyDescent="0.3">
      <c r="A106" s="162"/>
      <c r="B106" s="179" t="s">
        <v>2077</v>
      </c>
      <c r="C106" s="18"/>
      <c r="D106" s="69"/>
    </row>
    <row r="107" spans="1:4" x14ac:dyDescent="0.3">
      <c r="A107" s="162"/>
      <c r="B107" s="153"/>
      <c r="C107" s="18"/>
      <c r="D107" s="69"/>
    </row>
    <row r="108" spans="1:4" x14ac:dyDescent="0.3">
      <c r="A108" s="162" t="s">
        <v>2170</v>
      </c>
      <c r="B108" s="153" t="s">
        <v>2171</v>
      </c>
      <c r="C108" s="116"/>
      <c r="D108" s="69"/>
    </row>
    <row r="109" spans="1:4" x14ac:dyDescent="0.3">
      <c r="A109" s="162" t="s">
        <v>2172</v>
      </c>
      <c r="B109" s="153" t="s">
        <v>2173</v>
      </c>
      <c r="C109" s="116"/>
      <c r="D109" s="69"/>
    </row>
    <row r="110" spans="1:4" x14ac:dyDescent="0.3">
      <c r="A110" s="162" t="s">
        <v>2174</v>
      </c>
      <c r="B110" s="153" t="s">
        <v>2175</v>
      </c>
      <c r="C110" s="116"/>
      <c r="D110" s="69"/>
    </row>
    <row r="111" spans="1:4" x14ac:dyDescent="0.3">
      <c r="A111" s="162" t="s">
        <v>2176</v>
      </c>
      <c r="B111" s="153" t="s">
        <v>2177</v>
      </c>
      <c r="C111" s="116"/>
      <c r="D111" s="69"/>
    </row>
    <row r="112" spans="1:4" x14ac:dyDescent="0.3">
      <c r="A112" s="162" t="s">
        <v>2178</v>
      </c>
      <c r="B112" s="153" t="s">
        <v>1334</v>
      </c>
      <c r="C112" s="193">
        <f>ROUND('ANEXO 20'!F28,0)</f>
        <v>0</v>
      </c>
      <c r="D112" s="69"/>
    </row>
    <row r="113" spans="1:4" x14ac:dyDescent="0.3">
      <c r="A113" s="162" t="s">
        <v>2179</v>
      </c>
      <c r="B113" s="153" t="s">
        <v>2180</v>
      </c>
      <c r="C113" s="193">
        <f>ROUND('ANEXO 20'!G28,0)</f>
        <v>0</v>
      </c>
      <c r="D113" s="69"/>
    </row>
    <row r="114" spans="1:4" x14ac:dyDescent="0.3">
      <c r="A114" s="162" t="s">
        <v>2181</v>
      </c>
      <c r="B114" s="153" t="s">
        <v>2182</v>
      </c>
      <c r="C114" s="193">
        <f>ROUND('ANEXO 20'!F40+'ANEXO 20'!F46,0)</f>
        <v>0</v>
      </c>
      <c r="D114" s="69"/>
    </row>
    <row r="115" spans="1:4" x14ac:dyDescent="0.3">
      <c r="A115" s="162" t="s">
        <v>2183</v>
      </c>
      <c r="B115" s="153" t="s">
        <v>2184</v>
      </c>
      <c r="C115" s="116"/>
      <c r="D115" s="69"/>
    </row>
    <row r="116" spans="1:4" x14ac:dyDescent="0.3">
      <c r="A116" s="162" t="s">
        <v>2185</v>
      </c>
      <c r="B116" s="153" t="s">
        <v>2186</v>
      </c>
      <c r="C116" s="116"/>
      <c r="D116" s="69"/>
    </row>
    <row r="117" spans="1:4" x14ac:dyDescent="0.3">
      <c r="A117" s="162" t="s">
        <v>2187</v>
      </c>
      <c r="B117" s="153" t="s">
        <v>2188</v>
      </c>
      <c r="C117" s="116"/>
      <c r="D117" s="69"/>
    </row>
    <row r="118" spans="1:4" x14ac:dyDescent="0.3">
      <c r="A118" s="162" t="s">
        <v>2189</v>
      </c>
      <c r="B118" s="153" t="s">
        <v>2190</v>
      </c>
      <c r="C118" s="116">
        <f>C78</f>
        <v>0</v>
      </c>
      <c r="D118" s="69"/>
    </row>
    <row r="119" spans="1:4" x14ac:dyDescent="0.3">
      <c r="A119" s="162" t="s">
        <v>2191</v>
      </c>
      <c r="B119" s="153" t="s">
        <v>2192</v>
      </c>
      <c r="C119" s="116"/>
      <c r="D119" s="69"/>
    </row>
    <row r="120" spans="1:4" x14ac:dyDescent="0.3">
      <c r="A120" s="162" t="s">
        <v>2193</v>
      </c>
      <c r="B120" s="153" t="s">
        <v>5736</v>
      </c>
      <c r="C120" s="116"/>
      <c r="D120" s="69"/>
    </row>
    <row r="121" spans="1:4" ht="30.6" x14ac:dyDescent="0.3">
      <c r="A121" s="162" t="s">
        <v>2194</v>
      </c>
      <c r="B121" s="153" t="s">
        <v>2195</v>
      </c>
      <c r="C121" s="116"/>
      <c r="D121" s="69"/>
    </row>
    <row r="122" spans="1:4" x14ac:dyDescent="0.3">
      <c r="A122" s="162" t="s">
        <v>2196</v>
      </c>
      <c r="B122" s="153" t="s">
        <v>2197</v>
      </c>
      <c r="C122" s="193">
        <f>'ANEXO 1'!D183+'ANEXO 1'!D184</f>
        <v>0</v>
      </c>
      <c r="D122" s="69"/>
    </row>
    <row r="123" spans="1:4" x14ac:dyDescent="0.3">
      <c r="A123" s="162" t="s">
        <v>2198</v>
      </c>
      <c r="B123" s="153" t="s">
        <v>2199</v>
      </c>
      <c r="C123" s="116"/>
      <c r="D123" s="69"/>
    </row>
    <row r="124" spans="1:4" x14ac:dyDescent="0.3">
      <c r="A124" s="162" t="s">
        <v>2200</v>
      </c>
      <c r="B124" s="153" t="s">
        <v>2201</v>
      </c>
      <c r="C124" s="116"/>
      <c r="D124" s="69"/>
    </row>
    <row r="125" spans="1:4" ht="40.799999999999997" x14ac:dyDescent="0.3">
      <c r="A125" s="162" t="s">
        <v>2202</v>
      </c>
      <c r="B125" s="153" t="s">
        <v>2203</v>
      </c>
      <c r="C125" s="116"/>
      <c r="D125" s="69"/>
    </row>
    <row r="126" spans="1:4" ht="40.799999999999997" x14ac:dyDescent="0.3">
      <c r="A126" s="162" t="s">
        <v>2204</v>
      </c>
      <c r="B126" s="153" t="s">
        <v>2205</v>
      </c>
      <c r="C126" s="116"/>
      <c r="D126" s="69"/>
    </row>
    <row r="127" spans="1:4" x14ac:dyDescent="0.3">
      <c r="A127" s="162" t="s">
        <v>2206</v>
      </c>
      <c r="B127" s="153" t="s">
        <v>2207</v>
      </c>
      <c r="C127" s="116"/>
      <c r="D127" s="69"/>
    </row>
    <row r="128" spans="1:4" ht="20.399999999999999" x14ac:dyDescent="0.3">
      <c r="A128" s="162" t="s">
        <v>2208</v>
      </c>
      <c r="B128" s="153" t="s">
        <v>5445</v>
      </c>
      <c r="C128" s="185"/>
      <c r="D128" s="69"/>
    </row>
    <row r="129" spans="1:4" x14ac:dyDescent="0.3">
      <c r="A129" s="162" t="s">
        <v>2209</v>
      </c>
      <c r="B129" s="153" t="s">
        <v>638</v>
      </c>
      <c r="C129" s="52"/>
      <c r="D129" s="69"/>
    </row>
    <row r="130" spans="1:4" x14ac:dyDescent="0.3">
      <c r="A130" s="162"/>
      <c r="B130" s="153"/>
      <c r="C130" s="18"/>
      <c r="D130" s="69"/>
    </row>
    <row r="131" spans="1:4" x14ac:dyDescent="0.3">
      <c r="A131" s="162" t="s">
        <v>2210</v>
      </c>
      <c r="B131" s="153" t="s">
        <v>905</v>
      </c>
      <c r="C131" s="77">
        <f>ROUND(SUM(C108:C129),0)</f>
        <v>0</v>
      </c>
      <c r="D131" s="69"/>
    </row>
    <row r="132" spans="1:4" x14ac:dyDescent="0.3">
      <c r="A132" s="162"/>
      <c r="B132" s="153"/>
      <c r="C132" s="18"/>
      <c r="D132" s="69"/>
    </row>
    <row r="133" spans="1:4" x14ac:dyDescent="0.3">
      <c r="A133" s="162"/>
      <c r="B133" s="179" t="s">
        <v>2079</v>
      </c>
      <c r="C133" s="18"/>
      <c r="D133" s="69"/>
    </row>
    <row r="134" spans="1:4" x14ac:dyDescent="0.3">
      <c r="A134" s="162"/>
      <c r="B134" s="153"/>
      <c r="C134" s="18"/>
      <c r="D134" s="69"/>
    </row>
    <row r="135" spans="1:4" x14ac:dyDescent="0.3">
      <c r="A135" s="162" t="s">
        <v>2211</v>
      </c>
      <c r="B135" s="153" t="s">
        <v>928</v>
      </c>
      <c r="C135" s="193">
        <f>'ANEXO 8'!C42</f>
        <v>0</v>
      </c>
      <c r="D135" s="69"/>
    </row>
    <row r="136" spans="1:4" x14ac:dyDescent="0.3">
      <c r="A136" s="162" t="s">
        <v>2213</v>
      </c>
      <c r="B136" s="153" t="s">
        <v>2212</v>
      </c>
      <c r="C136" s="193">
        <f>'ANEXO 5'!C29</f>
        <v>0</v>
      </c>
      <c r="D136" s="69"/>
    </row>
    <row r="137" spans="1:4" x14ac:dyDescent="0.3">
      <c r="A137" s="162" t="s">
        <v>2215</v>
      </c>
      <c r="B137" s="153" t="s">
        <v>2214</v>
      </c>
      <c r="C137" s="193">
        <f>'ANEXO 5'!C30+'ANEXO 5'!C31</f>
        <v>0</v>
      </c>
      <c r="D137" s="69"/>
    </row>
    <row r="138" spans="1:4" x14ac:dyDescent="0.3">
      <c r="A138" s="162" t="s">
        <v>2217</v>
      </c>
      <c r="B138" s="153" t="s">
        <v>2216</v>
      </c>
      <c r="C138" s="116"/>
      <c r="D138" s="69"/>
    </row>
    <row r="139" spans="1:4" x14ac:dyDescent="0.3">
      <c r="A139" s="162" t="s">
        <v>2219</v>
      </c>
      <c r="B139" s="153" t="s">
        <v>2218</v>
      </c>
      <c r="C139" s="116"/>
      <c r="D139" s="69"/>
    </row>
    <row r="140" spans="1:4" ht="20.399999999999999" x14ac:dyDescent="0.3">
      <c r="A140" s="162" t="s">
        <v>2221</v>
      </c>
      <c r="B140" s="153" t="s">
        <v>2220</v>
      </c>
      <c r="C140" s="116"/>
      <c r="D140" s="69"/>
    </row>
    <row r="141" spans="1:4" x14ac:dyDescent="0.3">
      <c r="A141" s="162" t="s">
        <v>2223</v>
      </c>
      <c r="B141" s="153" t="s">
        <v>2222</v>
      </c>
      <c r="C141" s="116"/>
      <c r="D141" s="69"/>
    </row>
    <row r="142" spans="1:4" x14ac:dyDescent="0.3">
      <c r="A142" s="162" t="s">
        <v>2225</v>
      </c>
      <c r="B142" s="153" t="s">
        <v>2224</v>
      </c>
      <c r="C142" s="116"/>
      <c r="D142" s="69"/>
    </row>
    <row r="143" spans="1:4" x14ac:dyDescent="0.3">
      <c r="A143" s="162" t="s">
        <v>2227</v>
      </c>
      <c r="B143" s="153" t="s">
        <v>2226</v>
      </c>
      <c r="C143" s="193">
        <f>'ANEXO 5'!C34</f>
        <v>0</v>
      </c>
      <c r="D143" s="69"/>
    </row>
    <row r="144" spans="1:4" ht="20.399999999999999" x14ac:dyDescent="0.3">
      <c r="A144" s="162" t="s">
        <v>2229</v>
      </c>
      <c r="B144" s="153" t="s">
        <v>2228</v>
      </c>
      <c r="C144" s="116"/>
      <c r="D144" s="69"/>
    </row>
    <row r="145" spans="1:4" x14ac:dyDescent="0.3">
      <c r="A145" s="162" t="s">
        <v>2231</v>
      </c>
      <c r="B145" s="153" t="s">
        <v>2230</v>
      </c>
      <c r="C145" s="116"/>
      <c r="D145" s="69"/>
    </row>
    <row r="146" spans="1:4" ht="20.399999999999999" x14ac:dyDescent="0.3">
      <c r="A146" s="162" t="s">
        <v>2233</v>
      </c>
      <c r="B146" s="153" t="s">
        <v>2232</v>
      </c>
      <c r="C146" s="116"/>
      <c r="D146" s="69"/>
    </row>
    <row r="147" spans="1:4" ht="20.399999999999999" x14ac:dyDescent="0.3">
      <c r="A147" s="162" t="s">
        <v>2235</v>
      </c>
      <c r="B147" s="153" t="s">
        <v>2234</v>
      </c>
      <c r="C147" s="116"/>
      <c r="D147" s="69"/>
    </row>
    <row r="148" spans="1:4" x14ac:dyDescent="0.3">
      <c r="A148" s="162" t="s">
        <v>2236</v>
      </c>
      <c r="B148" s="153" t="s">
        <v>638</v>
      </c>
      <c r="C148" s="52"/>
      <c r="D148" s="69"/>
    </row>
    <row r="149" spans="1:4" x14ac:dyDescent="0.3">
      <c r="A149" s="162"/>
      <c r="B149" s="153"/>
      <c r="C149" s="18"/>
      <c r="D149" s="69"/>
    </row>
    <row r="150" spans="1:4" x14ac:dyDescent="0.3">
      <c r="A150" s="162" t="s">
        <v>5446</v>
      </c>
      <c r="B150" s="153" t="s">
        <v>905</v>
      </c>
      <c r="C150" s="77">
        <f>ROUND(SUM(C135:C148),0)</f>
        <v>0</v>
      </c>
      <c r="D150" s="69"/>
    </row>
    <row r="151" spans="1:4" ht="8.1" customHeight="1" x14ac:dyDescent="0.3">
      <c r="A151" s="70" t="s">
        <v>0</v>
      </c>
      <c r="B151" s="152"/>
      <c r="C151" s="70"/>
      <c r="D151" s="14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D104"/>
  <sheetViews>
    <sheetView workbookViewId="0"/>
  </sheetViews>
  <sheetFormatPr defaultColWidth="11.5546875" defaultRowHeight="14.4" x14ac:dyDescent="0.3"/>
  <cols>
    <col min="1" max="1" width="14.33203125" style="107" customWidth="1"/>
    <col min="2" max="2" width="40.33203125" style="107" customWidth="1"/>
    <col min="3" max="3" width="18.6640625" style="107" customWidth="1"/>
    <col min="4" max="4" width="1.6640625" style="107" customWidth="1"/>
    <col min="5" max="16384" width="11.5546875" style="107"/>
  </cols>
  <sheetData>
    <row r="1" spans="1:4" ht="61.2" x14ac:dyDescent="0.3">
      <c r="A1" s="42" t="s">
        <v>0</v>
      </c>
      <c r="B1" s="76" t="s">
        <v>5614</v>
      </c>
      <c r="C1" s="42"/>
      <c r="D1" s="69"/>
    </row>
    <row r="2" spans="1:4" x14ac:dyDescent="0.3">
      <c r="A2" s="78" t="s">
        <v>5597</v>
      </c>
      <c r="B2" s="78" t="s">
        <v>5598</v>
      </c>
      <c r="C2" s="78" t="s">
        <v>905</v>
      </c>
      <c r="D2" s="69" t="s">
        <v>0</v>
      </c>
    </row>
    <row r="3" spans="1:4" x14ac:dyDescent="0.3">
      <c r="A3" s="163"/>
      <c r="B3" s="46" t="s">
        <v>0</v>
      </c>
      <c r="C3" s="47"/>
      <c r="D3" s="69"/>
    </row>
    <row r="4" spans="1:4" x14ac:dyDescent="0.3">
      <c r="A4" s="163"/>
      <c r="B4" s="48" t="s">
        <v>5626</v>
      </c>
      <c r="C4" s="47"/>
      <c r="D4" s="69"/>
    </row>
    <row r="5" spans="1:4" x14ac:dyDescent="0.3">
      <c r="A5" s="163"/>
      <c r="B5" s="160"/>
      <c r="C5" s="18"/>
      <c r="D5" s="69"/>
    </row>
    <row r="6" spans="1:4" x14ac:dyDescent="0.3">
      <c r="A6" s="162" t="s">
        <v>2269</v>
      </c>
      <c r="B6" s="153" t="s">
        <v>889</v>
      </c>
      <c r="C6" s="68">
        <f>'ANEXO 2'!C7</f>
        <v>0</v>
      </c>
      <c r="D6" s="69"/>
    </row>
    <row r="7" spans="1:4" x14ac:dyDescent="0.3">
      <c r="A7" s="162"/>
      <c r="B7" s="153"/>
      <c r="C7" s="18"/>
      <c r="D7" s="69"/>
    </row>
    <row r="8" spans="1:4" x14ac:dyDescent="0.3">
      <c r="A8" s="162"/>
      <c r="B8" s="153" t="s">
        <v>1267</v>
      </c>
      <c r="C8" s="18"/>
      <c r="D8" s="69"/>
    </row>
    <row r="9" spans="1:4" x14ac:dyDescent="0.3">
      <c r="A9" s="162"/>
      <c r="B9" s="153"/>
      <c r="C9" s="18"/>
      <c r="D9" s="69"/>
    </row>
    <row r="10" spans="1:4" x14ac:dyDescent="0.3">
      <c r="A10" s="162" t="s">
        <v>2270</v>
      </c>
      <c r="B10" s="153" t="s">
        <v>1529</v>
      </c>
      <c r="C10" s="193">
        <f>ROUND('ANEXO 8'!C20,0)</f>
        <v>0</v>
      </c>
      <c r="D10" s="69"/>
    </row>
    <row r="11" spans="1:4" x14ac:dyDescent="0.3">
      <c r="A11" s="162" t="s">
        <v>2271</v>
      </c>
      <c r="B11" s="153" t="s">
        <v>928</v>
      </c>
      <c r="C11" s="193">
        <f>ROUND('ANEXO 8'!C42,0)</f>
        <v>0</v>
      </c>
      <c r="D11" s="69"/>
    </row>
    <row r="12" spans="1:4" x14ac:dyDescent="0.3">
      <c r="A12" s="162" t="s">
        <v>2272</v>
      </c>
      <c r="B12" s="153" t="s">
        <v>2273</v>
      </c>
      <c r="C12" s="193">
        <f>ROUND('ANEXO 8'!C43,0)</f>
        <v>0</v>
      </c>
      <c r="D12" s="69"/>
    </row>
    <row r="13" spans="1:4" x14ac:dyDescent="0.3">
      <c r="A13" s="162" t="s">
        <v>2274</v>
      </c>
      <c r="B13" s="153" t="s">
        <v>932</v>
      </c>
      <c r="C13" s="193">
        <f>ROUND('ANEXO 8'!C48,0)</f>
        <v>0</v>
      </c>
      <c r="D13" s="69"/>
    </row>
    <row r="14" spans="1:4" ht="20.399999999999999" x14ac:dyDescent="0.3">
      <c r="A14" s="162" t="s">
        <v>2275</v>
      </c>
      <c r="B14" s="153" t="s">
        <v>2276</v>
      </c>
      <c r="C14" s="193">
        <f>ROUND('ANEXO 8'!C49,0)</f>
        <v>0</v>
      </c>
      <c r="D14" s="69"/>
    </row>
    <row r="15" spans="1:4" x14ac:dyDescent="0.3">
      <c r="A15" s="162" t="s">
        <v>2277</v>
      </c>
      <c r="B15" s="153" t="s">
        <v>940</v>
      </c>
      <c r="C15" s="52"/>
      <c r="D15" s="69"/>
    </row>
    <row r="16" spans="1:4" ht="20.399999999999999" x14ac:dyDescent="0.3">
      <c r="A16" s="162" t="s">
        <v>2278</v>
      </c>
      <c r="B16" s="153" t="s">
        <v>2279</v>
      </c>
      <c r="C16" s="193">
        <f>ROUND('ANEXO 8'!C65,0)</f>
        <v>0</v>
      </c>
      <c r="D16" s="69"/>
    </row>
    <row r="17" spans="1:4" ht="20.399999999999999" x14ac:dyDescent="0.3">
      <c r="A17" s="162" t="s">
        <v>2280</v>
      </c>
      <c r="B17" s="153" t="s">
        <v>5447</v>
      </c>
      <c r="C17" s="193">
        <f>ROUND('ANEXO 8'!C58,0)</f>
        <v>0</v>
      </c>
      <c r="D17" s="69"/>
    </row>
    <row r="18" spans="1:4" ht="30.6" x14ac:dyDescent="0.3">
      <c r="A18" s="162" t="s">
        <v>2281</v>
      </c>
      <c r="B18" s="153" t="s">
        <v>2311</v>
      </c>
      <c r="C18" s="193">
        <f>ROUND('ANEXO 8'!C59,0)</f>
        <v>0</v>
      </c>
      <c r="D18" s="69"/>
    </row>
    <row r="19" spans="1:4" x14ac:dyDescent="0.3">
      <c r="A19" s="162" t="s">
        <v>2282</v>
      </c>
      <c r="B19" s="153" t="s">
        <v>2283</v>
      </c>
      <c r="C19" s="54">
        <f>ROUND(SUM(C10:C14)+C15+SUM(C16:C18),0)</f>
        <v>0</v>
      </c>
      <c r="D19" s="69"/>
    </row>
    <row r="20" spans="1:4" x14ac:dyDescent="0.3">
      <c r="A20" s="162"/>
      <c r="B20" s="153"/>
      <c r="C20" s="18"/>
      <c r="D20" s="69"/>
    </row>
    <row r="21" spans="1:4" ht="20.399999999999999" x14ac:dyDescent="0.3">
      <c r="A21" s="162" t="s">
        <v>2284</v>
      </c>
      <c r="B21" s="153" t="s">
        <v>5737</v>
      </c>
      <c r="C21" s="117"/>
      <c r="D21" s="69"/>
    </row>
    <row r="22" spans="1:4" ht="30.6" x14ac:dyDescent="0.3">
      <c r="A22" s="162" t="s">
        <v>2285</v>
      </c>
      <c r="B22" s="153" t="s">
        <v>2286</v>
      </c>
      <c r="C22" s="193">
        <f>ROUND('ANEXO 11'!C145,0)</f>
        <v>0</v>
      </c>
      <c r="D22" s="69"/>
    </row>
    <row r="23" spans="1:4" x14ac:dyDescent="0.3">
      <c r="A23" s="162" t="s">
        <v>2287</v>
      </c>
      <c r="B23" s="153" t="s">
        <v>2288</v>
      </c>
      <c r="C23" s="192">
        <f>ROUND('ANEXO 2'!C34,0)</f>
        <v>0</v>
      </c>
      <c r="D23" s="69"/>
    </row>
    <row r="24" spans="1:4" ht="20.399999999999999" x14ac:dyDescent="0.3">
      <c r="A24" s="162" t="s">
        <v>2289</v>
      </c>
      <c r="B24" s="153" t="s">
        <v>5738</v>
      </c>
      <c r="C24" s="192">
        <f>ROUND('ANEXO 2'!C81,0)</f>
        <v>0</v>
      </c>
      <c r="D24" s="69"/>
    </row>
    <row r="25" spans="1:4" ht="20.399999999999999" x14ac:dyDescent="0.3">
      <c r="A25" s="162" t="s">
        <v>2290</v>
      </c>
      <c r="B25" s="153" t="s">
        <v>5739</v>
      </c>
      <c r="C25" s="192">
        <f>ROUND('ANEXO 2'!C83,0)</f>
        <v>0</v>
      </c>
      <c r="D25" s="69"/>
    </row>
    <row r="26" spans="1:4" ht="20.399999999999999" x14ac:dyDescent="0.3">
      <c r="A26" s="162" t="s">
        <v>2291</v>
      </c>
      <c r="B26" s="153" t="s">
        <v>2292</v>
      </c>
      <c r="C26" s="192">
        <f>ROUND('ANEXO 2'!C85,0)</f>
        <v>0</v>
      </c>
      <c r="D26" s="69"/>
    </row>
    <row r="27" spans="1:4" ht="20.399999999999999" x14ac:dyDescent="0.3">
      <c r="A27" s="162" t="s">
        <v>2293</v>
      </c>
      <c r="B27" s="153" t="s">
        <v>5740</v>
      </c>
      <c r="C27" s="192">
        <f>ROUND('ANEXO 2'!C87,0)</f>
        <v>0</v>
      </c>
      <c r="D27" s="69"/>
    </row>
    <row r="28" spans="1:4" x14ac:dyDescent="0.3">
      <c r="A28" s="162" t="s">
        <v>2294</v>
      </c>
      <c r="B28" s="153" t="s">
        <v>638</v>
      </c>
      <c r="C28" s="52"/>
      <c r="D28" s="69"/>
    </row>
    <row r="29" spans="1:4" x14ac:dyDescent="0.3">
      <c r="A29" s="162" t="s">
        <v>2295</v>
      </c>
      <c r="B29" s="153" t="s">
        <v>2296</v>
      </c>
      <c r="C29" s="117"/>
      <c r="D29" s="69"/>
    </row>
    <row r="30" spans="1:4" x14ac:dyDescent="0.3">
      <c r="A30" s="162" t="s">
        <v>2297</v>
      </c>
      <c r="B30" s="153" t="s">
        <v>2298</v>
      </c>
      <c r="C30" s="54">
        <f>ROUND(SUM(C21:C28)+C29,0)</f>
        <v>0</v>
      </c>
      <c r="D30" s="69"/>
    </row>
    <row r="31" spans="1:4" x14ac:dyDescent="0.3">
      <c r="A31" s="162"/>
      <c r="B31" s="153"/>
      <c r="C31" s="18"/>
      <c r="D31" s="69"/>
    </row>
    <row r="32" spans="1:4" ht="20.399999999999999" x14ac:dyDescent="0.3">
      <c r="A32" s="162" t="s">
        <v>2299</v>
      </c>
      <c r="B32" s="153" t="s">
        <v>2300</v>
      </c>
      <c r="C32" s="54">
        <f>ROUND(C30+C19+C6,0)</f>
        <v>0</v>
      </c>
      <c r="D32" s="69"/>
    </row>
    <row r="33" spans="1:4" x14ac:dyDescent="0.3">
      <c r="A33" s="162"/>
      <c r="B33" s="153"/>
      <c r="C33" s="18"/>
      <c r="D33" s="69"/>
    </row>
    <row r="34" spans="1:4" x14ac:dyDescent="0.3">
      <c r="A34" s="162"/>
      <c r="B34" s="153" t="s">
        <v>2301</v>
      </c>
      <c r="C34" s="18"/>
      <c r="D34" s="69"/>
    </row>
    <row r="35" spans="1:4" x14ac:dyDescent="0.3">
      <c r="A35" s="162"/>
      <c r="B35" s="153"/>
      <c r="C35" s="18"/>
      <c r="D35" s="69"/>
    </row>
    <row r="36" spans="1:4" ht="20.399999999999999" x14ac:dyDescent="0.3">
      <c r="A36" s="162" t="s">
        <v>2302</v>
      </c>
      <c r="B36" s="153" t="s">
        <v>2303</v>
      </c>
      <c r="C36" s="117"/>
      <c r="D36" s="69"/>
    </row>
    <row r="37" spans="1:4" x14ac:dyDescent="0.3">
      <c r="A37" s="162" t="s">
        <v>2304</v>
      </c>
      <c r="B37" s="153" t="s">
        <v>2273</v>
      </c>
      <c r="C37" s="192">
        <f>ROUND('ANEXO 8'!C43,0)</f>
        <v>0</v>
      </c>
      <c r="D37" s="69"/>
    </row>
    <row r="38" spans="1:4" x14ac:dyDescent="0.3">
      <c r="A38" s="162" t="s">
        <v>2305</v>
      </c>
      <c r="B38" s="153" t="s">
        <v>932</v>
      </c>
      <c r="C38" s="192">
        <f>ROUND('ANEXO 8'!C48,0)</f>
        <v>0</v>
      </c>
      <c r="D38" s="69"/>
    </row>
    <row r="39" spans="1:4" ht="20.399999999999999" x14ac:dyDescent="0.3">
      <c r="A39" s="162" t="s">
        <v>2306</v>
      </c>
      <c r="B39" s="153" t="s">
        <v>2276</v>
      </c>
      <c r="C39" s="192">
        <f>ROUND('ANEXO 8'!C49,0)</f>
        <v>0</v>
      </c>
      <c r="D39" s="69"/>
    </row>
    <row r="40" spans="1:4" ht="20.399999999999999" x14ac:dyDescent="0.3">
      <c r="A40" s="162" t="s">
        <v>2307</v>
      </c>
      <c r="B40" s="153" t="s">
        <v>2279</v>
      </c>
      <c r="C40" s="192">
        <f>ROUND('ANEXO 8'!C65,0)</f>
        <v>0</v>
      </c>
      <c r="D40" s="69"/>
    </row>
    <row r="41" spans="1:4" ht="20.399999999999999" x14ac:dyDescent="0.3">
      <c r="A41" s="162" t="s">
        <v>2308</v>
      </c>
      <c r="B41" s="153" t="s">
        <v>2309</v>
      </c>
      <c r="C41" s="192">
        <f>ROUND('ANEXO 5'!C41,0)</f>
        <v>0</v>
      </c>
      <c r="D41" s="69"/>
    </row>
    <row r="42" spans="1:4" ht="30.6" x14ac:dyDescent="0.3">
      <c r="A42" s="162" t="s">
        <v>2310</v>
      </c>
      <c r="B42" s="153" t="s">
        <v>2311</v>
      </c>
      <c r="C42" s="192">
        <f>ROUND('ANEXO 8'!C57,0)</f>
        <v>0</v>
      </c>
      <c r="D42" s="69"/>
    </row>
    <row r="43" spans="1:4" x14ac:dyDescent="0.3">
      <c r="A43" s="162" t="s">
        <v>2312</v>
      </c>
      <c r="B43" s="153" t="s">
        <v>638</v>
      </c>
      <c r="C43" s="52"/>
      <c r="D43" s="69"/>
    </row>
    <row r="44" spans="1:4" x14ac:dyDescent="0.3">
      <c r="A44" s="162" t="s">
        <v>2313</v>
      </c>
      <c r="B44" s="153" t="s">
        <v>905</v>
      </c>
      <c r="C44" s="54">
        <f>SUM(C36:C43)</f>
        <v>0</v>
      </c>
      <c r="D44" s="69"/>
    </row>
    <row r="45" spans="1:4" x14ac:dyDescent="0.3">
      <c r="A45" s="162"/>
      <c r="B45" s="153"/>
      <c r="C45" s="18"/>
      <c r="D45" s="69"/>
    </row>
    <row r="46" spans="1:4" x14ac:dyDescent="0.3">
      <c r="A46" s="162"/>
      <c r="B46" s="153" t="s">
        <v>1267</v>
      </c>
      <c r="C46" s="18"/>
      <c r="D46" s="69"/>
    </row>
    <row r="47" spans="1:4" x14ac:dyDescent="0.3">
      <c r="A47" s="162"/>
      <c r="B47" s="153"/>
      <c r="C47" s="20"/>
      <c r="D47" s="69"/>
    </row>
    <row r="48" spans="1:4" x14ac:dyDescent="0.3">
      <c r="A48" s="162" t="s">
        <v>2314</v>
      </c>
      <c r="B48" s="153" t="s">
        <v>2103</v>
      </c>
      <c r="C48" s="68">
        <f>ROUND('ANEXO 11'!C50,0)</f>
        <v>0</v>
      </c>
      <c r="D48" s="69"/>
    </row>
    <row r="49" spans="1:4" x14ac:dyDescent="0.3">
      <c r="A49" s="162" t="s">
        <v>2315</v>
      </c>
      <c r="B49" s="153" t="s">
        <v>2114</v>
      </c>
      <c r="C49" s="193">
        <f>ROUND('ANEXO 11'!C56,0)</f>
        <v>0</v>
      </c>
      <c r="D49" s="69"/>
    </row>
    <row r="50" spans="1:4" ht="20.399999999999999" x14ac:dyDescent="0.3">
      <c r="A50" s="162" t="s">
        <v>2316</v>
      </c>
      <c r="B50" s="153" t="s">
        <v>2317</v>
      </c>
      <c r="C50" s="117"/>
      <c r="D50" s="69"/>
    </row>
    <row r="51" spans="1:4" ht="20.399999999999999" x14ac:dyDescent="0.3">
      <c r="A51" s="162" t="s">
        <v>2318</v>
      </c>
      <c r="B51" s="153" t="s">
        <v>2319</v>
      </c>
      <c r="C51" s="192">
        <f>ROUND('ANEXO 11'!C53,0)</f>
        <v>0</v>
      </c>
      <c r="D51" s="69"/>
    </row>
    <row r="52" spans="1:4" ht="20.399999999999999" x14ac:dyDescent="0.3">
      <c r="A52" s="162" t="s">
        <v>2320</v>
      </c>
      <c r="B52" s="153" t="s">
        <v>2321</v>
      </c>
      <c r="C52" s="192">
        <f>ROUND('ANEXO 11'!C52,0)</f>
        <v>0</v>
      </c>
      <c r="D52" s="69"/>
    </row>
    <row r="53" spans="1:4" ht="20.399999999999999" x14ac:dyDescent="0.3">
      <c r="A53" s="162" t="s">
        <v>2322</v>
      </c>
      <c r="B53" s="153" t="s">
        <v>5741</v>
      </c>
      <c r="C53" s="192">
        <f>ROUND('ANEXO 11'!C52,0)</f>
        <v>0</v>
      </c>
      <c r="D53" s="69"/>
    </row>
    <row r="54" spans="1:4" ht="20.399999999999999" x14ac:dyDescent="0.3">
      <c r="A54" s="162" t="s">
        <v>2323</v>
      </c>
      <c r="B54" s="153" t="s">
        <v>5742</v>
      </c>
      <c r="C54" s="117"/>
      <c r="D54" s="69"/>
    </row>
    <row r="55" spans="1:4" ht="20.399999999999999" x14ac:dyDescent="0.3">
      <c r="A55" s="162" t="s">
        <v>2324</v>
      </c>
      <c r="B55" s="153" t="s">
        <v>2325</v>
      </c>
      <c r="C55" s="117"/>
      <c r="D55" s="69"/>
    </row>
    <row r="56" spans="1:4" ht="30.6" x14ac:dyDescent="0.3">
      <c r="A56" s="162" t="s">
        <v>2326</v>
      </c>
      <c r="B56" s="153" t="s">
        <v>2327</v>
      </c>
      <c r="C56" s="117"/>
      <c r="D56" s="69"/>
    </row>
    <row r="57" spans="1:4" ht="20.399999999999999" x14ac:dyDescent="0.3">
      <c r="A57" s="162" t="s">
        <v>2328</v>
      </c>
      <c r="B57" s="153" t="s">
        <v>2329</v>
      </c>
      <c r="C57" s="192">
        <f>ROUND('ANEXO 5'!C14,0)</f>
        <v>0</v>
      </c>
      <c r="D57" s="69"/>
    </row>
    <row r="58" spans="1:4" ht="20.399999999999999" x14ac:dyDescent="0.3">
      <c r="A58" s="162" t="s">
        <v>2330</v>
      </c>
      <c r="B58" s="153" t="s">
        <v>2331</v>
      </c>
      <c r="C58" s="192">
        <f>ROUND('ANEXO 5'!C15,0)</f>
        <v>0</v>
      </c>
      <c r="D58" s="69"/>
    </row>
    <row r="59" spans="1:4" ht="51" x14ac:dyDescent="0.3">
      <c r="A59" s="162" t="s">
        <v>2332</v>
      </c>
      <c r="B59" s="153" t="s">
        <v>2333</v>
      </c>
      <c r="C59" s="117"/>
      <c r="D59" s="69"/>
    </row>
    <row r="60" spans="1:4" x14ac:dyDescent="0.3">
      <c r="A60" s="162" t="s">
        <v>2334</v>
      </c>
      <c r="B60" s="153" t="s">
        <v>638</v>
      </c>
      <c r="C60" s="52"/>
      <c r="D60" s="69"/>
    </row>
    <row r="61" spans="1:4" x14ac:dyDescent="0.3">
      <c r="A61" s="162" t="s">
        <v>2335</v>
      </c>
      <c r="B61" s="153" t="s">
        <v>905</v>
      </c>
      <c r="C61" s="54">
        <f>SUM(C48:C60)</f>
        <v>0</v>
      </c>
      <c r="D61" s="69"/>
    </row>
    <row r="62" spans="1:4" x14ac:dyDescent="0.3">
      <c r="A62" s="162"/>
      <c r="B62" s="153"/>
      <c r="C62" s="18"/>
      <c r="D62" s="69"/>
    </row>
    <row r="63" spans="1:4" x14ac:dyDescent="0.3">
      <c r="A63" s="162"/>
      <c r="B63" s="153" t="s">
        <v>890</v>
      </c>
      <c r="C63" s="18"/>
      <c r="D63" s="69"/>
    </row>
    <row r="64" spans="1:4" x14ac:dyDescent="0.3">
      <c r="A64" s="162"/>
      <c r="B64" s="153"/>
      <c r="C64" s="18"/>
      <c r="D64" s="69"/>
    </row>
    <row r="65" spans="1:4" x14ac:dyDescent="0.3">
      <c r="A65" s="162" t="s">
        <v>2336</v>
      </c>
      <c r="B65" s="153" t="s">
        <v>2337</v>
      </c>
      <c r="C65" s="193">
        <f>ROUND('ANEXO 11'!C122,0)</f>
        <v>0</v>
      </c>
      <c r="D65" s="69"/>
    </row>
    <row r="66" spans="1:4" x14ac:dyDescent="0.3">
      <c r="A66" s="162" t="s">
        <v>2338</v>
      </c>
      <c r="B66" s="153" t="s">
        <v>2339</v>
      </c>
      <c r="C66" s="193">
        <f>ROUND('ANEXO 5'!C30,0)</f>
        <v>0</v>
      </c>
      <c r="D66" s="69"/>
    </row>
    <row r="67" spans="1:4" x14ac:dyDescent="0.3">
      <c r="A67" s="162" t="s">
        <v>2340</v>
      </c>
      <c r="B67" s="153" t="s">
        <v>2341</v>
      </c>
      <c r="C67" s="193">
        <f>ROUND('ANEXO 5'!C31,0)</f>
        <v>0</v>
      </c>
      <c r="D67" s="69"/>
    </row>
    <row r="68" spans="1:4" ht="20.399999999999999" x14ac:dyDescent="0.3">
      <c r="A68" s="162" t="s">
        <v>2342</v>
      </c>
      <c r="B68" s="153" t="s">
        <v>2343</v>
      </c>
      <c r="C68" s="193">
        <f>ROUND('ANEXO 5'!C29,0)</f>
        <v>0</v>
      </c>
      <c r="D68" s="69"/>
    </row>
    <row r="69" spans="1:4" x14ac:dyDescent="0.3">
      <c r="A69" s="162" t="s">
        <v>2344</v>
      </c>
      <c r="B69" s="153" t="s">
        <v>2345</v>
      </c>
      <c r="C69" s="117"/>
      <c r="D69" s="69"/>
    </row>
    <row r="70" spans="1:4" ht="20.399999999999999" x14ac:dyDescent="0.3">
      <c r="A70" s="162" t="s">
        <v>2346</v>
      </c>
      <c r="B70" s="153" t="s">
        <v>2347</v>
      </c>
      <c r="C70" s="117"/>
      <c r="D70" s="69"/>
    </row>
    <row r="71" spans="1:4" ht="30.6" x14ac:dyDescent="0.3">
      <c r="A71" s="162" t="s">
        <v>2348</v>
      </c>
      <c r="B71" s="153" t="s">
        <v>2349</v>
      </c>
      <c r="C71" s="192">
        <f>'ANEXO 5'!C34</f>
        <v>0</v>
      </c>
      <c r="D71" s="69"/>
    </row>
    <row r="72" spans="1:4" x14ac:dyDescent="0.3">
      <c r="A72" s="162" t="s">
        <v>2350</v>
      </c>
      <c r="B72" s="153" t="s">
        <v>2296</v>
      </c>
      <c r="C72" s="117"/>
      <c r="D72" s="69"/>
    </row>
    <row r="73" spans="1:4" x14ac:dyDescent="0.3">
      <c r="A73" s="162" t="s">
        <v>2351</v>
      </c>
      <c r="B73" s="153" t="s">
        <v>638</v>
      </c>
      <c r="C73" s="52"/>
      <c r="D73" s="69"/>
    </row>
    <row r="74" spans="1:4" x14ac:dyDescent="0.3">
      <c r="A74" s="162" t="s">
        <v>2352</v>
      </c>
      <c r="B74" s="153" t="s">
        <v>905</v>
      </c>
      <c r="C74" s="54">
        <f>SUM(C65:C73)</f>
        <v>0</v>
      </c>
      <c r="D74" s="69"/>
    </row>
    <row r="75" spans="1:4" x14ac:dyDescent="0.3">
      <c r="A75" s="162"/>
      <c r="B75" s="153"/>
      <c r="C75" s="18"/>
      <c r="D75" s="69"/>
    </row>
    <row r="76" spans="1:4" ht="20.399999999999999" x14ac:dyDescent="0.3">
      <c r="A76" s="162" t="s">
        <v>2353</v>
      </c>
      <c r="B76" s="153" t="s">
        <v>2354</v>
      </c>
      <c r="C76" s="65">
        <f>C32-C44+C61-C74</f>
        <v>0</v>
      </c>
      <c r="D76" s="69"/>
    </row>
    <row r="77" spans="1:4" x14ac:dyDescent="0.3">
      <c r="A77" s="162"/>
      <c r="B77" s="153"/>
      <c r="C77" s="18"/>
      <c r="D77" s="69"/>
    </row>
    <row r="78" spans="1:4" x14ac:dyDescent="0.3">
      <c r="A78" s="162"/>
      <c r="B78" s="153" t="s">
        <v>1267</v>
      </c>
      <c r="C78" s="18"/>
      <c r="D78" s="69"/>
    </row>
    <row r="79" spans="1:4" x14ac:dyDescent="0.3">
      <c r="A79" s="162"/>
      <c r="B79" s="153"/>
      <c r="C79" s="18"/>
      <c r="D79" s="69"/>
    </row>
    <row r="80" spans="1:4" ht="20.399999999999999" x14ac:dyDescent="0.3">
      <c r="A80" s="162" t="s">
        <v>2355</v>
      </c>
      <c r="B80" s="153" t="s">
        <v>5448</v>
      </c>
      <c r="C80" s="116"/>
      <c r="D80" s="69"/>
    </row>
    <row r="81" spans="1:4" x14ac:dyDescent="0.3">
      <c r="A81" s="162" t="s">
        <v>2356</v>
      </c>
      <c r="B81" s="153" t="s">
        <v>2357</v>
      </c>
      <c r="C81" s="116"/>
      <c r="D81" s="69"/>
    </row>
    <row r="82" spans="1:4" x14ac:dyDescent="0.3">
      <c r="A82" s="162" t="s">
        <v>2358</v>
      </c>
      <c r="B82" s="153" t="s">
        <v>2359</v>
      </c>
      <c r="C82" s="116"/>
      <c r="D82" s="69"/>
    </row>
    <row r="83" spans="1:4" x14ac:dyDescent="0.3">
      <c r="A83" s="162" t="s">
        <v>2360</v>
      </c>
      <c r="B83" s="153" t="s">
        <v>638</v>
      </c>
      <c r="C83" s="52"/>
      <c r="D83" s="69"/>
    </row>
    <row r="84" spans="1:4" x14ac:dyDescent="0.3">
      <c r="A84" s="162" t="s">
        <v>2361</v>
      </c>
      <c r="B84" s="153" t="s">
        <v>905</v>
      </c>
      <c r="C84" s="54">
        <f>SUM(C80:C83)</f>
        <v>0</v>
      </c>
      <c r="D84" s="69"/>
    </row>
    <row r="85" spans="1:4" x14ac:dyDescent="0.3">
      <c r="A85" s="162"/>
      <c r="B85" s="153"/>
      <c r="C85" s="18"/>
      <c r="D85" s="69"/>
    </row>
    <row r="86" spans="1:4" x14ac:dyDescent="0.3">
      <c r="A86" s="162"/>
      <c r="B86" s="153" t="s">
        <v>890</v>
      </c>
      <c r="C86" s="18"/>
      <c r="D86" s="69"/>
    </row>
    <row r="87" spans="1:4" x14ac:dyDescent="0.3">
      <c r="A87" s="162"/>
      <c r="B87" s="153"/>
      <c r="C87" s="18"/>
      <c r="D87" s="69"/>
    </row>
    <row r="88" spans="1:4" x14ac:dyDescent="0.3">
      <c r="A88" s="162" t="s">
        <v>2362</v>
      </c>
      <c r="B88" s="153" t="s">
        <v>2103</v>
      </c>
      <c r="C88" s="117">
        <f>C48</f>
        <v>0</v>
      </c>
      <c r="D88" s="69"/>
    </row>
    <row r="89" spans="1:4" ht="20.399999999999999" x14ac:dyDescent="0.3">
      <c r="A89" s="162" t="s">
        <v>2363</v>
      </c>
      <c r="B89" s="153" t="s">
        <v>5741</v>
      </c>
      <c r="C89" s="117">
        <f>C53</f>
        <v>0</v>
      </c>
      <c r="D89" s="69"/>
    </row>
    <row r="90" spans="1:4" ht="20.399999999999999" x14ac:dyDescent="0.3">
      <c r="A90" s="162" t="s">
        <v>2364</v>
      </c>
      <c r="B90" s="153" t="s">
        <v>5742</v>
      </c>
      <c r="C90" s="117">
        <f>C54</f>
        <v>0</v>
      </c>
      <c r="D90" s="69"/>
    </row>
    <row r="91" spans="1:4" ht="20.399999999999999" x14ac:dyDescent="0.3">
      <c r="A91" s="162" t="s">
        <v>2365</v>
      </c>
      <c r="B91" s="153" t="s">
        <v>2325</v>
      </c>
      <c r="C91" s="117">
        <f>C55</f>
        <v>0</v>
      </c>
      <c r="D91" s="69"/>
    </row>
    <row r="92" spans="1:4" ht="30.6" x14ac:dyDescent="0.3">
      <c r="A92" s="162" t="s">
        <v>2366</v>
      </c>
      <c r="B92" s="153" t="s">
        <v>2327</v>
      </c>
      <c r="C92" s="117">
        <f>C56</f>
        <v>0</v>
      </c>
      <c r="D92" s="69"/>
    </row>
    <row r="93" spans="1:4" x14ac:dyDescent="0.3">
      <c r="A93" s="162" t="s">
        <v>2367</v>
      </c>
      <c r="B93" s="153" t="s">
        <v>2368</v>
      </c>
      <c r="C93" s="117"/>
      <c r="D93" s="69"/>
    </row>
    <row r="94" spans="1:4" x14ac:dyDescent="0.3">
      <c r="A94" s="162" t="s">
        <v>2369</v>
      </c>
      <c r="B94" s="153" t="s">
        <v>2370</v>
      </c>
      <c r="C94" s="117"/>
      <c r="D94" s="69"/>
    </row>
    <row r="95" spans="1:4" x14ac:dyDescent="0.3">
      <c r="A95" s="162" t="s">
        <v>2371</v>
      </c>
      <c r="B95" s="153" t="s">
        <v>928</v>
      </c>
      <c r="C95" s="117">
        <f>C11</f>
        <v>0</v>
      </c>
      <c r="D95" s="69"/>
    </row>
    <row r="96" spans="1:4" ht="20.399999999999999" x14ac:dyDescent="0.3">
      <c r="A96" s="162" t="s">
        <v>2372</v>
      </c>
      <c r="B96" s="153" t="s">
        <v>2373</v>
      </c>
      <c r="C96" s="117"/>
      <c r="D96" s="69"/>
    </row>
    <row r="97" spans="1:4" ht="20.399999999999999" x14ac:dyDescent="0.3">
      <c r="A97" s="162" t="s">
        <v>2374</v>
      </c>
      <c r="B97" s="153" t="s">
        <v>2317</v>
      </c>
      <c r="C97" s="192">
        <f>'ANEXO 5'!C35</f>
        <v>0</v>
      </c>
      <c r="D97" s="69"/>
    </row>
    <row r="98" spans="1:4" ht="20.399999999999999" x14ac:dyDescent="0.3">
      <c r="A98" s="162" t="s">
        <v>2375</v>
      </c>
      <c r="B98" s="153" t="s">
        <v>2376</v>
      </c>
      <c r="C98" s="117"/>
      <c r="D98" s="69"/>
    </row>
    <row r="99" spans="1:4" x14ac:dyDescent="0.3">
      <c r="A99" s="162" t="s">
        <v>2377</v>
      </c>
      <c r="B99" s="153" t="s">
        <v>638</v>
      </c>
      <c r="C99" s="52"/>
      <c r="D99" s="69"/>
    </row>
    <row r="100" spans="1:4" x14ac:dyDescent="0.3">
      <c r="A100" s="162" t="s">
        <v>2378</v>
      </c>
      <c r="B100" s="153" t="s">
        <v>905</v>
      </c>
      <c r="C100" s="54">
        <f>SUM(C88:C99)</f>
        <v>0</v>
      </c>
      <c r="D100" s="69"/>
    </row>
    <row r="101" spans="1:4" x14ac:dyDescent="0.3">
      <c r="A101" s="162"/>
      <c r="B101" s="153"/>
      <c r="C101" s="18"/>
      <c r="D101" s="69"/>
    </row>
    <row r="102" spans="1:4" ht="20.399999999999999" x14ac:dyDescent="0.3">
      <c r="A102" s="162" t="s">
        <v>2379</v>
      </c>
      <c r="B102" s="153" t="s">
        <v>2380</v>
      </c>
      <c r="C102" s="65">
        <f>C76+C84-C100</f>
        <v>0</v>
      </c>
      <c r="D102" s="69"/>
    </row>
    <row r="103" spans="1:4" x14ac:dyDescent="0.3">
      <c r="A103" s="163"/>
      <c r="B103" s="160"/>
      <c r="C103" s="18"/>
      <c r="D103" s="69"/>
    </row>
    <row r="104" spans="1:4" ht="8.1" customHeight="1" x14ac:dyDescent="0.3">
      <c r="A104" s="70" t="s">
        <v>0</v>
      </c>
      <c r="B104" s="152"/>
      <c r="C104" s="70"/>
      <c r="D104"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346"/>
  <sheetViews>
    <sheetView workbookViewId="0"/>
  </sheetViews>
  <sheetFormatPr defaultColWidth="11.5546875" defaultRowHeight="14.4" x14ac:dyDescent="0.3"/>
  <cols>
    <col min="1" max="1" width="14.33203125" style="107" customWidth="1"/>
    <col min="2" max="2" width="35.6640625" style="107" customWidth="1"/>
    <col min="3" max="8" width="18.6640625" style="107" customWidth="1"/>
    <col min="9" max="9" width="1.6640625" style="107" customWidth="1"/>
    <col min="10" max="16384" width="11.5546875" style="107"/>
  </cols>
  <sheetData>
    <row r="1" spans="1:9" ht="31.8" x14ac:dyDescent="0.3">
      <c r="A1" s="42" t="s">
        <v>0</v>
      </c>
      <c r="B1" s="41" t="s">
        <v>5615</v>
      </c>
      <c r="C1" s="42"/>
      <c r="D1" s="42"/>
      <c r="E1" s="42" t="s">
        <v>0</v>
      </c>
      <c r="F1" s="42" t="s">
        <v>0</v>
      </c>
      <c r="G1" s="42" t="s">
        <v>0</v>
      </c>
      <c r="H1" s="42" t="s">
        <v>0</v>
      </c>
      <c r="I1" s="69"/>
    </row>
    <row r="2" spans="1:9" ht="51" x14ac:dyDescent="0.3">
      <c r="A2" s="121" t="s">
        <v>5597</v>
      </c>
      <c r="B2" s="121" t="s">
        <v>5598</v>
      </c>
      <c r="C2" s="45" t="s">
        <v>1571</v>
      </c>
      <c r="D2" s="45" t="s">
        <v>1572</v>
      </c>
      <c r="E2" s="45" t="s">
        <v>1573</v>
      </c>
      <c r="F2" s="45" t="s">
        <v>1574</v>
      </c>
      <c r="G2" s="43" t="s">
        <v>1575</v>
      </c>
      <c r="H2" s="45" t="s">
        <v>1576</v>
      </c>
      <c r="I2" s="69"/>
    </row>
    <row r="3" spans="1:9" x14ac:dyDescent="0.3">
      <c r="A3" s="163"/>
      <c r="B3" s="46" t="s">
        <v>0</v>
      </c>
      <c r="C3" s="47"/>
      <c r="D3" s="47"/>
      <c r="E3" s="47"/>
      <c r="F3" s="47"/>
      <c r="G3" s="47"/>
      <c r="H3" s="47"/>
      <c r="I3" s="69"/>
    </row>
    <row r="4" spans="1:9" x14ac:dyDescent="0.3">
      <c r="A4" s="163"/>
      <c r="B4" s="133" t="s">
        <v>5626</v>
      </c>
      <c r="C4" s="47"/>
      <c r="D4" s="47"/>
      <c r="E4" s="47"/>
      <c r="F4" s="47"/>
      <c r="G4" s="47"/>
      <c r="H4" s="47"/>
      <c r="I4" s="69"/>
    </row>
    <row r="5" spans="1:9" x14ac:dyDescent="0.3">
      <c r="A5" s="163"/>
      <c r="B5" s="48" t="s">
        <v>0</v>
      </c>
      <c r="C5" s="47"/>
      <c r="D5" s="47"/>
      <c r="E5" s="47"/>
      <c r="F5" s="47"/>
      <c r="G5" s="47"/>
      <c r="H5" s="47"/>
      <c r="I5" s="69"/>
    </row>
    <row r="6" spans="1:9" ht="20.399999999999999" x14ac:dyDescent="0.3">
      <c r="A6" s="163"/>
      <c r="B6" s="134" t="s">
        <v>5638</v>
      </c>
      <c r="C6" s="47"/>
      <c r="D6" s="47"/>
      <c r="E6" s="47"/>
      <c r="F6" s="47"/>
      <c r="G6" s="47"/>
      <c r="H6" s="47"/>
      <c r="I6" s="69"/>
    </row>
    <row r="7" spans="1:9" x14ac:dyDescent="0.3">
      <c r="A7" s="163"/>
      <c r="B7" s="130" t="s">
        <v>0</v>
      </c>
      <c r="C7" s="47"/>
      <c r="D7" s="47"/>
      <c r="E7" s="47"/>
      <c r="F7" s="47"/>
      <c r="G7" s="47"/>
      <c r="H7" s="47"/>
      <c r="I7" s="69"/>
    </row>
    <row r="8" spans="1:9" x14ac:dyDescent="0.3">
      <c r="A8" s="163"/>
      <c r="B8" s="135" t="s">
        <v>320</v>
      </c>
      <c r="C8" s="47"/>
      <c r="D8" s="47"/>
      <c r="E8" s="47"/>
      <c r="F8" s="47"/>
      <c r="G8" s="47"/>
      <c r="H8" s="47"/>
      <c r="I8" s="69"/>
    </row>
    <row r="9" spans="1:9" x14ac:dyDescent="0.3">
      <c r="A9" s="163"/>
      <c r="B9" s="160"/>
      <c r="C9" s="47"/>
      <c r="D9" s="47"/>
      <c r="E9" s="47"/>
      <c r="F9" s="47"/>
      <c r="G9" s="47"/>
      <c r="H9" s="47"/>
      <c r="I9" s="69"/>
    </row>
    <row r="10" spans="1:9" x14ac:dyDescent="0.3">
      <c r="A10" s="162" t="s">
        <v>1577</v>
      </c>
      <c r="B10" s="153" t="s">
        <v>775</v>
      </c>
      <c r="C10" s="65">
        <f>'ANEXO 11'!C46</f>
        <v>0</v>
      </c>
      <c r="D10" s="194">
        <f>IF(C10=0,0,IF(Contribuyente!B_A_PERSONA_PER_CURP&lt;&gt;"",0,30))</f>
        <v>0</v>
      </c>
      <c r="E10" s="116">
        <f>ROUND(C10 * D10/100,0)</f>
        <v>0</v>
      </c>
      <c r="F10" s="116">
        <f>E10</f>
        <v>0</v>
      </c>
      <c r="G10" s="116">
        <f>ROUND(E10-F10,0)</f>
        <v>0</v>
      </c>
      <c r="H10" s="116"/>
      <c r="I10" s="69"/>
    </row>
    <row r="11" spans="1:9" x14ac:dyDescent="0.3">
      <c r="A11" s="162" t="s">
        <v>1578</v>
      </c>
      <c r="B11" s="153" t="s">
        <v>1579</v>
      </c>
      <c r="C11" s="52"/>
      <c r="D11" s="64"/>
      <c r="E11" s="52"/>
      <c r="F11" s="52"/>
      <c r="G11" s="52"/>
      <c r="H11" s="52"/>
      <c r="I11" s="69"/>
    </row>
    <row r="12" spans="1:9" x14ac:dyDescent="0.3">
      <c r="A12" s="162" t="s">
        <v>1580</v>
      </c>
      <c r="B12" s="153" t="s">
        <v>1581</v>
      </c>
      <c r="C12" s="116"/>
      <c r="D12" s="109"/>
      <c r="E12" s="116">
        <f>ROUND(E10-E11,0)</f>
        <v>0</v>
      </c>
      <c r="F12" s="116">
        <f>ROUND(F10-F11,0)</f>
        <v>0</v>
      </c>
      <c r="G12" s="116">
        <f>ROUND(G10-G11,0)</f>
        <v>0</v>
      </c>
      <c r="H12" s="116"/>
      <c r="I12" s="69"/>
    </row>
    <row r="13" spans="1:9" x14ac:dyDescent="0.3">
      <c r="A13" s="162"/>
      <c r="B13" s="153"/>
      <c r="C13" s="18"/>
      <c r="D13" s="18"/>
      <c r="E13" s="18"/>
      <c r="F13" s="18"/>
      <c r="G13" s="18"/>
      <c r="H13" s="18"/>
      <c r="I13" s="69"/>
    </row>
    <row r="14" spans="1:9" ht="51" x14ac:dyDescent="0.3">
      <c r="A14" s="162" t="s">
        <v>1582</v>
      </c>
      <c r="B14" s="153" t="s">
        <v>5449</v>
      </c>
      <c r="C14" s="116"/>
      <c r="D14" s="109"/>
      <c r="E14" s="116"/>
      <c r="F14" s="116"/>
      <c r="G14" s="116">
        <f t="shared" ref="G14:G19" si="0">ROUND(E14-F14,0)</f>
        <v>0</v>
      </c>
      <c r="H14" s="116"/>
      <c r="I14" s="69"/>
    </row>
    <row r="15" spans="1:9" ht="51" x14ac:dyDescent="0.3">
      <c r="A15" s="162" t="s">
        <v>1583</v>
      </c>
      <c r="B15" s="153" t="s">
        <v>5450</v>
      </c>
      <c r="C15" s="116"/>
      <c r="D15" s="109"/>
      <c r="E15" s="116"/>
      <c r="F15" s="116"/>
      <c r="G15" s="116">
        <f t="shared" si="0"/>
        <v>0</v>
      </c>
      <c r="H15" s="116"/>
      <c r="I15" s="69"/>
    </row>
    <row r="16" spans="1:9" ht="20.399999999999999" x14ac:dyDescent="0.3">
      <c r="A16" s="162" t="s">
        <v>1584</v>
      </c>
      <c r="B16" s="153" t="s">
        <v>1585</v>
      </c>
      <c r="C16" s="116"/>
      <c r="D16" s="109"/>
      <c r="E16" s="116"/>
      <c r="F16" s="116"/>
      <c r="G16" s="116">
        <f t="shared" si="0"/>
        <v>0</v>
      </c>
      <c r="H16" s="116"/>
      <c r="I16" s="69"/>
    </row>
    <row r="17" spans="1:9" ht="40.799999999999997" x14ac:dyDescent="0.3">
      <c r="A17" s="162" t="s">
        <v>1586</v>
      </c>
      <c r="B17" s="153" t="s">
        <v>5451</v>
      </c>
      <c r="C17" s="116"/>
      <c r="D17" s="109"/>
      <c r="E17" s="116"/>
      <c r="F17" s="116"/>
      <c r="G17" s="116">
        <f t="shared" si="0"/>
        <v>0</v>
      </c>
      <c r="H17" s="116"/>
      <c r="I17" s="69"/>
    </row>
    <row r="18" spans="1:9" ht="20.399999999999999" x14ac:dyDescent="0.3">
      <c r="A18" s="162" t="s">
        <v>1587</v>
      </c>
      <c r="B18" s="153" t="s">
        <v>5452</v>
      </c>
      <c r="C18" s="116"/>
      <c r="D18" s="109"/>
      <c r="E18" s="116"/>
      <c r="F18" s="116"/>
      <c r="G18" s="116">
        <f t="shared" si="0"/>
        <v>0</v>
      </c>
      <c r="H18" s="116"/>
      <c r="I18" s="69"/>
    </row>
    <row r="19" spans="1:9" ht="40.799999999999997" x14ac:dyDescent="0.3">
      <c r="A19" s="162" t="s">
        <v>1588</v>
      </c>
      <c r="B19" s="153" t="s">
        <v>5453</v>
      </c>
      <c r="C19" s="185"/>
      <c r="D19" s="160">
        <f>IF(C19&gt;0,30,0)</f>
        <v>0</v>
      </c>
      <c r="E19" s="185">
        <f>IF(ROUND((C19-(C20+C21+C22)/3)*D19/100,0)&lt;0,0,ROUND((C19-(C20+C21+C22)/3)*D19/100,0))</f>
        <v>0</v>
      </c>
      <c r="F19" s="185"/>
      <c r="G19" s="185">
        <f t="shared" si="0"/>
        <v>0</v>
      </c>
      <c r="H19" s="185"/>
      <c r="I19" s="149"/>
    </row>
    <row r="20" spans="1:9" ht="40.799999999999997" x14ac:dyDescent="0.3">
      <c r="A20" s="162" t="s">
        <v>1590</v>
      </c>
      <c r="B20" s="153" t="s">
        <v>5454</v>
      </c>
      <c r="C20" s="185"/>
      <c r="D20" s="160"/>
      <c r="E20" s="185"/>
      <c r="F20" s="185"/>
      <c r="G20" s="185"/>
      <c r="H20" s="185"/>
      <c r="I20" s="149"/>
    </row>
    <row r="21" spans="1:9" ht="40.799999999999997" x14ac:dyDescent="0.3">
      <c r="A21" s="162" t="s">
        <v>1592</v>
      </c>
      <c r="B21" s="153" t="s">
        <v>5455</v>
      </c>
      <c r="C21" s="185"/>
      <c r="D21" s="160"/>
      <c r="E21" s="185"/>
      <c r="F21" s="185"/>
      <c r="G21" s="185"/>
      <c r="H21" s="185"/>
      <c r="I21" s="149"/>
    </row>
    <row r="22" spans="1:9" ht="40.799999999999997" x14ac:dyDescent="0.3">
      <c r="A22" s="162" t="s">
        <v>1594</v>
      </c>
      <c r="B22" s="153" t="s">
        <v>5456</v>
      </c>
      <c r="C22" s="185"/>
      <c r="D22" s="160"/>
      <c r="E22" s="185"/>
      <c r="F22" s="185"/>
      <c r="G22" s="185"/>
      <c r="H22" s="185"/>
      <c r="I22" s="149"/>
    </row>
    <row r="23" spans="1:9" ht="30.6" x14ac:dyDescent="0.3">
      <c r="A23" s="162" t="s">
        <v>1596</v>
      </c>
      <c r="B23" s="153" t="s">
        <v>5457</v>
      </c>
      <c r="C23" s="185"/>
      <c r="D23" s="160"/>
      <c r="E23" s="185"/>
      <c r="F23" s="185"/>
      <c r="G23" s="185"/>
      <c r="H23" s="185"/>
      <c r="I23" s="149"/>
    </row>
    <row r="24" spans="1:9" ht="30.6" x14ac:dyDescent="0.3">
      <c r="A24" s="162" t="s">
        <v>1598</v>
      </c>
      <c r="B24" s="153" t="s">
        <v>5458</v>
      </c>
      <c r="C24" s="185"/>
      <c r="D24" s="160"/>
      <c r="E24" s="185"/>
      <c r="F24" s="185"/>
      <c r="G24" s="185">
        <f>ROUND(E24-F24,0)</f>
        <v>0</v>
      </c>
      <c r="H24" s="185"/>
      <c r="I24" s="149"/>
    </row>
    <row r="25" spans="1:9" ht="30.6" x14ac:dyDescent="0.3">
      <c r="A25" s="162" t="s">
        <v>1600</v>
      </c>
      <c r="B25" s="153" t="s">
        <v>5459</v>
      </c>
      <c r="C25" s="185"/>
      <c r="D25" s="160"/>
      <c r="E25" s="185"/>
      <c r="F25" s="185"/>
      <c r="G25" s="185"/>
      <c r="H25" s="185"/>
      <c r="I25" s="149"/>
    </row>
    <row r="26" spans="1:9" ht="20.399999999999999" x14ac:dyDescent="0.3">
      <c r="A26" s="162" t="s">
        <v>1602</v>
      </c>
      <c r="B26" s="153" t="s">
        <v>5460</v>
      </c>
      <c r="C26" s="185"/>
      <c r="D26" s="160"/>
      <c r="E26" s="185"/>
      <c r="F26" s="185"/>
      <c r="G26" s="185"/>
      <c r="H26" s="185"/>
      <c r="I26" s="149"/>
    </row>
    <row r="27" spans="1:9" ht="30.6" x14ac:dyDescent="0.3">
      <c r="A27" s="162" t="s">
        <v>1604</v>
      </c>
      <c r="B27" s="153" t="s">
        <v>5461</v>
      </c>
      <c r="C27" s="185"/>
      <c r="D27" s="160"/>
      <c r="E27" s="185"/>
      <c r="F27" s="185"/>
      <c r="G27" s="185"/>
      <c r="H27" s="185"/>
      <c r="I27" s="149"/>
    </row>
    <row r="28" spans="1:9" ht="20.399999999999999" x14ac:dyDescent="0.3">
      <c r="A28" s="162" t="s">
        <v>1606</v>
      </c>
      <c r="B28" s="153" t="s">
        <v>5462</v>
      </c>
      <c r="C28" s="185"/>
      <c r="D28" s="160"/>
      <c r="E28" s="185"/>
      <c r="F28" s="185"/>
      <c r="G28" s="185">
        <f>ROUND(E28-F28,0)</f>
        <v>0</v>
      </c>
      <c r="H28" s="185"/>
      <c r="I28" s="149"/>
    </row>
    <row r="29" spans="1:9" x14ac:dyDescent="0.3">
      <c r="A29" s="162" t="s">
        <v>1608</v>
      </c>
      <c r="B29" s="153" t="s">
        <v>1589</v>
      </c>
      <c r="C29" s="52"/>
      <c r="D29" s="64"/>
      <c r="E29" s="52"/>
      <c r="F29" s="52"/>
      <c r="G29" s="52"/>
      <c r="H29" s="52"/>
      <c r="I29" s="69"/>
    </row>
    <row r="30" spans="1:9" x14ac:dyDescent="0.3">
      <c r="A30" s="162" t="s">
        <v>1610</v>
      </c>
      <c r="B30" s="153" t="s">
        <v>1591</v>
      </c>
      <c r="C30" s="116"/>
      <c r="D30" s="109"/>
      <c r="E30" s="116">
        <f>ROUND((E14+E15+E16+E17+E18+E19+E24+E28+E29),0)</f>
        <v>0</v>
      </c>
      <c r="F30" s="116">
        <f>ROUND((F14+F15+F16+F17+F18+F19+F24+F28+F29),0)</f>
        <v>0</v>
      </c>
      <c r="G30" s="116">
        <f>ROUND(E30-F30,0)</f>
        <v>0</v>
      </c>
      <c r="H30" s="116"/>
      <c r="I30" s="69"/>
    </row>
    <row r="31" spans="1:9" x14ac:dyDescent="0.3">
      <c r="A31" s="162"/>
      <c r="B31" s="153"/>
      <c r="C31" s="20"/>
      <c r="D31" s="20"/>
      <c r="E31" s="20"/>
      <c r="F31" s="20"/>
      <c r="G31" s="20"/>
      <c r="H31" s="20"/>
      <c r="I31" s="69"/>
    </row>
    <row r="32" spans="1:9" ht="20.399999999999999" x14ac:dyDescent="0.3">
      <c r="A32" s="162" t="s">
        <v>1612</v>
      </c>
      <c r="B32" s="153" t="s">
        <v>1593</v>
      </c>
      <c r="C32" s="117"/>
      <c r="D32" s="81"/>
      <c r="E32" s="117"/>
      <c r="F32" s="117"/>
      <c r="G32" s="117">
        <f>ROUND(E32-F32,0)</f>
        <v>0</v>
      </c>
      <c r="H32" s="117"/>
      <c r="I32" s="69"/>
    </row>
    <row r="33" spans="1:9" x14ac:dyDescent="0.3">
      <c r="A33" s="162"/>
      <c r="B33" s="153"/>
      <c r="C33" s="20"/>
      <c r="D33" s="20"/>
      <c r="E33" s="20"/>
      <c r="F33" s="20"/>
      <c r="G33" s="20"/>
      <c r="H33" s="20"/>
      <c r="I33" s="69"/>
    </row>
    <row r="34" spans="1:9" x14ac:dyDescent="0.3">
      <c r="A34" s="162" t="s">
        <v>1614</v>
      </c>
      <c r="B34" s="153" t="s">
        <v>1595</v>
      </c>
      <c r="C34" s="117"/>
      <c r="D34" s="81"/>
      <c r="E34" s="117"/>
      <c r="F34" s="117"/>
      <c r="G34" s="117">
        <f>ROUND(E34-F34,0)</f>
        <v>0</v>
      </c>
      <c r="H34" s="117"/>
      <c r="I34" s="69"/>
    </row>
    <row r="35" spans="1:9" ht="20.399999999999999" x14ac:dyDescent="0.3">
      <c r="A35" s="162" t="s">
        <v>1616</v>
      </c>
      <c r="B35" s="153" t="s">
        <v>1597</v>
      </c>
      <c r="C35" s="117"/>
      <c r="D35" s="81"/>
      <c r="E35" s="117"/>
      <c r="F35" s="117"/>
      <c r="G35" s="117">
        <f>ROUND(E35-F35,0)</f>
        <v>0</v>
      </c>
      <c r="H35" s="117"/>
      <c r="I35" s="69"/>
    </row>
    <row r="36" spans="1:9" ht="20.399999999999999" x14ac:dyDescent="0.3">
      <c r="A36" s="162" t="s">
        <v>1619</v>
      </c>
      <c r="B36" s="153" t="s">
        <v>1599</v>
      </c>
      <c r="C36" s="117"/>
      <c r="D36" s="81"/>
      <c r="E36" s="117"/>
      <c r="F36" s="117"/>
      <c r="G36" s="117">
        <f>ROUND(E36-F36,0)</f>
        <v>0</v>
      </c>
      <c r="H36" s="117"/>
      <c r="I36" s="69"/>
    </row>
    <row r="37" spans="1:9" x14ac:dyDescent="0.3">
      <c r="A37" s="162"/>
      <c r="B37" s="153"/>
      <c r="C37" s="20"/>
      <c r="D37" s="20"/>
      <c r="E37" s="20"/>
      <c r="F37" s="20"/>
      <c r="G37" s="20"/>
      <c r="H37" s="20"/>
      <c r="I37" s="69"/>
    </row>
    <row r="38" spans="1:9" x14ac:dyDescent="0.3">
      <c r="A38" s="162" t="s">
        <v>1620</v>
      </c>
      <c r="B38" s="153" t="s">
        <v>1601</v>
      </c>
      <c r="C38" s="52"/>
      <c r="D38" s="64"/>
      <c r="E38" s="52"/>
      <c r="F38" s="52"/>
      <c r="G38" s="52"/>
      <c r="H38" s="52"/>
      <c r="I38" s="69"/>
    </row>
    <row r="39" spans="1:9" x14ac:dyDescent="0.3">
      <c r="A39" s="162" t="s">
        <v>1622</v>
      </c>
      <c r="B39" s="153" t="s">
        <v>1603</v>
      </c>
      <c r="C39" s="52"/>
      <c r="D39" s="64"/>
      <c r="E39" s="52"/>
      <c r="F39" s="52"/>
      <c r="G39" s="52"/>
      <c r="H39" s="52"/>
      <c r="I39" s="69"/>
    </row>
    <row r="40" spans="1:9" x14ac:dyDescent="0.3">
      <c r="A40" s="162" t="s">
        <v>1625</v>
      </c>
      <c r="B40" s="153" t="s">
        <v>1605</v>
      </c>
      <c r="C40" s="72"/>
      <c r="D40" s="82"/>
      <c r="E40" s="72">
        <f>ROUND(IF(E12-E30-SUM(E32:E36)+E38-E39&gt;0,E12-E30-SUM(E32:E36)+E38-E39,0),0)</f>
        <v>0</v>
      </c>
      <c r="F40" s="72">
        <f>ROUND(IF(F12-F30-SUM(F32:F36)+F38-F39&gt;0,F12-F30-SUM(F32:F36)+F38-F39,0),0)</f>
        <v>0</v>
      </c>
      <c r="G40" s="72">
        <f>ROUND(E40-F40,0)</f>
        <v>0</v>
      </c>
      <c r="H40" s="72"/>
      <c r="I40" s="69"/>
    </row>
    <row r="41" spans="1:9" x14ac:dyDescent="0.3">
      <c r="A41" s="162" t="s">
        <v>1628</v>
      </c>
      <c r="B41" s="153" t="s">
        <v>1607</v>
      </c>
      <c r="C41" s="72"/>
      <c r="D41" s="82"/>
      <c r="E41" s="72">
        <f>ROUND(IF(E12-E30-SUM(E32:E36)+E38-E39&lt;0,(E12-E30-SUM(E32:E36)+E38-E39)*-1,0),0)</f>
        <v>0</v>
      </c>
      <c r="F41" s="72">
        <f>ROUND(IF(F12-F30-SUM(F32:F36)+F38-F39&lt;0,(F12-F30-SUM(F32:F36)+F38-F39)*-1,0),0)</f>
        <v>0</v>
      </c>
      <c r="G41" s="72">
        <f>ROUND(E41-F41,0)</f>
        <v>0</v>
      </c>
      <c r="H41" s="72"/>
      <c r="I41" s="69"/>
    </row>
    <row r="42" spans="1:9" x14ac:dyDescent="0.3">
      <c r="A42" s="162"/>
      <c r="B42" s="153"/>
      <c r="C42" s="18"/>
      <c r="D42" s="18"/>
      <c r="E42" s="18"/>
      <c r="F42" s="18"/>
      <c r="G42" s="18"/>
      <c r="H42" s="18"/>
      <c r="I42" s="69"/>
    </row>
    <row r="43" spans="1:9" ht="20.399999999999999" x14ac:dyDescent="0.3">
      <c r="A43" s="162" t="s">
        <v>1630</v>
      </c>
      <c r="B43" s="153" t="s">
        <v>1609</v>
      </c>
      <c r="C43" s="116"/>
      <c r="D43" s="109"/>
      <c r="E43" s="116">
        <f>ROUND(IF(E40-E41&gt;0,E40-E41,0),0)</f>
        <v>0</v>
      </c>
      <c r="F43" s="116">
        <f>ROUND(IF(F40-F41&gt;0,F40-F41,0),0)</f>
        <v>0</v>
      </c>
      <c r="G43" s="116">
        <f>ROUND(IF(G40-G41&gt;0,G40-G41,0),0)</f>
        <v>0</v>
      </c>
      <c r="H43" s="116"/>
      <c r="I43" s="69"/>
    </row>
    <row r="44" spans="1:9" ht="30.6" x14ac:dyDescent="0.3">
      <c r="A44" s="162" t="s">
        <v>1632</v>
      </c>
      <c r="B44" s="153" t="s">
        <v>1611</v>
      </c>
      <c r="C44" s="116"/>
      <c r="D44" s="109"/>
      <c r="E44" s="193">
        <f>'ANEXO 10'!C9+'ANEXO 10'!C10</f>
        <v>0</v>
      </c>
      <c r="F44" s="116">
        <f>E44</f>
        <v>0</v>
      </c>
      <c r="G44" s="116">
        <f>ROUND(E44-F44,0)</f>
        <v>0</v>
      </c>
      <c r="H44" s="116"/>
      <c r="I44" s="69"/>
    </row>
    <row r="45" spans="1:9" x14ac:dyDescent="0.3">
      <c r="A45" s="162"/>
      <c r="B45" s="153"/>
      <c r="C45" s="18"/>
      <c r="D45" s="18"/>
      <c r="E45" s="18"/>
      <c r="F45" s="18"/>
      <c r="G45" s="18"/>
      <c r="H45" s="18"/>
      <c r="I45" s="69"/>
    </row>
    <row r="46" spans="1:9" x14ac:dyDescent="0.3">
      <c r="A46" s="162" t="s">
        <v>1634</v>
      </c>
      <c r="B46" s="153" t="s">
        <v>1613</v>
      </c>
      <c r="C46" s="116"/>
      <c r="D46" s="109"/>
      <c r="E46" s="116">
        <f>IF(E43&gt;E44,E43-E44,0)</f>
        <v>0</v>
      </c>
      <c r="F46" s="116">
        <f>IF(F43&gt;F44,F43-F44,0)</f>
        <v>0</v>
      </c>
      <c r="G46" s="116">
        <f>ROUND(E46-F46,0)</f>
        <v>0</v>
      </c>
      <c r="H46" s="116"/>
      <c r="I46" s="69"/>
    </row>
    <row r="47" spans="1:9" ht="20.399999999999999" x14ac:dyDescent="0.3">
      <c r="A47" s="162" t="s">
        <v>1636</v>
      </c>
      <c r="B47" s="153" t="s">
        <v>1615</v>
      </c>
      <c r="C47" s="116"/>
      <c r="D47" s="109"/>
      <c r="E47" s="116"/>
      <c r="F47" s="116"/>
      <c r="G47" s="116">
        <f>ROUND(E47-F47,0)</f>
        <v>0</v>
      </c>
      <c r="H47" s="116"/>
      <c r="I47" s="69"/>
    </row>
    <row r="48" spans="1:9" x14ac:dyDescent="0.3">
      <c r="A48" s="162" t="s">
        <v>1638</v>
      </c>
      <c r="B48" s="153" t="s">
        <v>1617</v>
      </c>
      <c r="C48" s="116"/>
      <c r="D48" s="109"/>
      <c r="E48" s="116">
        <f>IF(E40-E41-E44+E47&lt;0,(E40-E41-E44+E47)*-1,0)</f>
        <v>0</v>
      </c>
      <c r="F48" s="116">
        <f>IF(F40-F41-F44+F47&lt;0,(F40-F41-F44+F47)*-1,0)</f>
        <v>0</v>
      </c>
      <c r="G48" s="116">
        <f>IF(G40-G41-G44+G47&lt;0,(G40-G41-G44+G47)*-1,0)</f>
        <v>0</v>
      </c>
      <c r="H48" s="116"/>
      <c r="I48" s="69"/>
    </row>
    <row r="49" spans="1:9" x14ac:dyDescent="0.3">
      <c r="A49" s="162"/>
      <c r="B49" s="153"/>
      <c r="C49" s="18"/>
      <c r="D49" s="18"/>
      <c r="E49" s="18"/>
      <c r="F49" s="18"/>
      <c r="G49" s="18"/>
      <c r="H49" s="18"/>
      <c r="I49" s="69"/>
    </row>
    <row r="50" spans="1:9" x14ac:dyDescent="0.3">
      <c r="A50" s="162"/>
      <c r="B50" s="153" t="s">
        <v>1618</v>
      </c>
      <c r="C50" s="18"/>
      <c r="D50" s="18"/>
      <c r="E50" s="18"/>
      <c r="F50" s="18"/>
      <c r="G50" s="18"/>
      <c r="H50" s="18"/>
      <c r="I50" s="69"/>
    </row>
    <row r="51" spans="1:9" x14ac:dyDescent="0.3">
      <c r="A51" s="162"/>
      <c r="B51" s="153"/>
      <c r="C51" s="18"/>
      <c r="D51" s="18"/>
      <c r="E51" s="18"/>
      <c r="F51" s="18"/>
      <c r="G51" s="18"/>
      <c r="H51" s="18"/>
      <c r="I51" s="69"/>
    </row>
    <row r="52" spans="1:9" ht="30.6" x14ac:dyDescent="0.3">
      <c r="A52" s="162" t="s">
        <v>1640</v>
      </c>
      <c r="B52" s="153" t="s">
        <v>5463</v>
      </c>
      <c r="C52" s="117"/>
      <c r="D52" s="81"/>
      <c r="E52" s="117">
        <f>ROUND(C52*D52/100,0)</f>
        <v>0</v>
      </c>
      <c r="F52" s="117"/>
      <c r="G52" s="117">
        <f>ROUND(E52-F52,0)</f>
        <v>0</v>
      </c>
      <c r="H52" s="117"/>
      <c r="I52" s="69"/>
    </row>
    <row r="53" spans="1:9" ht="30.6" x14ac:dyDescent="0.3">
      <c r="A53" s="162" t="s">
        <v>1642</v>
      </c>
      <c r="B53" s="153" t="s">
        <v>1621</v>
      </c>
      <c r="C53" s="192">
        <f>ROUND('ANEXO 18'!C19,0)</f>
        <v>0</v>
      </c>
      <c r="D53" s="81"/>
      <c r="E53" s="117">
        <f>ROUND(C53*D53/100,0)</f>
        <v>0</v>
      </c>
      <c r="F53" s="117"/>
      <c r="G53" s="117">
        <f>ROUND(E53-F53,0)</f>
        <v>0</v>
      </c>
      <c r="H53" s="117"/>
      <c r="I53" s="69"/>
    </row>
    <row r="54" spans="1:9" ht="30.6" x14ac:dyDescent="0.3">
      <c r="A54" s="162" t="s">
        <v>1644</v>
      </c>
      <c r="B54" s="153" t="s">
        <v>1623</v>
      </c>
      <c r="C54" s="117"/>
      <c r="D54" s="81"/>
      <c r="E54" s="117">
        <f>ROUND(C54*D54/100,0)</f>
        <v>0</v>
      </c>
      <c r="F54" s="117"/>
      <c r="G54" s="117">
        <f>ROUND(E54-F54,0)</f>
        <v>0</v>
      </c>
      <c r="H54" s="117"/>
      <c r="I54" s="69"/>
    </row>
    <row r="55" spans="1:9" x14ac:dyDescent="0.3">
      <c r="A55" s="162"/>
      <c r="B55" s="153"/>
      <c r="C55" s="18"/>
      <c r="D55" s="18"/>
      <c r="E55" s="18"/>
      <c r="F55" s="18"/>
      <c r="G55" s="18"/>
      <c r="H55" s="18"/>
      <c r="I55" s="69"/>
    </row>
    <row r="56" spans="1:9" x14ac:dyDescent="0.3">
      <c r="A56" s="162"/>
      <c r="B56" s="153" t="s">
        <v>1624</v>
      </c>
      <c r="C56" s="18"/>
      <c r="D56" s="18"/>
      <c r="E56" s="18"/>
      <c r="F56" s="18"/>
      <c r="G56" s="18"/>
      <c r="H56" s="18"/>
      <c r="I56" s="69"/>
    </row>
    <row r="57" spans="1:9" ht="20.399999999999999" x14ac:dyDescent="0.3">
      <c r="A57" s="162" t="s">
        <v>1646</v>
      </c>
      <c r="B57" s="153" t="s">
        <v>1626</v>
      </c>
      <c r="C57" s="116"/>
      <c r="D57" s="109"/>
      <c r="E57" s="116"/>
      <c r="F57" s="116"/>
      <c r="G57" s="116">
        <f>ROUND(E57-F57,0)</f>
        <v>0</v>
      </c>
      <c r="H57" s="116"/>
      <c r="I57" s="69"/>
    </row>
    <row r="58" spans="1:9" x14ac:dyDescent="0.3">
      <c r="A58" s="162"/>
      <c r="B58" s="153"/>
      <c r="C58" s="18"/>
      <c r="D58" s="18"/>
      <c r="E58" s="18"/>
      <c r="F58" s="18"/>
      <c r="G58" s="18"/>
      <c r="H58" s="18"/>
      <c r="I58" s="69"/>
    </row>
    <row r="59" spans="1:9" x14ac:dyDescent="0.3">
      <c r="A59" s="162"/>
      <c r="B59" s="179" t="s">
        <v>1627</v>
      </c>
      <c r="C59" s="18"/>
      <c r="D59" s="18"/>
      <c r="E59" s="18"/>
      <c r="F59" s="18"/>
      <c r="G59" s="18"/>
      <c r="H59" s="18"/>
      <c r="I59" s="69"/>
    </row>
    <row r="60" spans="1:9" x14ac:dyDescent="0.3">
      <c r="A60" s="162"/>
      <c r="B60" s="153"/>
      <c r="C60" s="18"/>
      <c r="D60" s="18"/>
      <c r="E60" s="18"/>
      <c r="F60" s="18"/>
      <c r="G60" s="18"/>
      <c r="H60" s="18"/>
      <c r="I60" s="69"/>
    </row>
    <row r="61" spans="1:9" ht="20.399999999999999" x14ac:dyDescent="0.3">
      <c r="A61" s="162" t="s">
        <v>1648</v>
      </c>
      <c r="B61" s="153" t="s">
        <v>1629</v>
      </c>
      <c r="C61" s="116">
        <f>C64-C62</f>
        <v>0</v>
      </c>
      <c r="D61" s="110">
        <f>IF(C61&gt;0,16,0)</f>
        <v>0</v>
      </c>
      <c r="E61" s="116">
        <f>ROUND(C61*D61/100,0)</f>
        <v>0</v>
      </c>
      <c r="F61" s="116">
        <f>E61</f>
        <v>0</v>
      </c>
      <c r="G61" s="116">
        <f>ROUND(E61-F61,0)</f>
        <v>0</v>
      </c>
      <c r="H61" s="116"/>
      <c r="I61" s="69"/>
    </row>
    <row r="62" spans="1:9" ht="20.399999999999999" x14ac:dyDescent="0.3">
      <c r="A62" s="162" t="s">
        <v>1650</v>
      </c>
      <c r="B62" s="153" t="s">
        <v>1631</v>
      </c>
      <c r="C62" s="116"/>
      <c r="D62" s="109"/>
      <c r="E62" s="116"/>
      <c r="F62" s="116"/>
      <c r="G62" s="116">
        <f>ROUND(E62-F62,0)</f>
        <v>0</v>
      </c>
      <c r="H62" s="116"/>
      <c r="I62" s="69"/>
    </row>
    <row r="63" spans="1:9" x14ac:dyDescent="0.3">
      <c r="A63" s="162"/>
      <c r="B63" s="153"/>
      <c r="C63" s="18"/>
      <c r="D63" s="18"/>
      <c r="E63" s="18"/>
      <c r="F63" s="18"/>
      <c r="G63" s="18"/>
      <c r="H63" s="18"/>
      <c r="I63" s="69"/>
    </row>
    <row r="64" spans="1:9" ht="20.399999999999999" x14ac:dyDescent="0.3">
      <c r="A64" s="162" t="s">
        <v>1652</v>
      </c>
      <c r="B64" s="153" t="s">
        <v>1633</v>
      </c>
      <c r="C64" s="116">
        <f>C68-C66</f>
        <v>0</v>
      </c>
      <c r="D64" s="109"/>
      <c r="E64" s="116"/>
      <c r="F64" s="116"/>
      <c r="G64" s="116">
        <f>ROUND(E64-F64,0)</f>
        <v>0</v>
      </c>
      <c r="H64" s="116"/>
      <c r="I64" s="69"/>
    </row>
    <row r="65" spans="1:9" x14ac:dyDescent="0.3">
      <c r="A65" s="162"/>
      <c r="B65" s="153"/>
      <c r="C65" s="18"/>
      <c r="D65" s="18"/>
      <c r="E65" s="18"/>
      <c r="F65" s="18"/>
      <c r="G65" s="18"/>
      <c r="H65" s="18"/>
      <c r="I65" s="69"/>
    </row>
    <row r="66" spans="1:9" ht="30.6" x14ac:dyDescent="0.3">
      <c r="A66" s="162" t="s">
        <v>1654</v>
      </c>
      <c r="B66" s="153" t="s">
        <v>1635</v>
      </c>
      <c r="C66" s="116"/>
      <c r="D66" s="109"/>
      <c r="E66" s="116"/>
      <c r="F66" s="116"/>
      <c r="G66" s="116">
        <f>ROUND(E66-F66,0)</f>
        <v>0</v>
      </c>
      <c r="H66" s="116"/>
      <c r="I66" s="69"/>
    </row>
    <row r="67" spans="1:9" x14ac:dyDescent="0.3">
      <c r="A67" s="162"/>
      <c r="B67" s="153"/>
      <c r="C67" s="18"/>
      <c r="D67" s="18"/>
      <c r="E67" s="18"/>
      <c r="F67" s="18"/>
      <c r="G67" s="18"/>
      <c r="H67" s="18"/>
      <c r="I67" s="69"/>
    </row>
    <row r="68" spans="1:9" ht="20.399999999999999" x14ac:dyDescent="0.3">
      <c r="A68" s="162" t="s">
        <v>1656</v>
      </c>
      <c r="B68" s="153" t="s">
        <v>1637</v>
      </c>
      <c r="C68" s="193">
        <f>'ANEXO 15'!C102</f>
        <v>0</v>
      </c>
      <c r="D68" s="109"/>
      <c r="E68" s="116"/>
      <c r="F68" s="116"/>
      <c r="G68" s="116">
        <f>ROUND(E68-F68,0)</f>
        <v>0</v>
      </c>
      <c r="H68" s="116"/>
      <c r="I68" s="69"/>
    </row>
    <row r="69" spans="1:9" x14ac:dyDescent="0.3">
      <c r="A69" s="162"/>
      <c r="B69" s="153"/>
      <c r="C69" s="18"/>
      <c r="D69" s="18"/>
      <c r="E69" s="18"/>
      <c r="F69" s="18"/>
      <c r="G69" s="18"/>
      <c r="H69" s="18"/>
      <c r="I69" s="69"/>
    </row>
    <row r="70" spans="1:9" ht="20.399999999999999" x14ac:dyDescent="0.3">
      <c r="A70" s="162" t="s">
        <v>1658</v>
      </c>
      <c r="B70" s="153" t="s">
        <v>1639</v>
      </c>
      <c r="C70" s="116"/>
      <c r="D70" s="109"/>
      <c r="E70" s="116">
        <f>SUM(E61:E62)</f>
        <v>0</v>
      </c>
      <c r="F70" s="116">
        <f>SUM(F61:F62)</f>
        <v>0</v>
      </c>
      <c r="G70" s="116">
        <f>ROUND(E70-F70,0)</f>
        <v>0</v>
      </c>
      <c r="H70" s="116"/>
      <c r="I70" s="69"/>
    </row>
    <row r="71" spans="1:9" ht="20.399999999999999" x14ac:dyDescent="0.3">
      <c r="A71" s="162" t="s">
        <v>1660</v>
      </c>
      <c r="B71" s="153" t="s">
        <v>1641</v>
      </c>
      <c r="C71" s="116"/>
      <c r="D71" s="109"/>
      <c r="E71" s="116"/>
      <c r="F71" s="116"/>
      <c r="G71" s="116">
        <f>ROUND(E71-F71,0)</f>
        <v>0</v>
      </c>
      <c r="H71" s="116"/>
      <c r="I71" s="69"/>
    </row>
    <row r="72" spans="1:9" x14ac:dyDescent="0.3">
      <c r="A72" s="162"/>
      <c r="B72" s="153"/>
      <c r="C72" s="18"/>
      <c r="D72" s="18"/>
      <c r="E72" s="18"/>
      <c r="F72" s="18"/>
      <c r="G72" s="18"/>
      <c r="H72" s="18"/>
      <c r="I72" s="69"/>
    </row>
    <row r="73" spans="1:9" ht="30.6" x14ac:dyDescent="0.3">
      <c r="A73" s="162" t="s">
        <v>1662</v>
      </c>
      <c r="B73" s="153" t="s">
        <v>1643</v>
      </c>
      <c r="C73" s="116"/>
      <c r="D73" s="109"/>
      <c r="E73" s="116"/>
      <c r="F73" s="116"/>
      <c r="G73" s="116">
        <f>ROUND(E73-F73,0)</f>
        <v>0</v>
      </c>
      <c r="H73" s="116"/>
      <c r="I73" s="69"/>
    </row>
    <row r="74" spans="1:9" ht="20.399999999999999" x14ac:dyDescent="0.3">
      <c r="A74" s="162" t="s">
        <v>1664</v>
      </c>
      <c r="B74" s="153" t="s">
        <v>1645</v>
      </c>
      <c r="C74" s="116"/>
      <c r="D74" s="109"/>
      <c r="E74" s="116"/>
      <c r="F74" s="116"/>
      <c r="G74" s="116">
        <f>ROUND(E74-F74,0)</f>
        <v>0</v>
      </c>
      <c r="H74" s="116"/>
      <c r="I74" s="69"/>
    </row>
    <row r="75" spans="1:9" ht="20.399999999999999" x14ac:dyDescent="0.3">
      <c r="A75" s="162" t="s">
        <v>1666</v>
      </c>
      <c r="B75" s="153" t="s">
        <v>1647</v>
      </c>
      <c r="C75" s="116"/>
      <c r="D75" s="109"/>
      <c r="E75" s="116"/>
      <c r="F75" s="116"/>
      <c r="G75" s="116">
        <f>ROUND(E75-F75,0)</f>
        <v>0</v>
      </c>
      <c r="H75" s="116"/>
      <c r="I75" s="69"/>
    </row>
    <row r="76" spans="1:9" x14ac:dyDescent="0.3">
      <c r="A76" s="162"/>
      <c r="B76" s="153"/>
      <c r="C76" s="18"/>
      <c r="D76" s="18"/>
      <c r="E76" s="18"/>
      <c r="F76" s="18"/>
      <c r="G76" s="18"/>
      <c r="H76" s="18"/>
      <c r="I76" s="69"/>
    </row>
    <row r="77" spans="1:9" ht="40.799999999999997" x14ac:dyDescent="0.3">
      <c r="A77" s="162" t="s">
        <v>1668</v>
      </c>
      <c r="B77" s="153" t="s">
        <v>5464</v>
      </c>
      <c r="C77" s="185"/>
      <c r="D77" s="160"/>
      <c r="E77" s="185"/>
      <c r="F77" s="185"/>
      <c r="G77" s="185">
        <f>ROUND(E77-F77,0)</f>
        <v>0</v>
      </c>
      <c r="H77" s="185"/>
      <c r="I77" s="149"/>
    </row>
    <row r="78" spans="1:9" ht="40.799999999999997" x14ac:dyDescent="0.3">
      <c r="A78" s="162" t="s">
        <v>1670</v>
      </c>
      <c r="B78" s="153" t="s">
        <v>5465</v>
      </c>
      <c r="C78" s="185"/>
      <c r="D78" s="160"/>
      <c r="E78" s="185"/>
      <c r="F78" s="185"/>
      <c r="G78" s="185">
        <f>ROUND(E78-F78,0)</f>
        <v>0</v>
      </c>
      <c r="H78" s="185"/>
      <c r="I78" s="149"/>
    </row>
    <row r="79" spans="1:9" ht="40.799999999999997" x14ac:dyDescent="0.3">
      <c r="A79" s="162" t="s">
        <v>1671</v>
      </c>
      <c r="B79" s="153" t="s">
        <v>5466</v>
      </c>
      <c r="C79" s="185"/>
      <c r="D79" s="160"/>
      <c r="E79" s="185"/>
      <c r="F79" s="185"/>
      <c r="G79" s="185">
        <f>ROUND(E79-F79,0)</f>
        <v>0</v>
      </c>
      <c r="H79" s="185"/>
      <c r="I79" s="149"/>
    </row>
    <row r="80" spans="1:9" ht="30.6" x14ac:dyDescent="0.3">
      <c r="A80" s="162" t="s">
        <v>1672</v>
      </c>
      <c r="B80" s="153" t="s">
        <v>5467</v>
      </c>
      <c r="C80" s="185"/>
      <c r="D80" s="160"/>
      <c r="E80" s="185"/>
      <c r="F80" s="185"/>
      <c r="G80" s="185">
        <f>ROUND(E80-F80,0)</f>
        <v>0</v>
      </c>
      <c r="H80" s="185"/>
      <c r="I80" s="149"/>
    </row>
    <row r="81" spans="1:9" ht="61.2" x14ac:dyDescent="0.3">
      <c r="A81" s="162" t="s">
        <v>1673</v>
      </c>
      <c r="B81" s="153" t="s">
        <v>5468</v>
      </c>
      <c r="C81" s="185"/>
      <c r="D81" s="160"/>
      <c r="E81" s="185"/>
      <c r="F81" s="185"/>
      <c r="G81" s="185"/>
      <c r="H81" s="185"/>
      <c r="I81" s="149"/>
    </row>
    <row r="82" spans="1:9" x14ac:dyDescent="0.3">
      <c r="A82" s="162"/>
      <c r="B82" s="153"/>
      <c r="C82" s="160"/>
      <c r="D82" s="160"/>
      <c r="E82" s="160"/>
      <c r="F82" s="160"/>
      <c r="G82" s="160"/>
      <c r="H82" s="160"/>
      <c r="I82" s="149"/>
    </row>
    <row r="83" spans="1:9" ht="20.399999999999999" x14ac:dyDescent="0.3">
      <c r="A83" s="162"/>
      <c r="B83" s="179" t="s">
        <v>583</v>
      </c>
      <c r="C83" s="18"/>
      <c r="D83" s="18"/>
      <c r="E83" s="18"/>
      <c r="F83" s="18"/>
      <c r="G83" s="18"/>
      <c r="H83" s="18"/>
      <c r="I83" s="69"/>
    </row>
    <row r="84" spans="1:9" x14ac:dyDescent="0.3">
      <c r="A84" s="162"/>
      <c r="B84" s="153"/>
      <c r="C84" s="18"/>
      <c r="D84" s="18"/>
      <c r="E84" s="18"/>
      <c r="F84" s="18"/>
      <c r="G84" s="18"/>
      <c r="H84" s="18"/>
      <c r="I84" s="69"/>
    </row>
    <row r="85" spans="1:9" ht="30.6" x14ac:dyDescent="0.3">
      <c r="A85" s="162" t="s">
        <v>1674</v>
      </c>
      <c r="B85" s="153" t="s">
        <v>1649</v>
      </c>
      <c r="C85" s="116"/>
      <c r="D85" s="110">
        <f>IF(C85&gt;0,3,0)</f>
        <v>0</v>
      </c>
      <c r="E85" s="116">
        <f t="shared" ref="E85:E94" si="1">IF(D85&lt;&gt;0,ROUND(C85*D85/100,0),0)</f>
        <v>0</v>
      </c>
      <c r="F85" s="116"/>
      <c r="G85" s="116">
        <f t="shared" ref="G85:G94" si="2">ROUND(E85-F85,0)</f>
        <v>0</v>
      </c>
      <c r="H85" s="116"/>
      <c r="I85" s="69"/>
    </row>
    <row r="86" spans="1:9" ht="51" x14ac:dyDescent="0.3">
      <c r="A86" s="162" t="s">
        <v>1675</v>
      </c>
      <c r="B86" s="153" t="s">
        <v>1651</v>
      </c>
      <c r="C86" s="116"/>
      <c r="D86" s="110">
        <f>IF(C86&gt;0,25,0)</f>
        <v>0</v>
      </c>
      <c r="E86" s="116">
        <f t="shared" si="1"/>
        <v>0</v>
      </c>
      <c r="F86" s="116"/>
      <c r="G86" s="116">
        <f t="shared" si="2"/>
        <v>0</v>
      </c>
      <c r="H86" s="116"/>
      <c r="I86" s="69"/>
    </row>
    <row r="87" spans="1:9" ht="40.799999999999997" x14ac:dyDescent="0.3">
      <c r="A87" s="162" t="s">
        <v>1677</v>
      </c>
      <c r="B87" s="153" t="s">
        <v>1653</v>
      </c>
      <c r="C87" s="116"/>
      <c r="D87" s="110">
        <f>IF(C87&gt;0,26.5,0)</f>
        <v>0</v>
      </c>
      <c r="E87" s="116">
        <f t="shared" si="1"/>
        <v>0</v>
      </c>
      <c r="F87" s="116"/>
      <c r="G87" s="116">
        <f t="shared" si="2"/>
        <v>0</v>
      </c>
      <c r="H87" s="116"/>
      <c r="I87" s="69"/>
    </row>
    <row r="88" spans="1:9" ht="51" x14ac:dyDescent="0.3">
      <c r="A88" s="162" t="s">
        <v>1679</v>
      </c>
      <c r="B88" s="153" t="s">
        <v>1655</v>
      </c>
      <c r="C88" s="116"/>
      <c r="D88" s="110">
        <f>IF(C88&gt;0,30,0)</f>
        <v>0</v>
      </c>
      <c r="E88" s="116">
        <f t="shared" si="1"/>
        <v>0</v>
      </c>
      <c r="F88" s="116"/>
      <c r="G88" s="116">
        <f t="shared" si="2"/>
        <v>0</v>
      </c>
      <c r="H88" s="116"/>
      <c r="I88" s="69"/>
    </row>
    <row r="89" spans="1:9" ht="30.6" x14ac:dyDescent="0.3">
      <c r="A89" s="162" t="s">
        <v>1681</v>
      </c>
      <c r="B89" s="153" t="s">
        <v>1657</v>
      </c>
      <c r="C89" s="116"/>
      <c r="D89" s="110">
        <f>IF(C89&gt;0,30,0)</f>
        <v>0</v>
      </c>
      <c r="E89" s="116">
        <f t="shared" si="1"/>
        <v>0</v>
      </c>
      <c r="F89" s="116"/>
      <c r="G89" s="116">
        <f t="shared" si="2"/>
        <v>0</v>
      </c>
      <c r="H89" s="116"/>
      <c r="I89" s="69"/>
    </row>
    <row r="90" spans="1:9" ht="40.799999999999997" x14ac:dyDescent="0.3">
      <c r="A90" s="162" t="s">
        <v>1683</v>
      </c>
      <c r="B90" s="153" t="s">
        <v>1659</v>
      </c>
      <c r="C90" s="116"/>
      <c r="D90" s="110">
        <f>IF(C90&gt;0,30.4,0)</f>
        <v>0</v>
      </c>
      <c r="E90" s="116">
        <f t="shared" si="1"/>
        <v>0</v>
      </c>
      <c r="F90" s="116"/>
      <c r="G90" s="116">
        <f t="shared" si="2"/>
        <v>0</v>
      </c>
      <c r="H90" s="116"/>
      <c r="I90" s="69"/>
    </row>
    <row r="91" spans="1:9" ht="40.799999999999997" x14ac:dyDescent="0.3">
      <c r="A91" s="162" t="s">
        <v>1685</v>
      </c>
      <c r="B91" s="153" t="s">
        <v>1661</v>
      </c>
      <c r="C91" s="116"/>
      <c r="D91" s="110">
        <f>IF(C91&gt;0,50,0)</f>
        <v>0</v>
      </c>
      <c r="E91" s="116">
        <f t="shared" si="1"/>
        <v>0</v>
      </c>
      <c r="F91" s="116"/>
      <c r="G91" s="116">
        <f t="shared" si="2"/>
        <v>0</v>
      </c>
      <c r="H91" s="116"/>
      <c r="I91" s="69"/>
    </row>
    <row r="92" spans="1:9" ht="40.799999999999997" x14ac:dyDescent="0.3">
      <c r="A92" s="162" t="s">
        <v>1687</v>
      </c>
      <c r="B92" s="153" t="s">
        <v>1663</v>
      </c>
      <c r="C92" s="116"/>
      <c r="D92" s="110">
        <f>IF(C92&gt;0,53,0)</f>
        <v>0</v>
      </c>
      <c r="E92" s="116">
        <f t="shared" si="1"/>
        <v>0</v>
      </c>
      <c r="F92" s="116"/>
      <c r="G92" s="116">
        <f t="shared" si="2"/>
        <v>0</v>
      </c>
      <c r="H92" s="116"/>
      <c r="I92" s="69"/>
    </row>
    <row r="93" spans="1:9" ht="30.6" x14ac:dyDescent="0.3">
      <c r="A93" s="162" t="s">
        <v>1689</v>
      </c>
      <c r="B93" s="153" t="s">
        <v>1665</v>
      </c>
      <c r="C93" s="116"/>
      <c r="D93" s="110">
        <f>IF(C93&gt;0,160,0)</f>
        <v>0</v>
      </c>
      <c r="E93" s="116">
        <f t="shared" si="1"/>
        <v>0</v>
      </c>
      <c r="F93" s="116"/>
      <c r="G93" s="116">
        <f t="shared" si="2"/>
        <v>0</v>
      </c>
      <c r="H93" s="116"/>
      <c r="I93" s="69"/>
    </row>
    <row r="94" spans="1:9" ht="40.799999999999997" x14ac:dyDescent="0.3">
      <c r="A94" s="162" t="s">
        <v>1691</v>
      </c>
      <c r="B94" s="153" t="s">
        <v>1667</v>
      </c>
      <c r="C94" s="116"/>
      <c r="D94" s="110">
        <f>IF(C94&gt;0,160,0)</f>
        <v>0</v>
      </c>
      <c r="E94" s="116">
        <f t="shared" si="1"/>
        <v>0</v>
      </c>
      <c r="F94" s="116"/>
      <c r="G94" s="116">
        <f t="shared" si="2"/>
        <v>0</v>
      </c>
      <c r="H94" s="116"/>
      <c r="I94" s="69"/>
    </row>
    <row r="95" spans="1:9" ht="20.399999999999999" x14ac:dyDescent="0.3">
      <c r="A95" s="162" t="s">
        <v>1693</v>
      </c>
      <c r="B95" s="153" t="s">
        <v>1669</v>
      </c>
      <c r="C95" s="52"/>
      <c r="D95" s="64"/>
      <c r="E95" s="52"/>
      <c r="F95" s="52"/>
      <c r="G95" s="52"/>
      <c r="H95" s="52"/>
      <c r="I95" s="69"/>
    </row>
    <row r="96" spans="1:9" x14ac:dyDescent="0.3">
      <c r="A96" s="162"/>
      <c r="B96" s="153"/>
      <c r="C96" s="18"/>
      <c r="D96" s="18"/>
      <c r="E96" s="18"/>
      <c r="F96" s="18"/>
      <c r="G96" s="18"/>
      <c r="H96" s="18"/>
      <c r="I96" s="69"/>
    </row>
    <row r="97" spans="1:9" ht="20.399999999999999" x14ac:dyDescent="0.3">
      <c r="A97" s="162" t="s">
        <v>1695</v>
      </c>
      <c r="B97" s="153" t="s">
        <v>1633</v>
      </c>
      <c r="C97" s="116">
        <f>ROUND(SUM(C85:C95),0)</f>
        <v>0</v>
      </c>
      <c r="D97" s="109"/>
      <c r="E97" s="116"/>
      <c r="F97" s="116"/>
      <c r="G97" s="116">
        <f>ROUND(E97-F97,0)</f>
        <v>0</v>
      </c>
      <c r="H97" s="116"/>
      <c r="I97" s="69"/>
    </row>
    <row r="98" spans="1:9" x14ac:dyDescent="0.3">
      <c r="A98" s="162"/>
      <c r="B98" s="153"/>
      <c r="C98" s="18"/>
      <c r="D98" s="18"/>
      <c r="E98" s="18"/>
      <c r="F98" s="18"/>
      <c r="G98" s="18"/>
      <c r="H98" s="18"/>
      <c r="I98" s="69"/>
    </row>
    <row r="99" spans="1:9" ht="30.6" x14ac:dyDescent="0.3">
      <c r="A99" s="162" t="s">
        <v>1697</v>
      </c>
      <c r="B99" s="153" t="s">
        <v>1635</v>
      </c>
      <c r="C99" s="116"/>
      <c r="D99" s="109"/>
      <c r="E99" s="116"/>
      <c r="F99" s="116"/>
      <c r="G99" s="116"/>
      <c r="H99" s="116"/>
      <c r="I99" s="69"/>
    </row>
    <row r="100" spans="1:9" x14ac:dyDescent="0.3">
      <c r="A100" s="162"/>
      <c r="B100" s="153"/>
      <c r="C100" s="18"/>
      <c r="D100" s="18"/>
      <c r="E100" s="18"/>
      <c r="F100" s="18"/>
      <c r="G100" s="18"/>
      <c r="H100" s="18"/>
      <c r="I100" s="69"/>
    </row>
    <row r="101" spans="1:9" ht="20.399999999999999" x14ac:dyDescent="0.3">
      <c r="A101" s="162" t="s">
        <v>1699</v>
      </c>
      <c r="B101" s="153" t="s">
        <v>1637</v>
      </c>
      <c r="C101" s="116">
        <f>ROUND(SUM(C97:C99),0)</f>
        <v>0</v>
      </c>
      <c r="D101" s="109"/>
      <c r="E101" s="116"/>
      <c r="F101" s="116"/>
      <c r="G101" s="116"/>
      <c r="H101" s="116"/>
      <c r="I101" s="69"/>
    </row>
    <row r="102" spans="1:9" x14ac:dyDescent="0.3">
      <c r="A102" s="162"/>
      <c r="B102" s="153"/>
      <c r="C102" s="18"/>
      <c r="D102" s="18"/>
      <c r="E102" s="18"/>
      <c r="F102" s="18"/>
      <c r="G102" s="18"/>
      <c r="H102" s="18"/>
      <c r="I102" s="69"/>
    </row>
    <row r="103" spans="1:9" x14ac:dyDescent="0.3">
      <c r="A103" s="162"/>
      <c r="B103" s="153"/>
      <c r="C103" s="18"/>
      <c r="D103" s="18"/>
      <c r="E103" s="18"/>
      <c r="F103" s="18"/>
      <c r="G103" s="18"/>
      <c r="H103" s="18"/>
      <c r="I103" s="69"/>
    </row>
    <row r="104" spans="1:9" ht="20.399999999999999" x14ac:dyDescent="0.3">
      <c r="A104" s="162" t="s">
        <v>1700</v>
      </c>
      <c r="B104" s="153" t="s">
        <v>5706</v>
      </c>
      <c r="C104" s="116"/>
      <c r="D104" s="109"/>
      <c r="E104" s="116"/>
      <c r="F104" s="116"/>
      <c r="G104" s="116"/>
      <c r="H104" s="116"/>
      <c r="I104" s="69"/>
    </row>
    <row r="105" spans="1:9" x14ac:dyDescent="0.3">
      <c r="A105" s="162"/>
      <c r="B105" s="153"/>
      <c r="C105" s="18"/>
      <c r="D105" s="18"/>
      <c r="E105" s="18"/>
      <c r="F105" s="18"/>
      <c r="G105" s="18"/>
      <c r="H105" s="18"/>
      <c r="I105" s="69"/>
    </row>
    <row r="106" spans="1:9" ht="30.6" x14ac:dyDescent="0.3">
      <c r="A106" s="162" t="s">
        <v>1701</v>
      </c>
      <c r="B106" s="153" t="s">
        <v>5469</v>
      </c>
      <c r="C106" s="116"/>
      <c r="D106" s="110">
        <f>IF(C106&gt;0,9,0)</f>
        <v>0</v>
      </c>
      <c r="E106" s="116">
        <f>IF(D106&lt;&gt;0,ROUND(C106*D106/100,0),0)</f>
        <v>0</v>
      </c>
      <c r="F106" s="116"/>
      <c r="G106" s="116">
        <f>ROUND(E106-F106,0)</f>
        <v>0</v>
      </c>
      <c r="H106" s="116"/>
      <c r="I106" s="69"/>
    </row>
    <row r="107" spans="1:9" ht="20.399999999999999" x14ac:dyDescent="0.3">
      <c r="A107" s="162" t="s">
        <v>1702</v>
      </c>
      <c r="B107" s="153" t="s">
        <v>1676</v>
      </c>
      <c r="C107" s="116"/>
      <c r="D107" s="110">
        <f>IF(C107&gt;0,7,0)</f>
        <v>0</v>
      </c>
      <c r="E107" s="116">
        <f>IF(D107&lt;&gt;0,ROUND(C107*D107/100,0),0)</f>
        <v>0</v>
      </c>
      <c r="F107" s="116"/>
      <c r="G107" s="116">
        <f>ROUND(E107-F107,0)</f>
        <v>0</v>
      </c>
      <c r="H107" s="116"/>
      <c r="I107" s="69"/>
    </row>
    <row r="108" spans="1:9" ht="20.399999999999999" x14ac:dyDescent="0.3">
      <c r="A108" s="162" t="s">
        <v>1703</v>
      </c>
      <c r="B108" s="153" t="s">
        <v>1678</v>
      </c>
      <c r="C108" s="116"/>
      <c r="D108" s="110">
        <f>IF(C108&gt;0,6,0)</f>
        <v>0</v>
      </c>
      <c r="E108" s="116">
        <f>IF(D108&lt;&gt;0,ROUND(C108*D108/100,0),0)</f>
        <v>0</v>
      </c>
      <c r="F108" s="116"/>
      <c r="G108" s="116">
        <f>ROUND(E108-F108,0)</f>
        <v>0</v>
      </c>
      <c r="H108" s="116"/>
      <c r="I108" s="69"/>
    </row>
    <row r="109" spans="1:9" ht="20.399999999999999" x14ac:dyDescent="0.3">
      <c r="A109" s="162" t="s">
        <v>1704</v>
      </c>
      <c r="B109" s="153" t="s">
        <v>1680</v>
      </c>
      <c r="C109" s="116"/>
      <c r="D109" s="109"/>
      <c r="E109" s="116">
        <f>ROUND(C109*D109/100,0)</f>
        <v>0</v>
      </c>
      <c r="F109" s="116"/>
      <c r="G109" s="116">
        <f>ROUND(E109-F109,0)</f>
        <v>0</v>
      </c>
      <c r="H109" s="116"/>
      <c r="I109" s="69"/>
    </row>
    <row r="110" spans="1:9" x14ac:dyDescent="0.3">
      <c r="A110" s="162"/>
      <c r="B110" s="153"/>
      <c r="C110" s="18"/>
      <c r="D110" s="18"/>
      <c r="E110" s="18"/>
      <c r="F110" s="18"/>
      <c r="G110" s="18"/>
      <c r="H110" s="18"/>
      <c r="I110" s="69"/>
    </row>
    <row r="111" spans="1:9" ht="40.799999999999997" x14ac:dyDescent="0.3">
      <c r="A111" s="162" t="s">
        <v>1705</v>
      </c>
      <c r="B111" s="153" t="s">
        <v>1682</v>
      </c>
      <c r="C111" s="116"/>
      <c r="D111" s="110">
        <f t="shared" ref="D111:D119" si="3">IF(C111&gt;0,8,0)</f>
        <v>0</v>
      </c>
      <c r="E111" s="116">
        <f t="shared" ref="E111:E119" si="4">IF(D111&lt;&gt;0,ROUND(C111*D111/100,0),0)</f>
        <v>0</v>
      </c>
      <c r="F111" s="116"/>
      <c r="G111" s="116">
        <f t="shared" ref="G111:G119" si="5">ROUND(E111-F111,0)</f>
        <v>0</v>
      </c>
      <c r="H111" s="116"/>
      <c r="I111" s="69"/>
    </row>
    <row r="112" spans="1:9" ht="40.799999999999997" x14ac:dyDescent="0.3">
      <c r="A112" s="162" t="s">
        <v>1706</v>
      </c>
      <c r="B112" s="153" t="s">
        <v>1684</v>
      </c>
      <c r="C112" s="116"/>
      <c r="D112" s="110">
        <f t="shared" si="3"/>
        <v>0</v>
      </c>
      <c r="E112" s="116">
        <f t="shared" si="4"/>
        <v>0</v>
      </c>
      <c r="F112" s="116"/>
      <c r="G112" s="116">
        <f t="shared" si="5"/>
        <v>0</v>
      </c>
      <c r="H112" s="116"/>
      <c r="I112" s="69"/>
    </row>
    <row r="113" spans="1:9" ht="51" x14ac:dyDescent="0.3">
      <c r="A113" s="162" t="s">
        <v>1707</v>
      </c>
      <c r="B113" s="153" t="s">
        <v>1686</v>
      </c>
      <c r="C113" s="116"/>
      <c r="D113" s="110">
        <f t="shared" si="3"/>
        <v>0</v>
      </c>
      <c r="E113" s="116">
        <f t="shared" si="4"/>
        <v>0</v>
      </c>
      <c r="F113" s="116"/>
      <c r="G113" s="116">
        <f t="shared" si="5"/>
        <v>0</v>
      </c>
      <c r="H113" s="116"/>
      <c r="I113" s="69"/>
    </row>
    <row r="114" spans="1:9" ht="40.799999999999997" x14ac:dyDescent="0.3">
      <c r="A114" s="162" t="s">
        <v>1708</v>
      </c>
      <c r="B114" s="153" t="s">
        <v>1688</v>
      </c>
      <c r="C114" s="116"/>
      <c r="D114" s="110">
        <f t="shared" si="3"/>
        <v>0</v>
      </c>
      <c r="E114" s="116">
        <f t="shared" si="4"/>
        <v>0</v>
      </c>
      <c r="F114" s="116"/>
      <c r="G114" s="116">
        <f t="shared" si="5"/>
        <v>0</v>
      </c>
      <c r="H114" s="116"/>
      <c r="I114" s="69"/>
    </row>
    <row r="115" spans="1:9" ht="40.799999999999997" x14ac:dyDescent="0.3">
      <c r="A115" s="162" t="s">
        <v>1709</v>
      </c>
      <c r="B115" s="153" t="s">
        <v>1690</v>
      </c>
      <c r="C115" s="116"/>
      <c r="D115" s="110">
        <f t="shared" si="3"/>
        <v>0</v>
      </c>
      <c r="E115" s="116">
        <f t="shared" si="4"/>
        <v>0</v>
      </c>
      <c r="F115" s="116"/>
      <c r="G115" s="116">
        <f t="shared" si="5"/>
        <v>0</v>
      </c>
      <c r="H115" s="116"/>
      <c r="I115" s="69"/>
    </row>
    <row r="116" spans="1:9" ht="40.799999999999997" x14ac:dyDescent="0.3">
      <c r="A116" s="162" t="s">
        <v>1711</v>
      </c>
      <c r="B116" s="153" t="s">
        <v>1692</v>
      </c>
      <c r="C116" s="116"/>
      <c r="D116" s="110">
        <f t="shared" si="3"/>
        <v>0</v>
      </c>
      <c r="E116" s="116">
        <f t="shared" si="4"/>
        <v>0</v>
      </c>
      <c r="F116" s="116"/>
      <c r="G116" s="116">
        <f t="shared" si="5"/>
        <v>0</v>
      </c>
      <c r="H116" s="116"/>
      <c r="I116" s="69"/>
    </row>
    <row r="117" spans="1:9" ht="40.799999999999997" x14ac:dyDescent="0.3">
      <c r="A117" s="162" t="s">
        <v>1713</v>
      </c>
      <c r="B117" s="153" t="s">
        <v>1694</v>
      </c>
      <c r="C117" s="116"/>
      <c r="D117" s="110">
        <f t="shared" si="3"/>
        <v>0</v>
      </c>
      <c r="E117" s="116">
        <f t="shared" si="4"/>
        <v>0</v>
      </c>
      <c r="F117" s="116"/>
      <c r="G117" s="116">
        <f t="shared" si="5"/>
        <v>0</v>
      </c>
      <c r="H117" s="116"/>
      <c r="I117" s="69"/>
    </row>
    <row r="118" spans="1:9" ht="40.799999999999997" x14ac:dyDescent="0.3">
      <c r="A118" s="162" t="s">
        <v>1715</v>
      </c>
      <c r="B118" s="153" t="s">
        <v>1696</v>
      </c>
      <c r="C118" s="116"/>
      <c r="D118" s="110">
        <f t="shared" si="3"/>
        <v>0</v>
      </c>
      <c r="E118" s="116">
        <f t="shared" si="4"/>
        <v>0</v>
      </c>
      <c r="F118" s="116"/>
      <c r="G118" s="116">
        <f t="shared" si="5"/>
        <v>0</v>
      </c>
      <c r="H118" s="116"/>
      <c r="I118" s="69"/>
    </row>
    <row r="119" spans="1:9" ht="40.799999999999997" x14ac:dyDescent="0.3">
      <c r="A119" s="162" t="s">
        <v>1717</v>
      </c>
      <c r="B119" s="153" t="s">
        <v>1698</v>
      </c>
      <c r="C119" s="116"/>
      <c r="D119" s="110">
        <f t="shared" si="3"/>
        <v>0</v>
      </c>
      <c r="E119" s="116">
        <f t="shared" si="4"/>
        <v>0</v>
      </c>
      <c r="F119" s="116"/>
      <c r="G119" s="116">
        <f t="shared" si="5"/>
        <v>0</v>
      </c>
      <c r="H119" s="116"/>
      <c r="I119" s="69"/>
    </row>
    <row r="120" spans="1:9" x14ac:dyDescent="0.3">
      <c r="A120" s="162"/>
      <c r="B120" s="153"/>
      <c r="C120" s="18"/>
      <c r="D120" s="18"/>
      <c r="E120" s="18"/>
      <c r="F120" s="18"/>
      <c r="G120" s="18"/>
      <c r="H120" s="18"/>
      <c r="I120" s="69"/>
    </row>
    <row r="121" spans="1:9" ht="20.399999999999999" x14ac:dyDescent="0.3">
      <c r="A121" s="162" t="s">
        <v>1719</v>
      </c>
      <c r="B121" s="153" t="s">
        <v>5707</v>
      </c>
      <c r="C121" s="116"/>
      <c r="D121" s="110">
        <f>IF(C121&gt;0,5.91,0)</f>
        <v>0</v>
      </c>
      <c r="E121" s="116"/>
      <c r="F121" s="116"/>
      <c r="G121" s="116">
        <f t="shared" ref="G121:G129" si="6">ROUND(E121-F121,0)</f>
        <v>0</v>
      </c>
      <c r="H121" s="116"/>
      <c r="I121" s="69"/>
    </row>
    <row r="122" spans="1:9" ht="20.399999999999999" x14ac:dyDescent="0.3">
      <c r="A122" s="162" t="s">
        <v>1721</v>
      </c>
      <c r="B122" s="153" t="s">
        <v>5708</v>
      </c>
      <c r="C122" s="116"/>
      <c r="D122" s="110">
        <f>IF(C122&gt;0,7.66,0)</f>
        <v>0</v>
      </c>
      <c r="E122" s="116"/>
      <c r="F122" s="116"/>
      <c r="G122" s="116">
        <f t="shared" si="6"/>
        <v>0</v>
      </c>
      <c r="H122" s="116"/>
      <c r="I122" s="69"/>
    </row>
    <row r="123" spans="1:9" ht="30.6" x14ac:dyDescent="0.3">
      <c r="A123" s="162" t="s">
        <v>1723</v>
      </c>
      <c r="B123" s="153" t="s">
        <v>5709</v>
      </c>
      <c r="C123" s="116"/>
      <c r="D123" s="110">
        <f>IF(C123&gt;0,10.38,0)</f>
        <v>0</v>
      </c>
      <c r="E123" s="116"/>
      <c r="F123" s="116"/>
      <c r="G123" s="116">
        <f t="shared" si="6"/>
        <v>0</v>
      </c>
      <c r="H123" s="116"/>
      <c r="I123" s="69"/>
    </row>
    <row r="124" spans="1:9" ht="30.6" x14ac:dyDescent="0.3">
      <c r="A124" s="162" t="s">
        <v>1725</v>
      </c>
      <c r="B124" s="153" t="s">
        <v>5710</v>
      </c>
      <c r="C124" s="116"/>
      <c r="D124" s="110">
        <f>IF(C124&gt;0,12.4,0)</f>
        <v>0</v>
      </c>
      <c r="E124" s="116"/>
      <c r="F124" s="116"/>
      <c r="G124" s="116">
        <f t="shared" si="6"/>
        <v>0</v>
      </c>
      <c r="H124" s="116"/>
      <c r="I124" s="69"/>
    </row>
    <row r="125" spans="1:9" ht="20.399999999999999" x14ac:dyDescent="0.3">
      <c r="A125" s="162" t="s">
        <v>1727</v>
      </c>
      <c r="B125" s="153" t="s">
        <v>5711</v>
      </c>
      <c r="C125" s="116"/>
      <c r="D125" s="110">
        <f>IF(C125&gt;0,12.59,0)</f>
        <v>0</v>
      </c>
      <c r="E125" s="116"/>
      <c r="F125" s="116"/>
      <c r="G125" s="116">
        <f t="shared" si="6"/>
        <v>0</v>
      </c>
      <c r="H125" s="116"/>
      <c r="I125" s="69"/>
    </row>
    <row r="126" spans="1:9" ht="30.6" x14ac:dyDescent="0.3">
      <c r="A126" s="162" t="s">
        <v>1729</v>
      </c>
      <c r="B126" s="153" t="s">
        <v>5712</v>
      </c>
      <c r="C126" s="116"/>
      <c r="D126" s="110">
        <f>IF(C126&gt;0,13.45,0)</f>
        <v>0</v>
      </c>
      <c r="E126" s="116"/>
      <c r="F126" s="116"/>
      <c r="G126" s="116">
        <f t="shared" si="6"/>
        <v>0</v>
      </c>
      <c r="H126" s="116"/>
      <c r="I126" s="69"/>
    </row>
    <row r="127" spans="1:9" ht="30.6" x14ac:dyDescent="0.3">
      <c r="A127" s="162" t="s">
        <v>1730</v>
      </c>
      <c r="B127" s="153" t="s">
        <v>5713</v>
      </c>
      <c r="C127" s="116"/>
      <c r="D127" s="110">
        <f>IF(C127&gt;0,15.6,0)</f>
        <v>0</v>
      </c>
      <c r="E127" s="116"/>
      <c r="F127" s="116"/>
      <c r="G127" s="116">
        <f t="shared" si="6"/>
        <v>0</v>
      </c>
      <c r="H127" s="116"/>
      <c r="I127" s="69"/>
    </row>
    <row r="128" spans="1:9" ht="30.6" x14ac:dyDescent="0.3">
      <c r="A128" s="162" t="s">
        <v>1731</v>
      </c>
      <c r="B128" s="153" t="s">
        <v>5714</v>
      </c>
      <c r="C128" s="116"/>
      <c r="D128" s="110">
        <f>IF(C128&gt;0,36.57,0)</f>
        <v>0</v>
      </c>
      <c r="E128" s="116"/>
      <c r="F128" s="116"/>
      <c r="G128" s="116">
        <f t="shared" si="6"/>
        <v>0</v>
      </c>
      <c r="H128" s="116"/>
      <c r="I128" s="69"/>
    </row>
    <row r="129" spans="1:9" ht="30.6" x14ac:dyDescent="0.3">
      <c r="A129" s="162" t="s">
        <v>1733</v>
      </c>
      <c r="B129" s="153" t="s">
        <v>5715</v>
      </c>
      <c r="C129" s="116"/>
      <c r="D129" s="110">
        <f>IF(C129&gt;0,27.54,0)</f>
        <v>0</v>
      </c>
      <c r="E129" s="116"/>
      <c r="F129" s="116"/>
      <c r="G129" s="116">
        <f t="shared" si="6"/>
        <v>0</v>
      </c>
      <c r="H129" s="116"/>
      <c r="I129" s="69"/>
    </row>
    <row r="130" spans="1:9" ht="30.6" x14ac:dyDescent="0.3">
      <c r="A130" s="162" t="s">
        <v>1735</v>
      </c>
      <c r="B130" s="153" t="s">
        <v>5716</v>
      </c>
      <c r="C130" s="52"/>
      <c r="D130" s="64"/>
      <c r="E130" s="52"/>
      <c r="F130" s="52"/>
      <c r="G130" s="52"/>
      <c r="H130" s="52"/>
      <c r="I130" s="69"/>
    </row>
    <row r="131" spans="1:9" x14ac:dyDescent="0.3">
      <c r="A131" s="162"/>
      <c r="B131" s="153"/>
      <c r="C131" s="18"/>
      <c r="D131" s="18"/>
      <c r="E131" s="18"/>
      <c r="F131" s="18"/>
      <c r="G131" s="18"/>
      <c r="H131" s="18"/>
      <c r="I131" s="69"/>
    </row>
    <row r="132" spans="1:9" ht="20.399999999999999" x14ac:dyDescent="0.3">
      <c r="A132" s="162" t="s">
        <v>1736</v>
      </c>
      <c r="B132" s="153" t="s">
        <v>1710</v>
      </c>
      <c r="C132" s="116"/>
      <c r="D132" s="109"/>
      <c r="E132" s="116">
        <f>SUM(E85:E95)</f>
        <v>0</v>
      </c>
      <c r="F132" s="116">
        <f>SUM(F85:F95)</f>
        <v>0</v>
      </c>
      <c r="G132" s="116">
        <f>ROUND(E132-F132,0)</f>
        <v>0</v>
      </c>
      <c r="H132" s="116"/>
      <c r="I132" s="69"/>
    </row>
    <row r="133" spans="1:9" x14ac:dyDescent="0.3">
      <c r="A133" s="162"/>
      <c r="B133" s="153"/>
      <c r="C133" s="18"/>
      <c r="D133" s="18"/>
      <c r="E133" s="18"/>
      <c r="F133" s="18"/>
      <c r="G133" s="18"/>
      <c r="H133" s="18"/>
      <c r="I133" s="69"/>
    </row>
    <row r="134" spans="1:9" ht="51" x14ac:dyDescent="0.3">
      <c r="A134" s="162" t="s">
        <v>1738</v>
      </c>
      <c r="B134" s="153" t="s">
        <v>1712</v>
      </c>
      <c r="C134" s="116"/>
      <c r="D134" s="110">
        <f>IF(C134&gt;0,25,0)</f>
        <v>0</v>
      </c>
      <c r="E134" s="116">
        <f t="shared" ref="E134:E140" si="7">IF(D134&lt;&gt;0,ROUND(C134*D134/100,0),0)</f>
        <v>0</v>
      </c>
      <c r="F134" s="116"/>
      <c r="G134" s="116">
        <f t="shared" ref="G134:G140" si="8">ROUND(E134-F134,0)</f>
        <v>0</v>
      </c>
      <c r="H134" s="116"/>
      <c r="I134" s="69"/>
    </row>
    <row r="135" spans="1:9" ht="40.799999999999997" x14ac:dyDescent="0.3">
      <c r="A135" s="162" t="s">
        <v>1740</v>
      </c>
      <c r="B135" s="153" t="s">
        <v>1714</v>
      </c>
      <c r="C135" s="116"/>
      <c r="D135" s="110">
        <f>IF(C135&gt;0,26.5,0)</f>
        <v>0</v>
      </c>
      <c r="E135" s="116">
        <f t="shared" si="7"/>
        <v>0</v>
      </c>
      <c r="F135" s="116"/>
      <c r="G135" s="116">
        <f t="shared" si="8"/>
        <v>0</v>
      </c>
      <c r="H135" s="116"/>
      <c r="I135" s="69"/>
    </row>
    <row r="136" spans="1:9" ht="51" x14ac:dyDescent="0.3">
      <c r="A136" s="162" t="s">
        <v>1742</v>
      </c>
      <c r="B136" s="153" t="s">
        <v>1716</v>
      </c>
      <c r="C136" s="116"/>
      <c r="D136" s="110">
        <f>IF(C136&gt;0,30,0)</f>
        <v>0</v>
      </c>
      <c r="E136" s="116">
        <f t="shared" si="7"/>
        <v>0</v>
      </c>
      <c r="F136" s="116"/>
      <c r="G136" s="116">
        <f t="shared" si="8"/>
        <v>0</v>
      </c>
      <c r="H136" s="116"/>
      <c r="I136" s="69"/>
    </row>
    <row r="137" spans="1:9" ht="40.799999999999997" x14ac:dyDescent="0.3">
      <c r="A137" s="162" t="s">
        <v>1744</v>
      </c>
      <c r="B137" s="153" t="s">
        <v>1718</v>
      </c>
      <c r="C137" s="116"/>
      <c r="D137" s="110">
        <f>IF(C137&gt;0,30.4,0)</f>
        <v>0</v>
      </c>
      <c r="E137" s="116">
        <f t="shared" si="7"/>
        <v>0</v>
      </c>
      <c r="F137" s="116"/>
      <c r="G137" s="116">
        <f t="shared" si="8"/>
        <v>0</v>
      </c>
      <c r="H137" s="116"/>
      <c r="I137" s="69"/>
    </row>
    <row r="138" spans="1:9" ht="40.799999999999997" x14ac:dyDescent="0.3">
      <c r="A138" s="162" t="s">
        <v>1746</v>
      </c>
      <c r="B138" s="153" t="s">
        <v>1720</v>
      </c>
      <c r="C138" s="116"/>
      <c r="D138" s="110">
        <f>IF(C138&gt;0,53,0)</f>
        <v>0</v>
      </c>
      <c r="E138" s="116">
        <f t="shared" si="7"/>
        <v>0</v>
      </c>
      <c r="F138" s="116"/>
      <c r="G138" s="116">
        <f t="shared" si="8"/>
        <v>0</v>
      </c>
      <c r="H138" s="116"/>
      <c r="I138" s="69"/>
    </row>
    <row r="139" spans="1:9" ht="30.6" x14ac:dyDescent="0.3">
      <c r="A139" s="162" t="s">
        <v>1748</v>
      </c>
      <c r="B139" s="153" t="s">
        <v>1722</v>
      </c>
      <c r="C139" s="116"/>
      <c r="D139" s="110">
        <f>IF(C139&gt;0,160,0)</f>
        <v>0</v>
      </c>
      <c r="E139" s="116">
        <f t="shared" si="7"/>
        <v>0</v>
      </c>
      <c r="F139" s="116"/>
      <c r="G139" s="116">
        <f t="shared" si="8"/>
        <v>0</v>
      </c>
      <c r="H139" s="116"/>
      <c r="I139" s="69"/>
    </row>
    <row r="140" spans="1:9" ht="40.799999999999997" x14ac:dyDescent="0.3">
      <c r="A140" s="162" t="s">
        <v>1750</v>
      </c>
      <c r="B140" s="153" t="s">
        <v>1724</v>
      </c>
      <c r="C140" s="116"/>
      <c r="D140" s="110">
        <f>IF(C140&gt;0,160,0)</f>
        <v>0</v>
      </c>
      <c r="E140" s="116">
        <f t="shared" si="7"/>
        <v>0</v>
      </c>
      <c r="F140" s="116"/>
      <c r="G140" s="116">
        <f t="shared" si="8"/>
        <v>0</v>
      </c>
      <c r="H140" s="116"/>
      <c r="I140" s="69"/>
    </row>
    <row r="141" spans="1:9" ht="20.399999999999999" x14ac:dyDescent="0.3">
      <c r="A141" s="162" t="s">
        <v>1752</v>
      </c>
      <c r="B141" s="153" t="s">
        <v>1726</v>
      </c>
      <c r="C141" s="52"/>
      <c r="D141" s="64"/>
      <c r="E141" s="52"/>
      <c r="F141" s="52"/>
      <c r="G141" s="52"/>
      <c r="H141" s="52"/>
      <c r="I141" s="69"/>
    </row>
    <row r="142" spans="1:9" x14ac:dyDescent="0.3">
      <c r="A142" s="162"/>
      <c r="B142" s="153"/>
      <c r="C142" s="18"/>
      <c r="D142" s="18"/>
      <c r="E142" s="18"/>
      <c r="F142" s="18"/>
      <c r="G142" s="18"/>
      <c r="H142" s="18"/>
      <c r="I142" s="69"/>
    </row>
    <row r="143" spans="1:9" ht="20.399999999999999" x14ac:dyDescent="0.3">
      <c r="A143" s="162" t="s">
        <v>1754</v>
      </c>
      <c r="B143" s="153" t="s">
        <v>1728</v>
      </c>
      <c r="C143" s="116">
        <f>ROUND(SUM(C134:C141),0)</f>
        <v>0</v>
      </c>
      <c r="D143" s="109"/>
      <c r="E143" s="116"/>
      <c r="F143" s="116"/>
      <c r="G143" s="116"/>
      <c r="H143" s="116"/>
      <c r="I143" s="69"/>
    </row>
    <row r="144" spans="1:9" x14ac:dyDescent="0.3">
      <c r="A144" s="162"/>
      <c r="B144" s="153"/>
      <c r="C144" s="18"/>
      <c r="D144" s="18"/>
      <c r="E144" s="18"/>
      <c r="F144" s="18"/>
      <c r="G144" s="18"/>
      <c r="H144" s="18"/>
      <c r="I144" s="69"/>
    </row>
    <row r="145" spans="1:9" ht="20.399999999999999" x14ac:dyDescent="0.3">
      <c r="A145" s="162" t="s">
        <v>1755</v>
      </c>
      <c r="B145" s="153" t="s">
        <v>5717</v>
      </c>
      <c r="C145" s="116"/>
      <c r="D145" s="109"/>
      <c r="E145" s="116"/>
      <c r="F145" s="116"/>
      <c r="G145" s="116">
        <f>ROUND(E145-F145,0)</f>
        <v>0</v>
      </c>
      <c r="H145" s="116"/>
      <c r="I145" s="69"/>
    </row>
    <row r="146" spans="1:9" x14ac:dyDescent="0.3">
      <c r="A146" s="162"/>
      <c r="B146" s="153"/>
      <c r="C146" s="18"/>
      <c r="D146" s="18"/>
      <c r="E146" s="18"/>
      <c r="F146" s="18"/>
      <c r="G146" s="18"/>
      <c r="H146" s="18"/>
      <c r="I146" s="69"/>
    </row>
    <row r="147" spans="1:9" ht="30.6" x14ac:dyDescent="0.3">
      <c r="A147" s="162" t="s">
        <v>1756</v>
      </c>
      <c r="B147" s="153" t="s">
        <v>5470</v>
      </c>
      <c r="C147" s="116"/>
      <c r="D147" s="110">
        <f>IF(C147&gt;0,9,0)</f>
        <v>0</v>
      </c>
      <c r="E147" s="116">
        <f>IF(D147&lt;&gt;0,ROUND(C147*D147/100,0),0)</f>
        <v>0</v>
      </c>
      <c r="F147" s="116"/>
      <c r="G147" s="116">
        <f>ROUND(E147-F147,0)</f>
        <v>0</v>
      </c>
      <c r="H147" s="116"/>
      <c r="I147" s="69"/>
    </row>
    <row r="148" spans="1:9" ht="20.399999999999999" x14ac:dyDescent="0.3">
      <c r="A148" s="162" t="s">
        <v>1757</v>
      </c>
      <c r="B148" s="153" t="s">
        <v>1732</v>
      </c>
      <c r="C148" s="116"/>
      <c r="D148" s="110">
        <f>IF(C148&gt;0,7,0)</f>
        <v>0</v>
      </c>
      <c r="E148" s="116">
        <f>IF(D148&lt;&gt;0,ROUND(C148*D148/100,0),0)</f>
        <v>0</v>
      </c>
      <c r="F148" s="116"/>
      <c r="G148" s="116">
        <f>ROUND(E148-F148,0)</f>
        <v>0</v>
      </c>
      <c r="H148" s="116"/>
      <c r="I148" s="69"/>
    </row>
    <row r="149" spans="1:9" ht="20.399999999999999" x14ac:dyDescent="0.3">
      <c r="A149" s="162" t="s">
        <v>1758</v>
      </c>
      <c r="B149" s="153" t="s">
        <v>1734</v>
      </c>
      <c r="C149" s="116"/>
      <c r="D149" s="110">
        <f>IF(C149&gt;0,6,0)</f>
        <v>0</v>
      </c>
      <c r="E149" s="116">
        <f>IF(D149&lt;&gt;0,ROUND(C149*D149/100,0),0)</f>
        <v>0</v>
      </c>
      <c r="F149" s="116"/>
      <c r="G149" s="116">
        <f>ROUND(E149-F149,0)</f>
        <v>0</v>
      </c>
      <c r="H149" s="116"/>
      <c r="I149" s="69"/>
    </row>
    <row r="150" spans="1:9" ht="20.399999999999999" x14ac:dyDescent="0.3">
      <c r="A150" s="162" t="s">
        <v>1759</v>
      </c>
      <c r="B150" s="153" t="s">
        <v>1680</v>
      </c>
      <c r="C150" s="116"/>
      <c r="D150" s="109"/>
      <c r="E150" s="116"/>
      <c r="F150" s="116"/>
      <c r="G150" s="116">
        <f>ROUND(E150-F150,0)</f>
        <v>0</v>
      </c>
      <c r="H150" s="116"/>
      <c r="I150" s="69"/>
    </row>
    <row r="151" spans="1:9" x14ac:dyDescent="0.3">
      <c r="A151" s="162"/>
      <c r="B151" s="153"/>
      <c r="C151" s="18"/>
      <c r="D151" s="18"/>
      <c r="E151" s="18"/>
      <c r="F151" s="18"/>
      <c r="G151" s="18"/>
      <c r="H151" s="18"/>
      <c r="I151" s="69"/>
    </row>
    <row r="152" spans="1:9" ht="40.799999999999997" x14ac:dyDescent="0.3">
      <c r="A152" s="162" t="s">
        <v>1760</v>
      </c>
      <c r="B152" s="153" t="s">
        <v>1737</v>
      </c>
      <c r="C152" s="116"/>
      <c r="D152" s="110">
        <f t="shared" ref="D152:D160" si="9">IF(C152&gt;0,8,0)</f>
        <v>0</v>
      </c>
      <c r="E152" s="116">
        <f t="shared" ref="E152:E160" si="10">IF(D152&lt;&gt;0,ROUND(C152*D152/100,0),0)</f>
        <v>0</v>
      </c>
      <c r="F152" s="116"/>
      <c r="G152" s="116">
        <f t="shared" ref="G152:G160" si="11">ROUND(E152-F152,0)</f>
        <v>0</v>
      </c>
      <c r="H152" s="116"/>
      <c r="I152" s="69"/>
    </row>
    <row r="153" spans="1:9" ht="40.799999999999997" x14ac:dyDescent="0.3">
      <c r="A153" s="162" t="s">
        <v>1761</v>
      </c>
      <c r="B153" s="153" t="s">
        <v>1739</v>
      </c>
      <c r="C153" s="116"/>
      <c r="D153" s="110">
        <f t="shared" si="9"/>
        <v>0</v>
      </c>
      <c r="E153" s="116">
        <f t="shared" si="10"/>
        <v>0</v>
      </c>
      <c r="F153" s="116"/>
      <c r="G153" s="116">
        <f t="shared" si="11"/>
        <v>0</v>
      </c>
      <c r="H153" s="116"/>
      <c r="I153" s="69"/>
    </row>
    <row r="154" spans="1:9" ht="51" x14ac:dyDescent="0.3">
      <c r="A154" s="162" t="s">
        <v>1762</v>
      </c>
      <c r="B154" s="153" t="s">
        <v>1741</v>
      </c>
      <c r="C154" s="116"/>
      <c r="D154" s="110">
        <f t="shared" si="9"/>
        <v>0</v>
      </c>
      <c r="E154" s="116">
        <f t="shared" si="10"/>
        <v>0</v>
      </c>
      <c r="F154" s="116"/>
      <c r="G154" s="116">
        <f t="shared" si="11"/>
        <v>0</v>
      </c>
      <c r="H154" s="116"/>
      <c r="I154" s="69"/>
    </row>
    <row r="155" spans="1:9" ht="40.799999999999997" x14ac:dyDescent="0.3">
      <c r="A155" s="162" t="s">
        <v>1763</v>
      </c>
      <c r="B155" s="153" t="s">
        <v>1743</v>
      </c>
      <c r="C155" s="116"/>
      <c r="D155" s="110">
        <f t="shared" si="9"/>
        <v>0</v>
      </c>
      <c r="E155" s="116">
        <f t="shared" si="10"/>
        <v>0</v>
      </c>
      <c r="F155" s="116"/>
      <c r="G155" s="116">
        <f t="shared" si="11"/>
        <v>0</v>
      </c>
      <c r="H155" s="116"/>
      <c r="I155" s="69"/>
    </row>
    <row r="156" spans="1:9" ht="40.799999999999997" x14ac:dyDescent="0.3">
      <c r="A156" s="162" t="s">
        <v>1764</v>
      </c>
      <c r="B156" s="153" t="s">
        <v>1745</v>
      </c>
      <c r="C156" s="116"/>
      <c r="D156" s="110">
        <f t="shared" si="9"/>
        <v>0</v>
      </c>
      <c r="E156" s="116">
        <f t="shared" si="10"/>
        <v>0</v>
      </c>
      <c r="F156" s="116"/>
      <c r="G156" s="116">
        <f t="shared" si="11"/>
        <v>0</v>
      </c>
      <c r="H156" s="116"/>
      <c r="I156" s="69"/>
    </row>
    <row r="157" spans="1:9" ht="40.799999999999997" x14ac:dyDescent="0.3">
      <c r="A157" s="162" t="s">
        <v>1765</v>
      </c>
      <c r="B157" s="153" t="s">
        <v>1747</v>
      </c>
      <c r="C157" s="116"/>
      <c r="D157" s="110">
        <f t="shared" si="9"/>
        <v>0</v>
      </c>
      <c r="E157" s="116">
        <f t="shared" si="10"/>
        <v>0</v>
      </c>
      <c r="F157" s="116"/>
      <c r="G157" s="116">
        <f t="shared" si="11"/>
        <v>0</v>
      </c>
      <c r="H157" s="116"/>
      <c r="I157" s="69"/>
    </row>
    <row r="158" spans="1:9" ht="40.799999999999997" x14ac:dyDescent="0.3">
      <c r="A158" s="162" t="s">
        <v>1766</v>
      </c>
      <c r="B158" s="153" t="s">
        <v>1749</v>
      </c>
      <c r="C158" s="116"/>
      <c r="D158" s="110">
        <f t="shared" si="9"/>
        <v>0</v>
      </c>
      <c r="E158" s="116">
        <f t="shared" si="10"/>
        <v>0</v>
      </c>
      <c r="F158" s="116"/>
      <c r="G158" s="116">
        <f t="shared" si="11"/>
        <v>0</v>
      </c>
      <c r="H158" s="116"/>
      <c r="I158" s="69"/>
    </row>
    <row r="159" spans="1:9" ht="40.799999999999997" x14ac:dyDescent="0.3">
      <c r="A159" s="162" t="s">
        <v>1767</v>
      </c>
      <c r="B159" s="153" t="s">
        <v>1751</v>
      </c>
      <c r="C159" s="116"/>
      <c r="D159" s="110">
        <f t="shared" si="9"/>
        <v>0</v>
      </c>
      <c r="E159" s="116">
        <f t="shared" si="10"/>
        <v>0</v>
      </c>
      <c r="F159" s="116"/>
      <c r="G159" s="116">
        <f t="shared" si="11"/>
        <v>0</v>
      </c>
      <c r="H159" s="116"/>
      <c r="I159" s="69"/>
    </row>
    <row r="160" spans="1:9" ht="40.799999999999997" x14ac:dyDescent="0.3">
      <c r="A160" s="162" t="s">
        <v>1768</v>
      </c>
      <c r="B160" s="153" t="s">
        <v>1753</v>
      </c>
      <c r="C160" s="116"/>
      <c r="D160" s="110">
        <f t="shared" si="9"/>
        <v>0</v>
      </c>
      <c r="E160" s="116">
        <f t="shared" si="10"/>
        <v>0</v>
      </c>
      <c r="F160" s="116"/>
      <c r="G160" s="116">
        <f t="shared" si="11"/>
        <v>0</v>
      </c>
      <c r="H160" s="116"/>
      <c r="I160" s="69"/>
    </row>
    <row r="161" spans="1:9" x14ac:dyDescent="0.3">
      <c r="A161" s="163"/>
      <c r="B161" s="160"/>
      <c r="C161" s="18"/>
      <c r="D161" s="18"/>
      <c r="E161" s="18"/>
      <c r="F161" s="18"/>
      <c r="G161" s="18"/>
      <c r="H161" s="18"/>
      <c r="I161" s="69"/>
    </row>
    <row r="162" spans="1:9" ht="20.399999999999999" x14ac:dyDescent="0.3">
      <c r="A162" s="162" t="s">
        <v>1770</v>
      </c>
      <c r="B162" s="153" t="s">
        <v>5718</v>
      </c>
      <c r="C162" s="116"/>
      <c r="D162" s="110">
        <f>IF(C162&gt;0,5.91,0)</f>
        <v>0</v>
      </c>
      <c r="E162" s="116"/>
      <c r="F162" s="116"/>
      <c r="G162" s="116">
        <f t="shared" ref="G162:G170" si="12">ROUND(E162-F162,0)</f>
        <v>0</v>
      </c>
      <c r="H162" s="116"/>
      <c r="I162" s="69"/>
    </row>
    <row r="163" spans="1:9" ht="20.399999999999999" x14ac:dyDescent="0.3">
      <c r="A163" s="162" t="s">
        <v>1772</v>
      </c>
      <c r="B163" s="153" t="s">
        <v>5719</v>
      </c>
      <c r="C163" s="116"/>
      <c r="D163" s="110">
        <f>IF(C163&gt;0,7.66,0)</f>
        <v>0</v>
      </c>
      <c r="E163" s="116"/>
      <c r="F163" s="116"/>
      <c r="G163" s="116">
        <f t="shared" si="12"/>
        <v>0</v>
      </c>
      <c r="H163" s="116"/>
      <c r="I163" s="69"/>
    </row>
    <row r="164" spans="1:9" ht="30.6" x14ac:dyDescent="0.3">
      <c r="A164" s="162" t="s">
        <v>1774</v>
      </c>
      <c r="B164" s="153" t="s">
        <v>5720</v>
      </c>
      <c r="C164" s="116"/>
      <c r="D164" s="110">
        <f>IF(C164&gt;0,10.38,0)</f>
        <v>0</v>
      </c>
      <c r="E164" s="116"/>
      <c r="F164" s="116"/>
      <c r="G164" s="116">
        <f t="shared" si="12"/>
        <v>0</v>
      </c>
      <c r="H164" s="116"/>
      <c r="I164" s="69"/>
    </row>
    <row r="165" spans="1:9" ht="30.6" x14ac:dyDescent="0.3">
      <c r="A165" s="162" t="s">
        <v>1776</v>
      </c>
      <c r="B165" s="153" t="s">
        <v>5721</v>
      </c>
      <c r="C165" s="116"/>
      <c r="D165" s="110">
        <f>IF(C165&gt;0,12.4,0)</f>
        <v>0</v>
      </c>
      <c r="E165" s="116"/>
      <c r="F165" s="116"/>
      <c r="G165" s="116">
        <f t="shared" si="12"/>
        <v>0</v>
      </c>
      <c r="H165" s="116"/>
      <c r="I165" s="69"/>
    </row>
    <row r="166" spans="1:9" ht="20.399999999999999" x14ac:dyDescent="0.3">
      <c r="A166" s="162" t="s">
        <v>1778</v>
      </c>
      <c r="B166" s="153" t="s">
        <v>5722</v>
      </c>
      <c r="C166" s="116"/>
      <c r="D166" s="110">
        <f>IF(C166&gt;0,12.59,0)</f>
        <v>0</v>
      </c>
      <c r="E166" s="116"/>
      <c r="F166" s="116"/>
      <c r="G166" s="116">
        <f t="shared" si="12"/>
        <v>0</v>
      </c>
      <c r="H166" s="116"/>
      <c r="I166" s="69"/>
    </row>
    <row r="167" spans="1:9" ht="30.6" x14ac:dyDescent="0.3">
      <c r="A167" s="162" t="s">
        <v>1780</v>
      </c>
      <c r="B167" s="153" t="s">
        <v>5723</v>
      </c>
      <c r="C167" s="116"/>
      <c r="D167" s="110">
        <f>IF(C167&gt;0,13.45,0)</f>
        <v>0</v>
      </c>
      <c r="E167" s="116"/>
      <c r="F167" s="116"/>
      <c r="G167" s="116">
        <f t="shared" si="12"/>
        <v>0</v>
      </c>
      <c r="H167" s="116"/>
      <c r="I167" s="69"/>
    </row>
    <row r="168" spans="1:9" ht="30.6" x14ac:dyDescent="0.3">
      <c r="A168" s="162" t="s">
        <v>1782</v>
      </c>
      <c r="B168" s="153" t="s">
        <v>5724</v>
      </c>
      <c r="C168" s="116"/>
      <c r="D168" s="110">
        <f>IF(C168&gt;0,15.6,0)</f>
        <v>0</v>
      </c>
      <c r="E168" s="116"/>
      <c r="F168" s="116"/>
      <c r="G168" s="116">
        <f t="shared" si="12"/>
        <v>0</v>
      </c>
      <c r="H168" s="116"/>
      <c r="I168" s="69"/>
    </row>
    <row r="169" spans="1:9" ht="30.6" x14ac:dyDescent="0.3">
      <c r="A169" s="162" t="s">
        <v>1784</v>
      </c>
      <c r="B169" s="153" t="s">
        <v>5725</v>
      </c>
      <c r="C169" s="116"/>
      <c r="D169" s="110">
        <f>IF(C169&gt;0,36.57,0)</f>
        <v>0</v>
      </c>
      <c r="E169" s="116"/>
      <c r="F169" s="116"/>
      <c r="G169" s="116">
        <f t="shared" si="12"/>
        <v>0</v>
      </c>
      <c r="H169" s="116"/>
      <c r="I169" s="69"/>
    </row>
    <row r="170" spans="1:9" ht="30.6" x14ac:dyDescent="0.3">
      <c r="A170" s="162" t="s">
        <v>1787</v>
      </c>
      <c r="B170" s="153" t="s">
        <v>5726</v>
      </c>
      <c r="C170" s="116"/>
      <c r="D170" s="110">
        <f>IF(C170&gt;0,27.54,0)</f>
        <v>0</v>
      </c>
      <c r="E170" s="116"/>
      <c r="F170" s="116"/>
      <c r="G170" s="116">
        <f t="shared" si="12"/>
        <v>0</v>
      </c>
      <c r="H170" s="116"/>
      <c r="I170" s="69"/>
    </row>
    <row r="171" spans="1:9" ht="30.6" x14ac:dyDescent="0.3">
      <c r="A171" s="162" t="s">
        <v>1789</v>
      </c>
      <c r="B171" s="153" t="s">
        <v>5727</v>
      </c>
      <c r="C171" s="52"/>
      <c r="D171" s="64"/>
      <c r="E171" s="52"/>
      <c r="F171" s="52"/>
      <c r="G171" s="52"/>
      <c r="H171" s="52"/>
      <c r="I171" s="69"/>
    </row>
    <row r="172" spans="1:9" x14ac:dyDescent="0.3">
      <c r="A172" s="162"/>
      <c r="B172" s="153"/>
      <c r="C172" s="18"/>
      <c r="D172" s="18"/>
      <c r="E172" s="18"/>
      <c r="F172" s="18"/>
      <c r="G172" s="18"/>
      <c r="H172" s="18"/>
      <c r="I172" s="69"/>
    </row>
    <row r="173" spans="1:9" ht="20.399999999999999" x14ac:dyDescent="0.3">
      <c r="A173" s="162" t="s">
        <v>1791</v>
      </c>
      <c r="B173" s="153" t="s">
        <v>5728</v>
      </c>
      <c r="C173" s="116"/>
      <c r="D173" s="110">
        <f>IF(C173&gt;0,0.35,0)</f>
        <v>0</v>
      </c>
      <c r="E173" s="116"/>
      <c r="F173" s="116"/>
      <c r="G173" s="116">
        <f>ROUND(E173-F173,0)</f>
        <v>0</v>
      </c>
      <c r="H173" s="116"/>
      <c r="I173" s="69"/>
    </row>
    <row r="174" spans="1:9" ht="20.399999999999999" x14ac:dyDescent="0.3">
      <c r="A174" s="162" t="s">
        <v>1794</v>
      </c>
      <c r="B174" s="153" t="s">
        <v>5729</v>
      </c>
      <c r="C174" s="116"/>
      <c r="D174" s="110">
        <f>IF(C174&gt;0,0.35,0)</f>
        <v>0</v>
      </c>
      <c r="E174" s="116"/>
      <c r="F174" s="116"/>
      <c r="G174" s="116">
        <f>ROUND(E174-F174,0)</f>
        <v>0</v>
      </c>
      <c r="H174" s="116"/>
      <c r="I174" s="69"/>
    </row>
    <row r="175" spans="1:9" ht="40.799999999999997" x14ac:dyDescent="0.3">
      <c r="A175" s="162" t="s">
        <v>1796</v>
      </c>
      <c r="B175" s="153" t="s">
        <v>5471</v>
      </c>
      <c r="C175" s="116"/>
      <c r="D175" s="110">
        <f>IF(C175&gt;0,0.35,0)</f>
        <v>0</v>
      </c>
      <c r="E175" s="116"/>
      <c r="F175" s="116"/>
      <c r="G175" s="116">
        <f>ROUND(E175-F175,0)</f>
        <v>0</v>
      </c>
      <c r="H175" s="116"/>
      <c r="I175" s="69"/>
    </row>
    <row r="176" spans="1:9" ht="40.799999999999997" x14ac:dyDescent="0.3">
      <c r="A176" s="162" t="s">
        <v>1797</v>
      </c>
      <c r="B176" s="153" t="s">
        <v>5472</v>
      </c>
      <c r="C176" s="116"/>
      <c r="D176" s="110">
        <f>IF(C176&gt;0,0.35,0)</f>
        <v>0</v>
      </c>
      <c r="E176" s="116"/>
      <c r="F176" s="116"/>
      <c r="G176" s="116">
        <f>ROUND(E176-F176,0)</f>
        <v>0</v>
      </c>
      <c r="H176" s="116"/>
      <c r="I176" s="69"/>
    </row>
    <row r="177" spans="1:9" ht="20.399999999999999" x14ac:dyDescent="0.3">
      <c r="A177" s="162" t="s">
        <v>1800</v>
      </c>
      <c r="B177" s="153" t="s">
        <v>1769</v>
      </c>
      <c r="C177" s="116"/>
      <c r="D177" s="109"/>
      <c r="E177" s="116">
        <f t="shared" ref="E177:G178" si="13">ROUND(E173+E175,0)</f>
        <v>0</v>
      </c>
      <c r="F177" s="116">
        <f t="shared" si="13"/>
        <v>0</v>
      </c>
      <c r="G177" s="116">
        <f t="shared" si="13"/>
        <v>0</v>
      </c>
      <c r="H177" s="116"/>
      <c r="I177" s="69"/>
    </row>
    <row r="178" spans="1:9" ht="20.399999999999999" x14ac:dyDescent="0.3">
      <c r="A178" s="162" t="s">
        <v>1802</v>
      </c>
      <c r="B178" s="153" t="s">
        <v>1771</v>
      </c>
      <c r="C178" s="116"/>
      <c r="D178" s="109"/>
      <c r="E178" s="116">
        <f t="shared" si="13"/>
        <v>0</v>
      </c>
      <c r="F178" s="116">
        <f t="shared" si="13"/>
        <v>0</v>
      </c>
      <c r="G178" s="116">
        <f t="shared" si="13"/>
        <v>0</v>
      </c>
      <c r="H178" s="116"/>
      <c r="I178" s="69"/>
    </row>
    <row r="179" spans="1:9" x14ac:dyDescent="0.3">
      <c r="A179" s="162"/>
      <c r="B179" s="153"/>
      <c r="C179" s="18"/>
      <c r="D179" s="18"/>
      <c r="E179" s="18"/>
      <c r="F179" s="18"/>
      <c r="G179" s="18"/>
      <c r="H179" s="18"/>
      <c r="I179" s="69"/>
    </row>
    <row r="180" spans="1:9" ht="61.2" x14ac:dyDescent="0.3">
      <c r="A180" s="162" t="s">
        <v>1804</v>
      </c>
      <c r="B180" s="153" t="s">
        <v>1773</v>
      </c>
      <c r="C180" s="116"/>
      <c r="D180" s="109"/>
      <c r="E180" s="116"/>
      <c r="F180" s="116"/>
      <c r="G180" s="116">
        <f>ROUND(E180-F180,0)</f>
        <v>0</v>
      </c>
      <c r="H180" s="116"/>
      <c r="I180" s="69"/>
    </row>
    <row r="181" spans="1:9" ht="61.2" x14ac:dyDescent="0.3">
      <c r="A181" s="162" t="s">
        <v>1806</v>
      </c>
      <c r="B181" s="153" t="s">
        <v>1775</v>
      </c>
      <c r="C181" s="116"/>
      <c r="D181" s="109"/>
      <c r="E181" s="116"/>
      <c r="F181" s="116"/>
      <c r="G181" s="116">
        <f>ROUND(E181-F181,0)</f>
        <v>0</v>
      </c>
      <c r="H181" s="116"/>
      <c r="I181" s="69"/>
    </row>
    <row r="182" spans="1:9" x14ac:dyDescent="0.3">
      <c r="A182" s="162"/>
      <c r="B182" s="153"/>
      <c r="C182" s="18"/>
      <c r="D182" s="18"/>
      <c r="E182" s="18"/>
      <c r="F182" s="18"/>
      <c r="G182" s="18"/>
      <c r="H182" s="18"/>
      <c r="I182" s="69"/>
    </row>
    <row r="183" spans="1:9" ht="20.399999999999999" x14ac:dyDescent="0.3">
      <c r="A183" s="162" t="s">
        <v>1808</v>
      </c>
      <c r="B183" s="153" t="s">
        <v>1777</v>
      </c>
      <c r="C183" s="116"/>
      <c r="D183" s="109"/>
      <c r="E183" s="116"/>
      <c r="F183" s="116"/>
      <c r="G183" s="116">
        <f>ROUND(E183-F183,0)</f>
        <v>0</v>
      </c>
      <c r="H183" s="116"/>
      <c r="I183" s="69"/>
    </row>
    <row r="184" spans="1:9" x14ac:dyDescent="0.3">
      <c r="A184" s="162"/>
      <c r="B184" s="153"/>
      <c r="C184" s="18"/>
      <c r="D184" s="18"/>
      <c r="E184" s="18"/>
      <c r="F184" s="18"/>
      <c r="G184" s="18"/>
      <c r="H184" s="18"/>
      <c r="I184" s="69"/>
    </row>
    <row r="185" spans="1:9" ht="20.399999999999999" x14ac:dyDescent="0.3">
      <c r="A185" s="162" t="s">
        <v>1812</v>
      </c>
      <c r="B185" s="153" t="s">
        <v>1779</v>
      </c>
      <c r="C185" s="116"/>
      <c r="D185" s="109"/>
      <c r="E185" s="116"/>
      <c r="F185" s="116"/>
      <c r="G185" s="116">
        <f>ROUND(E185-F185,0)</f>
        <v>0</v>
      </c>
      <c r="H185" s="116"/>
      <c r="I185" s="69"/>
    </row>
    <row r="186" spans="1:9" ht="30.6" x14ac:dyDescent="0.3">
      <c r="A186" s="162" t="s">
        <v>1814</v>
      </c>
      <c r="B186" s="153" t="s">
        <v>1781</v>
      </c>
      <c r="C186" s="116"/>
      <c r="D186" s="109"/>
      <c r="E186" s="116"/>
      <c r="F186" s="116"/>
      <c r="G186" s="116">
        <f>ROUND(E186-F186,0)</f>
        <v>0</v>
      </c>
      <c r="H186" s="116"/>
      <c r="I186" s="69"/>
    </row>
    <row r="187" spans="1:9" ht="20.399999999999999" x14ac:dyDescent="0.3">
      <c r="A187" s="162" t="s">
        <v>1815</v>
      </c>
      <c r="B187" s="153" t="s">
        <v>1783</v>
      </c>
      <c r="C187" s="116"/>
      <c r="D187" s="109"/>
      <c r="E187" s="116"/>
      <c r="F187" s="116"/>
      <c r="G187" s="116">
        <f>ROUND(E187-F187,0)</f>
        <v>0</v>
      </c>
      <c r="H187" s="116"/>
      <c r="I187" s="69"/>
    </row>
    <row r="188" spans="1:9" ht="20.399999999999999" x14ac:dyDescent="0.3">
      <c r="A188" s="162" t="s">
        <v>1817</v>
      </c>
      <c r="B188" s="153" t="s">
        <v>1785</v>
      </c>
      <c r="C188" s="116"/>
      <c r="D188" s="109"/>
      <c r="E188" s="116"/>
      <c r="F188" s="116"/>
      <c r="G188" s="116">
        <f>ROUND(E188-F188,0)</f>
        <v>0</v>
      </c>
      <c r="H188" s="116"/>
      <c r="I188" s="69"/>
    </row>
    <row r="189" spans="1:9" x14ac:dyDescent="0.3">
      <c r="A189" s="162"/>
      <c r="B189" s="153"/>
      <c r="C189" s="18"/>
      <c r="D189" s="18"/>
      <c r="E189" s="18"/>
      <c r="F189" s="18"/>
      <c r="G189" s="18"/>
      <c r="H189" s="18"/>
      <c r="I189" s="69"/>
    </row>
    <row r="190" spans="1:9" ht="30.6" x14ac:dyDescent="0.3">
      <c r="A190" s="162" t="s">
        <v>1819</v>
      </c>
      <c r="B190" s="153" t="s">
        <v>5473</v>
      </c>
      <c r="C190" s="185"/>
      <c r="D190" s="160"/>
      <c r="E190" s="185"/>
      <c r="F190" s="185"/>
      <c r="G190" s="185"/>
      <c r="H190" s="185"/>
      <c r="I190" s="149"/>
    </row>
    <row r="191" spans="1:9" ht="30.6" x14ac:dyDescent="0.3">
      <c r="A191" s="162" t="s">
        <v>1821</v>
      </c>
      <c r="B191" s="153" t="s">
        <v>5474</v>
      </c>
      <c r="C191" s="185"/>
      <c r="D191" s="160"/>
      <c r="E191" s="185"/>
      <c r="F191" s="185"/>
      <c r="G191" s="185"/>
      <c r="H191" s="185"/>
      <c r="I191" s="149"/>
    </row>
    <row r="192" spans="1:9" x14ac:dyDescent="0.3">
      <c r="A192" s="162"/>
      <c r="B192" s="153"/>
      <c r="C192" s="160"/>
      <c r="D192" s="160"/>
      <c r="E192" s="160"/>
      <c r="F192" s="160"/>
      <c r="G192" s="160"/>
      <c r="H192" s="160"/>
      <c r="I192" s="149"/>
    </row>
    <row r="193" spans="1:9" x14ac:dyDescent="0.3">
      <c r="A193" s="162"/>
      <c r="B193" s="179" t="s">
        <v>1786</v>
      </c>
      <c r="C193" s="18"/>
      <c r="D193" s="18"/>
      <c r="E193" s="18"/>
      <c r="F193" s="18"/>
      <c r="G193" s="18"/>
      <c r="H193" s="18"/>
      <c r="I193" s="69"/>
    </row>
    <row r="194" spans="1:9" x14ac:dyDescent="0.3">
      <c r="A194" s="162"/>
      <c r="B194" s="153"/>
      <c r="C194" s="18"/>
      <c r="D194" s="18"/>
      <c r="E194" s="18"/>
      <c r="F194" s="18"/>
      <c r="G194" s="18"/>
      <c r="H194" s="18"/>
      <c r="I194" s="69"/>
    </row>
    <row r="195" spans="1:9" x14ac:dyDescent="0.3">
      <c r="A195" s="162" t="s">
        <v>1823</v>
      </c>
      <c r="B195" s="153" t="s">
        <v>1788</v>
      </c>
      <c r="C195" s="116">
        <f>IF(D195=0,0,ROUND(E195/D195,0))</f>
        <v>0</v>
      </c>
      <c r="D195" s="109"/>
      <c r="E195" s="193">
        <f>'ANEXO 7'!AE93</f>
        <v>0</v>
      </c>
      <c r="F195" s="116"/>
      <c r="G195" s="116">
        <f>ROUND(E195-F195,0)</f>
        <v>0</v>
      </c>
      <c r="H195" s="116"/>
      <c r="I195" s="69"/>
    </row>
    <row r="196" spans="1:9" x14ac:dyDescent="0.3">
      <c r="A196" s="162" t="s">
        <v>1825</v>
      </c>
      <c r="B196" s="153" t="s">
        <v>1790</v>
      </c>
      <c r="C196" s="116">
        <f>IF(D196=0,0,ROUND(E196/D196,0))</f>
        <v>0</v>
      </c>
      <c r="D196" s="109"/>
      <c r="E196" s="193">
        <f>'ANEXO 7'!AE94</f>
        <v>0</v>
      </c>
      <c r="F196" s="116"/>
      <c r="G196" s="116">
        <f>ROUND(E196-F196,0)</f>
        <v>0</v>
      </c>
      <c r="H196" s="116"/>
      <c r="I196" s="69"/>
    </row>
    <row r="197" spans="1:9" x14ac:dyDescent="0.3">
      <c r="A197" s="162"/>
      <c r="B197" s="153"/>
      <c r="C197" s="18"/>
      <c r="D197" s="18"/>
      <c r="E197" s="18"/>
      <c r="F197" s="18"/>
      <c r="G197" s="18"/>
      <c r="H197" s="18"/>
      <c r="I197" s="69"/>
    </row>
    <row r="198" spans="1:9" x14ac:dyDescent="0.3">
      <c r="A198" s="162" t="s">
        <v>1827</v>
      </c>
      <c r="B198" s="153" t="s">
        <v>1792</v>
      </c>
      <c r="C198" s="116"/>
      <c r="D198" s="109"/>
      <c r="E198" s="116">
        <f>ROUND(SUM(E195:E196),0)</f>
        <v>0</v>
      </c>
      <c r="F198" s="116">
        <f>ROUND(SUM(F195:F196),0)</f>
        <v>0</v>
      </c>
      <c r="G198" s="116">
        <f>ROUND(E198-F198,0)</f>
        <v>0</v>
      </c>
      <c r="H198" s="116"/>
      <c r="I198" s="69"/>
    </row>
    <row r="199" spans="1:9" x14ac:dyDescent="0.3">
      <c r="A199" s="162"/>
      <c r="B199" s="153"/>
      <c r="C199" s="18"/>
      <c r="D199" s="18"/>
      <c r="E199" s="18"/>
      <c r="F199" s="18"/>
      <c r="G199" s="18"/>
      <c r="H199" s="18"/>
      <c r="I199" s="69"/>
    </row>
    <row r="200" spans="1:9" x14ac:dyDescent="0.3">
      <c r="A200" s="162"/>
      <c r="B200" s="179" t="s">
        <v>1793</v>
      </c>
      <c r="C200" s="18"/>
      <c r="D200" s="18"/>
      <c r="E200" s="18"/>
      <c r="F200" s="18"/>
      <c r="G200" s="18"/>
      <c r="H200" s="18"/>
      <c r="I200" s="69"/>
    </row>
    <row r="201" spans="1:9" x14ac:dyDescent="0.3">
      <c r="A201" s="162"/>
      <c r="B201" s="153"/>
      <c r="C201" s="18"/>
      <c r="D201" s="18"/>
      <c r="E201" s="18"/>
      <c r="F201" s="18"/>
      <c r="G201" s="18"/>
      <c r="H201" s="18"/>
      <c r="I201" s="69"/>
    </row>
    <row r="202" spans="1:9" x14ac:dyDescent="0.3">
      <c r="A202" s="162" t="s">
        <v>1828</v>
      </c>
      <c r="B202" s="153" t="s">
        <v>1795</v>
      </c>
      <c r="C202" s="116"/>
      <c r="D202" s="109"/>
      <c r="E202" s="193">
        <f>ROUND('ANEXO 7'!AE33,0)</f>
        <v>0</v>
      </c>
      <c r="F202" s="116">
        <f>E202</f>
        <v>0</v>
      </c>
      <c r="G202" s="116">
        <f>ROUND(E202-F202,0)</f>
        <v>0</v>
      </c>
      <c r="H202" s="116"/>
      <c r="I202" s="69"/>
    </row>
    <row r="203" spans="1:9" x14ac:dyDescent="0.3">
      <c r="A203" s="162" t="s">
        <v>1830</v>
      </c>
      <c r="B203" s="153" t="s">
        <v>792</v>
      </c>
      <c r="C203" s="116">
        <f>ROUND(E203/0.05,0)</f>
        <v>0</v>
      </c>
      <c r="D203" s="110">
        <f>IF(E203&gt;0,5,0)</f>
        <v>0</v>
      </c>
      <c r="E203" s="193">
        <f>ROUND('ANEXO 7'!AE34,0)</f>
        <v>0</v>
      </c>
      <c r="F203" s="116">
        <f>E203</f>
        <v>0</v>
      </c>
      <c r="G203" s="116">
        <f>ROUND(E203-F203,0)</f>
        <v>0</v>
      </c>
      <c r="H203" s="116"/>
      <c r="I203" s="69"/>
    </row>
    <row r="204" spans="1:9" x14ac:dyDescent="0.3">
      <c r="A204" s="162" t="s">
        <v>1831</v>
      </c>
      <c r="B204" s="153" t="s">
        <v>1798</v>
      </c>
      <c r="C204" s="116">
        <f>ROUND(E204/0.02,0)</f>
        <v>0</v>
      </c>
      <c r="D204" s="110">
        <f>IF(E204&gt;0,2,0)</f>
        <v>0</v>
      </c>
      <c r="E204" s="193">
        <f>ROUND('ANEXO 7'!AE36,0)</f>
        <v>0</v>
      </c>
      <c r="F204" s="116">
        <f>E204</f>
        <v>0</v>
      </c>
      <c r="G204" s="116">
        <f>ROUND(E204-F204,0)</f>
        <v>0</v>
      </c>
      <c r="H204" s="116"/>
      <c r="I204" s="69"/>
    </row>
    <row r="205" spans="1:9" x14ac:dyDescent="0.3">
      <c r="A205" s="162"/>
      <c r="B205" s="153"/>
      <c r="C205" s="18"/>
      <c r="D205" s="18"/>
      <c r="E205" s="18"/>
      <c r="F205" s="18"/>
      <c r="G205" s="18"/>
      <c r="H205" s="18"/>
      <c r="I205" s="69"/>
    </row>
    <row r="206" spans="1:9" x14ac:dyDescent="0.3">
      <c r="A206" s="162"/>
      <c r="B206" s="179" t="s">
        <v>1799</v>
      </c>
      <c r="C206" s="18"/>
      <c r="D206" s="18"/>
      <c r="E206" s="18"/>
      <c r="F206" s="18"/>
      <c r="G206" s="18"/>
      <c r="H206" s="18"/>
      <c r="I206" s="69"/>
    </row>
    <row r="207" spans="1:9" x14ac:dyDescent="0.3">
      <c r="A207" s="162"/>
      <c r="B207" s="153"/>
      <c r="C207" s="18"/>
      <c r="D207" s="18"/>
      <c r="E207" s="18"/>
      <c r="F207" s="18"/>
      <c r="G207" s="18"/>
      <c r="H207" s="18"/>
      <c r="I207" s="69"/>
    </row>
    <row r="208" spans="1:9" ht="51" x14ac:dyDescent="0.3">
      <c r="A208" s="162" t="s">
        <v>1834</v>
      </c>
      <c r="B208" s="153" t="s">
        <v>1801</v>
      </c>
      <c r="C208" s="116"/>
      <c r="D208" s="109"/>
      <c r="E208" s="116"/>
      <c r="F208" s="116"/>
      <c r="G208" s="116">
        <f>ROUND(E208-F208,0)</f>
        <v>0</v>
      </c>
      <c r="H208" s="116"/>
      <c r="I208" s="69"/>
    </row>
    <row r="209" spans="1:9" ht="30.6" x14ac:dyDescent="0.3">
      <c r="A209" s="162" t="s">
        <v>1836</v>
      </c>
      <c r="B209" s="153" t="s">
        <v>1803</v>
      </c>
      <c r="C209" s="116"/>
      <c r="D209" s="109"/>
      <c r="E209" s="116"/>
      <c r="F209" s="116"/>
      <c r="G209" s="116">
        <f>ROUND(E209-F209,0)</f>
        <v>0</v>
      </c>
      <c r="H209" s="116"/>
      <c r="I209" s="69"/>
    </row>
    <row r="210" spans="1:9" ht="20.399999999999999" x14ac:dyDescent="0.3">
      <c r="A210" s="162" t="s">
        <v>1838</v>
      </c>
      <c r="B210" s="153" t="s">
        <v>1805</v>
      </c>
      <c r="C210" s="116"/>
      <c r="D210" s="109"/>
      <c r="E210" s="116"/>
      <c r="F210" s="116"/>
      <c r="G210" s="116">
        <f>ROUND(E210-F210,0)</f>
        <v>0</v>
      </c>
      <c r="H210" s="116"/>
      <c r="I210" s="69"/>
    </row>
    <row r="211" spans="1:9" ht="20.399999999999999" x14ac:dyDescent="0.3">
      <c r="A211" s="162" t="s">
        <v>1840</v>
      </c>
      <c r="B211" s="153" t="s">
        <v>1807</v>
      </c>
      <c r="C211" s="116"/>
      <c r="D211" s="109"/>
      <c r="E211" s="116"/>
      <c r="F211" s="116"/>
      <c r="G211" s="116">
        <f>ROUND(E211-F211,0)</f>
        <v>0</v>
      </c>
      <c r="H211" s="116"/>
      <c r="I211" s="69"/>
    </row>
    <row r="212" spans="1:9" x14ac:dyDescent="0.3">
      <c r="A212" s="162" t="s">
        <v>1842</v>
      </c>
      <c r="B212" s="153" t="s">
        <v>1809</v>
      </c>
      <c r="C212" s="52"/>
      <c r="D212" s="64"/>
      <c r="E212" s="52"/>
      <c r="F212" s="52"/>
      <c r="G212" s="52"/>
      <c r="H212" s="52"/>
      <c r="I212" s="69"/>
    </row>
    <row r="213" spans="1:9" x14ac:dyDescent="0.3">
      <c r="A213" s="162"/>
      <c r="B213" s="153"/>
      <c r="C213" s="18"/>
      <c r="D213" s="18"/>
      <c r="E213" s="18"/>
      <c r="F213" s="18"/>
      <c r="G213" s="18"/>
      <c r="H213" s="18"/>
      <c r="I213" s="69"/>
    </row>
    <row r="214" spans="1:9" x14ac:dyDescent="0.3">
      <c r="A214" s="162"/>
      <c r="B214" s="179" t="s">
        <v>1810</v>
      </c>
      <c r="C214" s="18"/>
      <c r="D214" s="18"/>
      <c r="E214" s="18"/>
      <c r="F214" s="18"/>
      <c r="G214" s="18"/>
      <c r="H214" s="18"/>
      <c r="I214" s="69"/>
    </row>
    <row r="215" spans="1:9" x14ac:dyDescent="0.3">
      <c r="A215" s="162"/>
      <c r="B215" s="153"/>
      <c r="C215" s="18"/>
      <c r="D215" s="18"/>
      <c r="E215" s="18"/>
      <c r="F215" s="18"/>
      <c r="G215" s="18"/>
      <c r="H215" s="18"/>
      <c r="I215" s="69"/>
    </row>
    <row r="216" spans="1:9" x14ac:dyDescent="0.3">
      <c r="A216" s="162"/>
      <c r="B216" s="179" t="s">
        <v>320</v>
      </c>
      <c r="C216" s="18"/>
      <c r="D216" s="18"/>
      <c r="E216" s="18"/>
      <c r="F216" s="18"/>
      <c r="G216" s="18"/>
      <c r="H216" s="18"/>
      <c r="I216" s="69"/>
    </row>
    <row r="217" spans="1:9" x14ac:dyDescent="0.3">
      <c r="A217" s="162"/>
      <c r="B217" s="153"/>
      <c r="C217" s="18"/>
      <c r="D217" s="18"/>
      <c r="E217" s="18"/>
      <c r="F217" s="18"/>
      <c r="G217" s="18"/>
      <c r="H217" s="18"/>
      <c r="I217" s="69"/>
    </row>
    <row r="218" spans="1:9" x14ac:dyDescent="0.3">
      <c r="A218" s="162"/>
      <c r="B218" s="153" t="s">
        <v>1811</v>
      </c>
      <c r="C218" s="18"/>
      <c r="D218" s="18"/>
      <c r="E218" s="18"/>
      <c r="F218" s="18"/>
      <c r="G218" s="18"/>
      <c r="H218" s="18"/>
      <c r="I218" s="69"/>
    </row>
    <row r="219" spans="1:9" x14ac:dyDescent="0.3">
      <c r="A219" s="162"/>
      <c r="B219" s="153"/>
      <c r="C219" s="18"/>
      <c r="D219" s="18"/>
      <c r="E219" s="18"/>
      <c r="F219" s="18"/>
      <c r="G219" s="18"/>
      <c r="H219" s="18"/>
      <c r="I219" s="69"/>
    </row>
    <row r="220" spans="1:9" x14ac:dyDescent="0.3">
      <c r="A220" s="162" t="s">
        <v>1844</v>
      </c>
      <c r="B220" s="153" t="s">
        <v>1813</v>
      </c>
      <c r="C220" s="116"/>
      <c r="D220" s="109"/>
      <c r="E220" s="116"/>
      <c r="F220" s="116"/>
      <c r="G220" s="116">
        <f t="shared" ref="G220:G229" si="14">ROUND(E220-F220,0)</f>
        <v>0</v>
      </c>
      <c r="H220" s="116"/>
      <c r="I220" s="69"/>
    </row>
    <row r="221" spans="1:9" x14ac:dyDescent="0.3">
      <c r="A221" s="162" t="s">
        <v>1846</v>
      </c>
      <c r="B221" s="153" t="s">
        <v>5730</v>
      </c>
      <c r="C221" s="116"/>
      <c r="D221" s="110">
        <f>IF(C221&gt;0,35,0)</f>
        <v>0</v>
      </c>
      <c r="E221" s="116">
        <f t="shared" ref="E221:E229" si="15">IF(D221&lt;&gt;0,ROUND(C221*D221/100,0),0)</f>
        <v>0</v>
      </c>
      <c r="F221" s="116"/>
      <c r="G221" s="116">
        <f t="shared" si="14"/>
        <v>0</v>
      </c>
      <c r="H221" s="116"/>
      <c r="I221" s="69"/>
    </row>
    <row r="222" spans="1:9" x14ac:dyDescent="0.3">
      <c r="A222" s="162" t="s">
        <v>1848</v>
      </c>
      <c r="B222" s="153" t="s">
        <v>1816</v>
      </c>
      <c r="C222" s="116"/>
      <c r="D222" s="109"/>
      <c r="E222" s="116">
        <f t="shared" si="15"/>
        <v>0</v>
      </c>
      <c r="F222" s="116"/>
      <c r="G222" s="116">
        <f t="shared" si="14"/>
        <v>0</v>
      </c>
      <c r="H222" s="116"/>
      <c r="I222" s="69"/>
    </row>
    <row r="223" spans="1:9" x14ac:dyDescent="0.3">
      <c r="A223" s="162" t="s">
        <v>1850</v>
      </c>
      <c r="B223" s="153" t="s">
        <v>1818</v>
      </c>
      <c r="C223" s="116"/>
      <c r="D223" s="110">
        <f>IF(C223&gt;0,10,0)</f>
        <v>0</v>
      </c>
      <c r="E223" s="116">
        <f t="shared" si="15"/>
        <v>0</v>
      </c>
      <c r="F223" s="116"/>
      <c r="G223" s="116">
        <f t="shared" si="14"/>
        <v>0</v>
      </c>
      <c r="H223" s="116"/>
      <c r="I223" s="69"/>
    </row>
    <row r="224" spans="1:9" x14ac:dyDescent="0.3">
      <c r="A224" s="162" t="s">
        <v>1852</v>
      </c>
      <c r="B224" s="153" t="s">
        <v>1820</v>
      </c>
      <c r="C224" s="116"/>
      <c r="D224" s="110">
        <f>IF(C224&gt;0,10,0)</f>
        <v>0</v>
      </c>
      <c r="E224" s="116">
        <f t="shared" si="15"/>
        <v>0</v>
      </c>
      <c r="F224" s="116"/>
      <c r="G224" s="116">
        <f t="shared" si="14"/>
        <v>0</v>
      </c>
      <c r="H224" s="116"/>
      <c r="I224" s="69"/>
    </row>
    <row r="225" spans="1:9" x14ac:dyDescent="0.3">
      <c r="A225" s="162" t="s">
        <v>1853</v>
      </c>
      <c r="B225" s="153" t="s">
        <v>1822</v>
      </c>
      <c r="C225" s="116"/>
      <c r="D225" s="110">
        <f>IF(C225&gt;0,20,0)</f>
        <v>0</v>
      </c>
      <c r="E225" s="116">
        <f t="shared" si="15"/>
        <v>0</v>
      </c>
      <c r="F225" s="116"/>
      <c r="G225" s="116">
        <f t="shared" si="14"/>
        <v>0</v>
      </c>
      <c r="H225" s="116"/>
      <c r="I225" s="69"/>
    </row>
    <row r="226" spans="1:9" x14ac:dyDescent="0.3">
      <c r="A226" s="162" t="s">
        <v>1855</v>
      </c>
      <c r="B226" s="153" t="s">
        <v>1824</v>
      </c>
      <c r="C226" s="116"/>
      <c r="D226" s="110">
        <f>IF(C226&gt;0,20,0)</f>
        <v>0</v>
      </c>
      <c r="E226" s="116">
        <f t="shared" si="15"/>
        <v>0</v>
      </c>
      <c r="F226" s="116"/>
      <c r="G226" s="116">
        <f t="shared" si="14"/>
        <v>0</v>
      </c>
      <c r="H226" s="116"/>
      <c r="I226" s="69"/>
    </row>
    <row r="227" spans="1:9" x14ac:dyDescent="0.3">
      <c r="A227" s="162" t="s">
        <v>1857</v>
      </c>
      <c r="B227" s="153" t="s">
        <v>1826</v>
      </c>
      <c r="C227" s="116"/>
      <c r="D227" s="110">
        <f>IF(C227&gt;0,35,0)</f>
        <v>0</v>
      </c>
      <c r="E227" s="116">
        <f t="shared" si="15"/>
        <v>0</v>
      </c>
      <c r="F227" s="116"/>
      <c r="G227" s="116">
        <f t="shared" si="14"/>
        <v>0</v>
      </c>
      <c r="H227" s="116"/>
      <c r="I227" s="69"/>
    </row>
    <row r="228" spans="1:9" x14ac:dyDescent="0.3">
      <c r="A228" s="162" t="s">
        <v>1859</v>
      </c>
      <c r="B228" s="153" t="s">
        <v>1238</v>
      </c>
      <c r="C228" s="116"/>
      <c r="D228" s="109"/>
      <c r="E228" s="116">
        <f t="shared" si="15"/>
        <v>0</v>
      </c>
      <c r="F228" s="116"/>
      <c r="G228" s="116">
        <f t="shared" si="14"/>
        <v>0</v>
      </c>
      <c r="H228" s="116"/>
      <c r="I228" s="69"/>
    </row>
    <row r="229" spans="1:9" x14ac:dyDescent="0.3">
      <c r="A229" s="162" t="s">
        <v>1861</v>
      </c>
      <c r="B229" s="153" t="s">
        <v>1829</v>
      </c>
      <c r="C229" s="116"/>
      <c r="D229" s="110">
        <f>IF(C229&gt;0,10,0)</f>
        <v>0</v>
      </c>
      <c r="E229" s="116">
        <f t="shared" si="15"/>
        <v>0</v>
      </c>
      <c r="F229" s="116"/>
      <c r="G229" s="116">
        <f t="shared" si="14"/>
        <v>0</v>
      </c>
      <c r="H229" s="116"/>
      <c r="I229" s="69"/>
    </row>
    <row r="230" spans="1:9" x14ac:dyDescent="0.3">
      <c r="A230" s="162" t="s">
        <v>1863</v>
      </c>
      <c r="B230" s="153" t="s">
        <v>638</v>
      </c>
      <c r="C230" s="52"/>
      <c r="D230" s="64"/>
      <c r="E230" s="52"/>
      <c r="F230" s="52"/>
      <c r="G230" s="52"/>
      <c r="H230" s="52"/>
      <c r="I230" s="69"/>
    </row>
    <row r="231" spans="1:9" x14ac:dyDescent="0.3">
      <c r="A231" s="162"/>
      <c r="B231" s="153"/>
      <c r="C231" s="18"/>
      <c r="D231" s="18"/>
      <c r="E231" s="18"/>
      <c r="F231" s="18"/>
      <c r="G231" s="18"/>
      <c r="H231" s="18"/>
      <c r="I231" s="69"/>
    </row>
    <row r="232" spans="1:9" ht="20.399999999999999" x14ac:dyDescent="0.3">
      <c r="A232" s="162" t="s">
        <v>1865</v>
      </c>
      <c r="B232" s="153" t="s">
        <v>1832</v>
      </c>
      <c r="C232" s="116"/>
      <c r="D232" s="109"/>
      <c r="E232" s="116">
        <f>ROUND(SUM(E220:E229)+E230,0)</f>
        <v>0</v>
      </c>
      <c r="F232" s="116">
        <f>ROUND(SUM(F220:F229)+F230,0)</f>
        <v>0</v>
      </c>
      <c r="G232" s="116">
        <f>ROUND(E232-F232,0)</f>
        <v>0</v>
      </c>
      <c r="H232" s="116"/>
      <c r="I232" s="69"/>
    </row>
    <row r="233" spans="1:9" x14ac:dyDescent="0.3">
      <c r="A233" s="162"/>
      <c r="B233" s="153"/>
      <c r="C233" s="18"/>
      <c r="D233" s="18"/>
      <c r="E233" s="18"/>
      <c r="F233" s="18"/>
      <c r="G233" s="18"/>
      <c r="H233" s="18"/>
      <c r="I233" s="69"/>
    </row>
    <row r="234" spans="1:9" x14ac:dyDescent="0.3">
      <c r="A234" s="162"/>
      <c r="B234" s="153" t="s">
        <v>1833</v>
      </c>
      <c r="C234" s="18"/>
      <c r="D234" s="18"/>
      <c r="E234" s="18"/>
      <c r="F234" s="18"/>
      <c r="G234" s="18"/>
      <c r="H234" s="18"/>
      <c r="I234" s="69"/>
    </row>
    <row r="235" spans="1:9" x14ac:dyDescent="0.3">
      <c r="A235" s="162"/>
      <c r="B235" s="153"/>
      <c r="C235" s="18"/>
      <c r="D235" s="18"/>
      <c r="E235" s="18"/>
      <c r="F235" s="18"/>
      <c r="G235" s="18"/>
      <c r="H235" s="18"/>
      <c r="I235" s="69"/>
    </row>
    <row r="236" spans="1:9" x14ac:dyDescent="0.3">
      <c r="A236" s="162" t="s">
        <v>1866</v>
      </c>
      <c r="B236" s="153" t="s">
        <v>1835</v>
      </c>
      <c r="C236" s="116"/>
      <c r="D236" s="110">
        <f>IF(C236&gt;0,15,0)</f>
        <v>0</v>
      </c>
      <c r="E236" s="116">
        <f t="shared" ref="E236:E266" si="16">IF(D236&lt;&gt;0,ROUND(C236*D236/100,0),0)</f>
        <v>0</v>
      </c>
      <c r="F236" s="116"/>
      <c r="G236" s="116">
        <f t="shared" ref="G236:G261" si="17">ROUND(E236-F236,0)</f>
        <v>0</v>
      </c>
      <c r="H236" s="116"/>
      <c r="I236" s="69"/>
    </row>
    <row r="237" spans="1:9" x14ac:dyDescent="0.3">
      <c r="A237" s="162" t="s">
        <v>1868</v>
      </c>
      <c r="B237" s="153" t="s">
        <v>1837</v>
      </c>
      <c r="C237" s="116"/>
      <c r="D237" s="110">
        <f>IF(C237&gt;0,30,0)</f>
        <v>0</v>
      </c>
      <c r="E237" s="116">
        <f t="shared" si="16"/>
        <v>0</v>
      </c>
      <c r="F237" s="116"/>
      <c r="G237" s="116">
        <f t="shared" si="17"/>
        <v>0</v>
      </c>
      <c r="H237" s="116"/>
      <c r="I237" s="69"/>
    </row>
    <row r="238" spans="1:9" ht="20.399999999999999" x14ac:dyDescent="0.3">
      <c r="A238" s="162" t="s">
        <v>1870</v>
      </c>
      <c r="B238" s="153" t="s">
        <v>1839</v>
      </c>
      <c r="C238" s="116"/>
      <c r="D238" s="110">
        <f>IF(C238&gt;0,15,0)</f>
        <v>0</v>
      </c>
      <c r="E238" s="116">
        <f t="shared" si="16"/>
        <v>0</v>
      </c>
      <c r="F238" s="116"/>
      <c r="G238" s="116">
        <f t="shared" si="17"/>
        <v>0</v>
      </c>
      <c r="H238" s="116"/>
      <c r="I238" s="69"/>
    </row>
    <row r="239" spans="1:9" ht="20.399999999999999" x14ac:dyDescent="0.3">
      <c r="A239" s="162" t="s">
        <v>1872</v>
      </c>
      <c r="B239" s="153" t="s">
        <v>1841</v>
      </c>
      <c r="C239" s="116"/>
      <c r="D239" s="110">
        <f>IF(C239&gt;0,30,0)</f>
        <v>0</v>
      </c>
      <c r="E239" s="116">
        <f t="shared" si="16"/>
        <v>0</v>
      </c>
      <c r="F239" s="116"/>
      <c r="G239" s="116">
        <f t="shared" si="17"/>
        <v>0</v>
      </c>
      <c r="H239" s="116"/>
      <c r="I239" s="69"/>
    </row>
    <row r="240" spans="1:9" x14ac:dyDescent="0.3">
      <c r="A240" s="162" t="s">
        <v>1874</v>
      </c>
      <c r="B240" s="153" t="s">
        <v>1843</v>
      </c>
      <c r="C240" s="116"/>
      <c r="D240" s="110">
        <f>IF(C240&gt;0,25,0)</f>
        <v>0</v>
      </c>
      <c r="E240" s="116">
        <f t="shared" si="16"/>
        <v>0</v>
      </c>
      <c r="F240" s="116"/>
      <c r="G240" s="116">
        <f t="shared" si="17"/>
        <v>0</v>
      </c>
      <c r="H240" s="116"/>
      <c r="I240" s="69"/>
    </row>
    <row r="241" spans="1:9" x14ac:dyDescent="0.3">
      <c r="A241" s="162" t="s">
        <v>1875</v>
      </c>
      <c r="B241" s="153" t="s">
        <v>1845</v>
      </c>
      <c r="C241" s="193">
        <f>ROUND('ANEXO 7'!AE96,0)</f>
        <v>0</v>
      </c>
      <c r="D241" s="110">
        <f>IF(C241&gt;0,5,0)</f>
        <v>0</v>
      </c>
      <c r="E241" s="116">
        <f t="shared" si="16"/>
        <v>0</v>
      </c>
      <c r="F241" s="116"/>
      <c r="G241" s="116">
        <f t="shared" si="17"/>
        <v>0</v>
      </c>
      <c r="H241" s="116"/>
      <c r="I241" s="69"/>
    </row>
    <row r="242" spans="1:9" x14ac:dyDescent="0.3">
      <c r="A242" s="162" t="s">
        <v>1877</v>
      </c>
      <c r="B242" s="153" t="s">
        <v>1847</v>
      </c>
      <c r="C242" s="193">
        <f>ROUND('ANEXO 7'!AE97,0)</f>
        <v>0</v>
      </c>
      <c r="D242" s="110">
        <f>IF(C242&gt;0,10,0)</f>
        <v>0</v>
      </c>
      <c r="E242" s="116">
        <f t="shared" si="16"/>
        <v>0</v>
      </c>
      <c r="F242" s="116"/>
      <c r="G242" s="116">
        <f t="shared" si="17"/>
        <v>0</v>
      </c>
      <c r="H242" s="116"/>
      <c r="I242" s="69"/>
    </row>
    <row r="243" spans="1:9" x14ac:dyDescent="0.3">
      <c r="A243" s="162" t="s">
        <v>1879</v>
      </c>
      <c r="B243" s="153" t="s">
        <v>1849</v>
      </c>
      <c r="C243" s="193">
        <f>ROUND('ANEXO 7'!AE98,0)</f>
        <v>0</v>
      </c>
      <c r="D243" s="110">
        <f>IF(C243&gt;0,25,0)</f>
        <v>0</v>
      </c>
      <c r="E243" s="116">
        <f t="shared" si="16"/>
        <v>0</v>
      </c>
      <c r="F243" s="116"/>
      <c r="G243" s="116">
        <f t="shared" si="17"/>
        <v>0</v>
      </c>
      <c r="H243" s="116"/>
      <c r="I243" s="69"/>
    </row>
    <row r="244" spans="1:9" x14ac:dyDescent="0.3">
      <c r="A244" s="162" t="s">
        <v>1881</v>
      </c>
      <c r="B244" s="153" t="s">
        <v>1851</v>
      </c>
      <c r="C244" s="116"/>
      <c r="D244" s="110">
        <f>IF(C244&gt;0,35,0)</f>
        <v>0</v>
      </c>
      <c r="E244" s="116">
        <f t="shared" si="16"/>
        <v>0</v>
      </c>
      <c r="F244" s="116"/>
      <c r="G244" s="116">
        <f t="shared" si="17"/>
        <v>0</v>
      </c>
      <c r="H244" s="116"/>
      <c r="I244" s="69"/>
    </row>
    <row r="245" spans="1:9" x14ac:dyDescent="0.3">
      <c r="A245" s="162" t="s">
        <v>1883</v>
      </c>
      <c r="B245" s="153" t="s">
        <v>1242</v>
      </c>
      <c r="C245" s="193">
        <f>ROUND('ANEXO 7'!AE91,0)</f>
        <v>0</v>
      </c>
      <c r="D245" s="109"/>
      <c r="E245" s="116">
        <f t="shared" si="16"/>
        <v>0</v>
      </c>
      <c r="F245" s="116"/>
      <c r="G245" s="116">
        <f t="shared" si="17"/>
        <v>0</v>
      </c>
      <c r="H245" s="116"/>
      <c r="I245" s="69"/>
    </row>
    <row r="246" spans="1:9" x14ac:dyDescent="0.3">
      <c r="A246" s="162" t="s">
        <v>1885</v>
      </c>
      <c r="B246" s="153" t="s">
        <v>1854</v>
      </c>
      <c r="C246" s="116"/>
      <c r="D246" s="109"/>
      <c r="E246" s="116">
        <f t="shared" si="16"/>
        <v>0</v>
      </c>
      <c r="F246" s="116"/>
      <c r="G246" s="116">
        <f t="shared" si="17"/>
        <v>0</v>
      </c>
      <c r="H246" s="116"/>
      <c r="I246" s="69"/>
    </row>
    <row r="247" spans="1:9" x14ac:dyDescent="0.3">
      <c r="A247" s="162" t="s">
        <v>1887</v>
      </c>
      <c r="B247" s="153" t="s">
        <v>1856</v>
      </c>
      <c r="C247" s="116"/>
      <c r="D247" s="109"/>
      <c r="E247" s="116">
        <f t="shared" si="16"/>
        <v>0</v>
      </c>
      <c r="F247" s="116"/>
      <c r="G247" s="116">
        <f t="shared" si="17"/>
        <v>0</v>
      </c>
      <c r="H247" s="116"/>
      <c r="I247" s="69"/>
    </row>
    <row r="248" spans="1:9" x14ac:dyDescent="0.3">
      <c r="A248" s="162" t="s">
        <v>1889</v>
      </c>
      <c r="B248" s="153" t="s">
        <v>1858</v>
      </c>
      <c r="C248" s="116"/>
      <c r="D248" s="110">
        <f>IF(C248&gt;0,5,0)</f>
        <v>0</v>
      </c>
      <c r="E248" s="116">
        <f t="shared" si="16"/>
        <v>0</v>
      </c>
      <c r="F248" s="116"/>
      <c r="G248" s="116">
        <f t="shared" si="17"/>
        <v>0</v>
      </c>
      <c r="H248" s="116"/>
      <c r="I248" s="69"/>
    </row>
    <row r="249" spans="1:9" x14ac:dyDescent="0.3">
      <c r="A249" s="162" t="s">
        <v>1891</v>
      </c>
      <c r="B249" s="153" t="s">
        <v>1860</v>
      </c>
      <c r="C249" s="116"/>
      <c r="D249" s="110">
        <f>IF(C249&gt;0,25,0)</f>
        <v>0</v>
      </c>
      <c r="E249" s="116">
        <f t="shared" si="16"/>
        <v>0</v>
      </c>
      <c r="F249" s="116"/>
      <c r="G249" s="116">
        <f t="shared" si="17"/>
        <v>0</v>
      </c>
      <c r="H249" s="116"/>
      <c r="I249" s="69"/>
    </row>
    <row r="250" spans="1:9" x14ac:dyDescent="0.3">
      <c r="A250" s="162" t="s">
        <v>1892</v>
      </c>
      <c r="B250" s="153" t="s">
        <v>1862</v>
      </c>
      <c r="C250" s="116"/>
      <c r="D250" s="109"/>
      <c r="E250" s="116">
        <f t="shared" si="16"/>
        <v>0</v>
      </c>
      <c r="F250" s="116"/>
      <c r="G250" s="116">
        <f t="shared" si="17"/>
        <v>0</v>
      </c>
      <c r="H250" s="116"/>
      <c r="I250" s="69"/>
    </row>
    <row r="251" spans="1:9" x14ac:dyDescent="0.3">
      <c r="A251" s="162" t="s">
        <v>1893</v>
      </c>
      <c r="B251" s="153" t="s">
        <v>1864</v>
      </c>
      <c r="C251" s="116"/>
      <c r="D251" s="109"/>
      <c r="E251" s="116">
        <f t="shared" si="16"/>
        <v>0</v>
      </c>
      <c r="F251" s="116"/>
      <c r="G251" s="116">
        <f t="shared" si="17"/>
        <v>0</v>
      </c>
      <c r="H251" s="116"/>
      <c r="I251" s="69"/>
    </row>
    <row r="252" spans="1:9" x14ac:dyDescent="0.3">
      <c r="A252" s="162" t="s">
        <v>1895</v>
      </c>
      <c r="B252" s="153" t="s">
        <v>1816</v>
      </c>
      <c r="C252" s="116"/>
      <c r="D252" s="109"/>
      <c r="E252" s="116">
        <f t="shared" si="16"/>
        <v>0</v>
      </c>
      <c r="F252" s="116"/>
      <c r="G252" s="116">
        <f t="shared" si="17"/>
        <v>0</v>
      </c>
      <c r="H252" s="116"/>
      <c r="I252" s="69"/>
    </row>
    <row r="253" spans="1:9" x14ac:dyDescent="0.3">
      <c r="A253" s="162" t="s">
        <v>1897</v>
      </c>
      <c r="B253" s="153" t="s">
        <v>1867</v>
      </c>
      <c r="C253" s="116"/>
      <c r="D253" s="109"/>
      <c r="E253" s="116">
        <f t="shared" si="16"/>
        <v>0</v>
      </c>
      <c r="F253" s="116"/>
      <c r="G253" s="116">
        <f t="shared" si="17"/>
        <v>0</v>
      </c>
      <c r="H253" s="116"/>
      <c r="I253" s="69"/>
    </row>
    <row r="254" spans="1:9" x14ac:dyDescent="0.3">
      <c r="A254" s="162" t="s">
        <v>1899</v>
      </c>
      <c r="B254" s="153" t="s">
        <v>1869</v>
      </c>
      <c r="C254" s="116"/>
      <c r="D254" s="110">
        <f>IF(C254&gt;0,4.9,0)</f>
        <v>0</v>
      </c>
      <c r="E254" s="116">
        <f t="shared" si="16"/>
        <v>0</v>
      </c>
      <c r="F254" s="116"/>
      <c r="G254" s="116">
        <f t="shared" si="17"/>
        <v>0</v>
      </c>
      <c r="H254" s="116"/>
      <c r="I254" s="69"/>
    </row>
    <row r="255" spans="1:9" x14ac:dyDescent="0.3">
      <c r="A255" s="162" t="s">
        <v>1900</v>
      </c>
      <c r="B255" s="153" t="s">
        <v>1871</v>
      </c>
      <c r="C255" s="116"/>
      <c r="D255" s="110">
        <f>IF(C255&gt;0,10,0)</f>
        <v>0</v>
      </c>
      <c r="E255" s="116">
        <f t="shared" si="16"/>
        <v>0</v>
      </c>
      <c r="F255" s="116"/>
      <c r="G255" s="116">
        <f t="shared" si="17"/>
        <v>0</v>
      </c>
      <c r="H255" s="116"/>
      <c r="I255" s="69"/>
    </row>
    <row r="256" spans="1:9" x14ac:dyDescent="0.3">
      <c r="A256" s="162" t="s">
        <v>1902</v>
      </c>
      <c r="B256" s="153" t="s">
        <v>1873</v>
      </c>
      <c r="C256" s="116"/>
      <c r="D256" s="110">
        <f>IF(C256&gt;0,15,0)</f>
        <v>0</v>
      </c>
      <c r="E256" s="116">
        <f t="shared" si="16"/>
        <v>0</v>
      </c>
      <c r="F256" s="116"/>
      <c r="G256" s="116">
        <f t="shared" si="17"/>
        <v>0</v>
      </c>
      <c r="H256" s="116"/>
      <c r="I256" s="69"/>
    </row>
    <row r="257" spans="1:9" x14ac:dyDescent="0.3">
      <c r="A257" s="162" t="s">
        <v>1904</v>
      </c>
      <c r="B257" s="153" t="s">
        <v>5731</v>
      </c>
      <c r="C257" s="116"/>
      <c r="D257" s="110">
        <f>IF(C257&gt;0,21,0)</f>
        <v>0</v>
      </c>
      <c r="E257" s="116">
        <f t="shared" si="16"/>
        <v>0</v>
      </c>
      <c r="F257" s="116"/>
      <c r="G257" s="116">
        <f t="shared" si="17"/>
        <v>0</v>
      </c>
      <c r="H257" s="116"/>
      <c r="I257" s="69"/>
    </row>
    <row r="258" spans="1:9" x14ac:dyDescent="0.3">
      <c r="A258" s="162" t="s">
        <v>1906</v>
      </c>
      <c r="B258" s="153" t="s">
        <v>1876</v>
      </c>
      <c r="C258" s="116"/>
      <c r="D258" s="110">
        <f>IF(C258&gt;0,35,0)</f>
        <v>0</v>
      </c>
      <c r="E258" s="116">
        <f t="shared" si="16"/>
        <v>0</v>
      </c>
      <c r="F258" s="116"/>
      <c r="G258" s="116">
        <f t="shared" si="17"/>
        <v>0</v>
      </c>
      <c r="H258" s="116"/>
      <c r="I258" s="69"/>
    </row>
    <row r="259" spans="1:9" x14ac:dyDescent="0.3">
      <c r="A259" s="162" t="s">
        <v>1907</v>
      </c>
      <c r="B259" s="153" t="s">
        <v>1878</v>
      </c>
      <c r="C259" s="116"/>
      <c r="D259" s="109"/>
      <c r="E259" s="116">
        <f t="shared" si="16"/>
        <v>0</v>
      </c>
      <c r="F259" s="116"/>
      <c r="G259" s="116">
        <f t="shared" si="17"/>
        <v>0</v>
      </c>
      <c r="H259" s="116"/>
      <c r="I259" s="69"/>
    </row>
    <row r="260" spans="1:9" x14ac:dyDescent="0.3">
      <c r="A260" s="162" t="s">
        <v>1910</v>
      </c>
      <c r="B260" s="153" t="s">
        <v>1880</v>
      </c>
      <c r="C260" s="116"/>
      <c r="D260" s="109"/>
      <c r="E260" s="116">
        <f t="shared" si="16"/>
        <v>0</v>
      </c>
      <c r="F260" s="116"/>
      <c r="G260" s="116">
        <f t="shared" si="17"/>
        <v>0</v>
      </c>
      <c r="H260" s="116"/>
      <c r="I260" s="69"/>
    </row>
    <row r="261" spans="1:9" ht="20.399999999999999" x14ac:dyDescent="0.3">
      <c r="A261" s="162" t="s">
        <v>1912</v>
      </c>
      <c r="B261" s="153" t="s">
        <v>1882</v>
      </c>
      <c r="C261" s="116"/>
      <c r="D261" s="109"/>
      <c r="E261" s="116">
        <f t="shared" si="16"/>
        <v>0</v>
      </c>
      <c r="F261" s="116"/>
      <c r="G261" s="116">
        <f t="shared" si="17"/>
        <v>0</v>
      </c>
      <c r="H261" s="116"/>
      <c r="I261" s="69"/>
    </row>
    <row r="262" spans="1:9" ht="20.399999999999999" x14ac:dyDescent="0.3">
      <c r="A262" s="162" t="s">
        <v>1914</v>
      </c>
      <c r="B262" s="153" t="s">
        <v>1884</v>
      </c>
      <c r="C262" s="116"/>
      <c r="D262" s="109"/>
      <c r="E262" s="116">
        <f t="shared" si="16"/>
        <v>0</v>
      </c>
      <c r="F262" s="116"/>
      <c r="G262" s="116"/>
      <c r="H262" s="116"/>
      <c r="I262" s="69"/>
    </row>
    <row r="263" spans="1:9" ht="30.6" x14ac:dyDescent="0.3">
      <c r="A263" s="162" t="s">
        <v>1918</v>
      </c>
      <c r="B263" s="153" t="s">
        <v>1886</v>
      </c>
      <c r="C263" s="116"/>
      <c r="D263" s="109"/>
      <c r="E263" s="116">
        <f t="shared" si="16"/>
        <v>0</v>
      </c>
      <c r="F263" s="116"/>
      <c r="G263" s="116">
        <f>ROUND(E263-F263,0)</f>
        <v>0</v>
      </c>
      <c r="H263" s="116"/>
      <c r="I263" s="69"/>
    </row>
    <row r="264" spans="1:9" x14ac:dyDescent="0.3">
      <c r="A264" s="162" t="s">
        <v>1919</v>
      </c>
      <c r="B264" s="153" t="s">
        <v>1888</v>
      </c>
      <c r="C264" s="116"/>
      <c r="D264" s="109"/>
      <c r="E264" s="116">
        <f t="shared" si="16"/>
        <v>0</v>
      </c>
      <c r="F264" s="116"/>
      <c r="G264" s="116"/>
      <c r="H264" s="116"/>
      <c r="I264" s="69"/>
    </row>
    <row r="265" spans="1:9" ht="20.399999999999999" x14ac:dyDescent="0.3">
      <c r="A265" s="162" t="s">
        <v>1920</v>
      </c>
      <c r="B265" s="153" t="s">
        <v>1890</v>
      </c>
      <c r="C265" s="116"/>
      <c r="D265" s="109"/>
      <c r="E265" s="116">
        <f t="shared" si="16"/>
        <v>0</v>
      </c>
      <c r="F265" s="116"/>
      <c r="G265" s="116">
        <f>ROUND(E265-F265,0)</f>
        <v>0</v>
      </c>
      <c r="H265" s="116"/>
      <c r="I265" s="69"/>
    </row>
    <row r="266" spans="1:9" x14ac:dyDescent="0.3">
      <c r="A266" s="162" t="s">
        <v>1921</v>
      </c>
      <c r="B266" s="153" t="s">
        <v>1829</v>
      </c>
      <c r="C266" s="116"/>
      <c r="D266" s="110">
        <f>IF(C266&gt;0,10,0)</f>
        <v>0</v>
      </c>
      <c r="E266" s="116">
        <f t="shared" si="16"/>
        <v>0</v>
      </c>
      <c r="F266" s="116"/>
      <c r="G266" s="116">
        <f>ROUND(E266-F266,0)</f>
        <v>0</v>
      </c>
      <c r="H266" s="116"/>
      <c r="I266" s="69"/>
    </row>
    <row r="267" spans="1:9" x14ac:dyDescent="0.3">
      <c r="A267" s="162" t="s">
        <v>1922</v>
      </c>
      <c r="B267" s="153" t="s">
        <v>638</v>
      </c>
      <c r="C267" s="52"/>
      <c r="D267" s="64"/>
      <c r="E267" s="52"/>
      <c r="F267" s="52"/>
      <c r="G267" s="52"/>
      <c r="H267" s="52"/>
      <c r="I267" s="69"/>
    </row>
    <row r="268" spans="1:9" x14ac:dyDescent="0.3">
      <c r="A268" s="162"/>
      <c r="B268" s="153"/>
      <c r="C268" s="18"/>
      <c r="D268" s="18"/>
      <c r="E268" s="18"/>
      <c r="F268" s="18"/>
      <c r="G268" s="18"/>
      <c r="H268" s="18"/>
      <c r="I268" s="69"/>
    </row>
    <row r="269" spans="1:9" ht="20.399999999999999" x14ac:dyDescent="0.3">
      <c r="A269" s="162" t="s">
        <v>1923</v>
      </c>
      <c r="B269" s="153" t="s">
        <v>1894</v>
      </c>
      <c r="C269" s="116"/>
      <c r="D269" s="109"/>
      <c r="E269" s="116">
        <f>ROUND(SUM(E236:E266)+E267,0)</f>
        <v>0</v>
      </c>
      <c r="F269" s="116">
        <f>ROUND(SUM(F236:F266)+F267,0)</f>
        <v>0</v>
      </c>
      <c r="G269" s="116">
        <f>ROUND(E269-F269,0)</f>
        <v>0</v>
      </c>
      <c r="H269" s="116"/>
      <c r="I269" s="69"/>
    </row>
    <row r="270" spans="1:9" x14ac:dyDescent="0.3">
      <c r="A270" s="162"/>
      <c r="B270" s="153"/>
      <c r="C270" s="18"/>
      <c r="D270" s="18"/>
      <c r="E270" s="18"/>
      <c r="F270" s="18"/>
      <c r="G270" s="18"/>
      <c r="H270" s="18"/>
      <c r="I270" s="69"/>
    </row>
    <row r="271" spans="1:9" x14ac:dyDescent="0.3">
      <c r="A271" s="162"/>
      <c r="B271" s="179" t="s">
        <v>1627</v>
      </c>
      <c r="C271" s="18"/>
      <c r="D271" s="18"/>
      <c r="E271" s="18"/>
      <c r="F271" s="18"/>
      <c r="G271" s="18"/>
      <c r="H271" s="18"/>
      <c r="I271" s="69"/>
    </row>
    <row r="272" spans="1:9" x14ac:dyDescent="0.3">
      <c r="A272" s="162"/>
      <c r="B272" s="153"/>
      <c r="C272" s="18"/>
      <c r="D272" s="18"/>
      <c r="E272" s="18"/>
      <c r="F272" s="18"/>
      <c r="G272" s="18"/>
      <c r="H272" s="18"/>
      <c r="I272" s="69"/>
    </row>
    <row r="273" spans="1:9" ht="20.399999999999999" x14ac:dyDescent="0.3">
      <c r="A273" s="162" t="s">
        <v>1926</v>
      </c>
      <c r="B273" s="153" t="s">
        <v>1896</v>
      </c>
      <c r="C273" s="116">
        <f>ROUND(C223,0)</f>
        <v>0</v>
      </c>
      <c r="D273" s="110">
        <f>IF(C273&gt;0,ROUND(16/3*2,2),0)</f>
        <v>0</v>
      </c>
      <c r="E273" s="116">
        <f>IF(D273&lt;&gt;0,ROUND(C273*(16/3*2)/100,0),0)</f>
        <v>0</v>
      </c>
      <c r="F273" s="116"/>
      <c r="G273" s="116">
        <f t="shared" ref="G273:G278" si="18">ROUND(E273-F273,0)</f>
        <v>0</v>
      </c>
      <c r="H273" s="116"/>
      <c r="I273" s="69"/>
    </row>
    <row r="274" spans="1:9" ht="30.6" x14ac:dyDescent="0.3">
      <c r="A274" s="162" t="s">
        <v>1927</v>
      </c>
      <c r="B274" s="153" t="s">
        <v>1898</v>
      </c>
      <c r="C274" s="116">
        <f>ROUND(C224,0)</f>
        <v>0</v>
      </c>
      <c r="D274" s="110">
        <f>IF(C274&gt;0,ROUND(16/3*2,2),0)</f>
        <v>0</v>
      </c>
      <c r="E274" s="116">
        <f>IF(D274&lt;&gt;0,ROUND(C274*(16/3*2)/100,0),0)</f>
        <v>0</v>
      </c>
      <c r="F274" s="116"/>
      <c r="G274" s="116">
        <f t="shared" si="18"/>
        <v>0</v>
      </c>
      <c r="H274" s="116"/>
      <c r="I274" s="69"/>
    </row>
    <row r="275" spans="1:9" x14ac:dyDescent="0.3">
      <c r="A275" s="162" t="s">
        <v>1928</v>
      </c>
      <c r="B275" s="153" t="s">
        <v>5732</v>
      </c>
      <c r="C275" s="116"/>
      <c r="D275" s="110">
        <f>IF(C275&gt;0,16,0)</f>
        <v>0</v>
      </c>
      <c r="E275" s="116">
        <f>IF(D275&lt;&gt;0,ROUND(C275*D275/100,0),0)</f>
        <v>0</v>
      </c>
      <c r="F275" s="116"/>
      <c r="G275" s="116">
        <f t="shared" si="18"/>
        <v>0</v>
      </c>
      <c r="H275" s="116"/>
      <c r="I275" s="69"/>
    </row>
    <row r="276" spans="1:9" ht="30.6" x14ac:dyDescent="0.3">
      <c r="A276" s="162" t="s">
        <v>1929</v>
      </c>
      <c r="B276" s="153" t="s">
        <v>1901</v>
      </c>
      <c r="C276" s="193">
        <f>ROUND('ANEXO 7'!AE92,0)</f>
        <v>0</v>
      </c>
      <c r="D276" s="110">
        <f>IF(C276&gt;0,4,0)</f>
        <v>0</v>
      </c>
      <c r="E276" s="116">
        <f>IF(D276&lt;&gt;0,ROUND(C276*D276/100,0),0)</f>
        <v>0</v>
      </c>
      <c r="F276" s="116"/>
      <c r="G276" s="116">
        <f t="shared" si="18"/>
        <v>0</v>
      </c>
      <c r="H276" s="116"/>
      <c r="I276" s="69"/>
    </row>
    <row r="277" spans="1:9" ht="20.399999999999999" x14ac:dyDescent="0.3">
      <c r="A277" s="162" t="s">
        <v>1930</v>
      </c>
      <c r="B277" s="153" t="s">
        <v>1903</v>
      </c>
      <c r="C277" s="193">
        <f>'ANEXO 7'!AE100</f>
        <v>0</v>
      </c>
      <c r="D277" s="110">
        <f>IF(C277&gt;0,ROUND(16/3*2,2),0)</f>
        <v>0</v>
      </c>
      <c r="E277" s="116">
        <f>IF(D277&lt;&gt;0,ROUND(C277*(16/3*2)/100,0),0)</f>
        <v>0</v>
      </c>
      <c r="F277" s="116"/>
      <c r="G277" s="116">
        <f t="shared" si="18"/>
        <v>0</v>
      </c>
      <c r="H277" s="116"/>
      <c r="I277" s="69"/>
    </row>
    <row r="278" spans="1:9" ht="51" x14ac:dyDescent="0.3">
      <c r="A278" s="162" t="s">
        <v>1931</v>
      </c>
      <c r="B278" s="153" t="s">
        <v>1905</v>
      </c>
      <c r="C278" s="116"/>
      <c r="D278" s="110">
        <f>IF(C278&gt;0,16,0)</f>
        <v>0</v>
      </c>
      <c r="E278" s="116">
        <f>IF(D278&lt;&gt;0,ROUND(C278*D278/100,0),0)</f>
        <v>0</v>
      </c>
      <c r="F278" s="116"/>
      <c r="G278" s="116">
        <f t="shared" si="18"/>
        <v>0</v>
      </c>
      <c r="H278" s="116"/>
      <c r="I278" s="69"/>
    </row>
    <row r="279" spans="1:9" x14ac:dyDescent="0.3">
      <c r="A279" s="162" t="s">
        <v>1933</v>
      </c>
      <c r="B279" s="153" t="s">
        <v>638</v>
      </c>
      <c r="C279" s="52"/>
      <c r="D279" s="64"/>
      <c r="E279" s="52"/>
      <c r="F279" s="52"/>
      <c r="G279" s="52"/>
      <c r="H279" s="52"/>
      <c r="I279" s="69"/>
    </row>
    <row r="280" spans="1:9" x14ac:dyDescent="0.3">
      <c r="A280" s="162"/>
      <c r="B280" s="153"/>
      <c r="C280" s="18"/>
      <c r="D280" s="18"/>
      <c r="E280" s="18"/>
      <c r="F280" s="18"/>
      <c r="G280" s="18"/>
      <c r="H280" s="18"/>
      <c r="I280" s="69"/>
    </row>
    <row r="281" spans="1:9" x14ac:dyDescent="0.3">
      <c r="A281" s="162" t="s">
        <v>1935</v>
      </c>
      <c r="B281" s="153" t="s">
        <v>1908</v>
      </c>
      <c r="C281" s="116"/>
      <c r="D281" s="109"/>
      <c r="E281" s="116">
        <f>ROUND(SUM(E273:E278)+E279,0)</f>
        <v>0</v>
      </c>
      <c r="F281" s="116">
        <f>ROUND(SUM(F273:F278)+F279,0)</f>
        <v>0</v>
      </c>
      <c r="G281" s="116">
        <f>ROUND(E281-F281,0)</f>
        <v>0</v>
      </c>
      <c r="H281" s="116"/>
      <c r="I281" s="69"/>
    </row>
    <row r="282" spans="1:9" x14ac:dyDescent="0.3">
      <c r="A282" s="162"/>
      <c r="B282" s="153"/>
      <c r="C282" s="18"/>
      <c r="D282" s="18"/>
      <c r="E282" s="18"/>
      <c r="F282" s="18"/>
      <c r="G282" s="18"/>
      <c r="H282" s="18"/>
      <c r="I282" s="69"/>
    </row>
    <row r="283" spans="1:9" x14ac:dyDescent="0.3">
      <c r="A283" s="162"/>
      <c r="B283" s="153" t="s">
        <v>1909</v>
      </c>
      <c r="C283" s="18"/>
      <c r="D283" s="18"/>
      <c r="E283" s="18"/>
      <c r="F283" s="18"/>
      <c r="G283" s="18"/>
      <c r="H283" s="18"/>
      <c r="I283" s="69"/>
    </row>
    <row r="284" spans="1:9" x14ac:dyDescent="0.3">
      <c r="A284" s="162"/>
      <c r="B284" s="153"/>
      <c r="C284" s="18"/>
      <c r="D284" s="18"/>
      <c r="E284" s="18"/>
      <c r="F284" s="18"/>
      <c r="G284" s="18"/>
      <c r="H284" s="18"/>
      <c r="I284" s="69"/>
    </row>
    <row r="285" spans="1:9" ht="20.399999999999999" x14ac:dyDescent="0.3">
      <c r="A285" s="162" t="s">
        <v>1937</v>
      </c>
      <c r="B285" s="153" t="s">
        <v>1911</v>
      </c>
      <c r="C285" s="116"/>
      <c r="D285" s="109"/>
      <c r="E285" s="116"/>
      <c r="F285" s="116"/>
      <c r="G285" s="116">
        <f>ROUND(E285-F285,0)</f>
        <v>0</v>
      </c>
      <c r="H285" s="116"/>
      <c r="I285" s="69"/>
    </row>
    <row r="286" spans="1:9" x14ac:dyDescent="0.3">
      <c r="A286" s="162" t="s">
        <v>1939</v>
      </c>
      <c r="B286" s="153" t="s">
        <v>1913</v>
      </c>
      <c r="C286" s="116">
        <f>C202</f>
        <v>0</v>
      </c>
      <c r="D286" s="109"/>
      <c r="E286" s="116"/>
      <c r="F286" s="116"/>
      <c r="G286" s="116">
        <f>ROUND(E286-F286,0)</f>
        <v>0</v>
      </c>
      <c r="H286" s="116"/>
      <c r="I286" s="69"/>
    </row>
    <row r="287" spans="1:9" x14ac:dyDescent="0.3">
      <c r="A287" s="162" t="s">
        <v>1941</v>
      </c>
      <c r="B287" s="153" t="s">
        <v>638</v>
      </c>
      <c r="C287" s="52"/>
      <c r="D287" s="64"/>
      <c r="E287" s="52"/>
      <c r="F287" s="52"/>
      <c r="G287" s="52"/>
      <c r="H287" s="52"/>
      <c r="I287" s="69"/>
    </row>
    <row r="288" spans="1:9" x14ac:dyDescent="0.3">
      <c r="A288" s="162"/>
      <c r="B288" s="153"/>
      <c r="C288" s="18"/>
      <c r="D288" s="18"/>
      <c r="E288" s="18"/>
      <c r="F288" s="18"/>
      <c r="G288" s="18"/>
      <c r="H288" s="18"/>
      <c r="I288" s="69"/>
    </row>
    <row r="289" spans="1:9" ht="20.399999999999999" x14ac:dyDescent="0.3">
      <c r="A289" s="162"/>
      <c r="B289" s="179" t="s">
        <v>1915</v>
      </c>
      <c r="C289" s="18"/>
      <c r="D289" s="18"/>
      <c r="E289" s="18"/>
      <c r="F289" s="18"/>
      <c r="G289" s="18"/>
      <c r="H289" s="18"/>
      <c r="I289" s="69"/>
    </row>
    <row r="290" spans="1:9" x14ac:dyDescent="0.3">
      <c r="A290" s="162"/>
      <c r="B290" s="153"/>
      <c r="C290" s="18"/>
      <c r="D290" s="18"/>
      <c r="E290" s="18"/>
      <c r="F290" s="18"/>
      <c r="G290" s="18"/>
      <c r="H290" s="18"/>
      <c r="I290" s="69"/>
    </row>
    <row r="291" spans="1:9" ht="30.6" x14ac:dyDescent="0.3">
      <c r="A291" s="162"/>
      <c r="B291" s="154" t="s">
        <v>1916</v>
      </c>
      <c r="C291" s="18"/>
      <c r="D291" s="18"/>
      <c r="E291" s="18"/>
      <c r="F291" s="18"/>
      <c r="G291" s="18"/>
      <c r="H291" s="18"/>
      <c r="I291" s="69"/>
    </row>
    <row r="292" spans="1:9" x14ac:dyDescent="0.3">
      <c r="A292" s="162"/>
      <c r="B292" s="153"/>
      <c r="C292" s="18"/>
      <c r="D292" s="18"/>
      <c r="E292" s="18"/>
      <c r="F292" s="18"/>
      <c r="G292" s="18"/>
      <c r="H292" s="18"/>
      <c r="I292" s="69"/>
    </row>
    <row r="293" spans="1:9" x14ac:dyDescent="0.3">
      <c r="A293" s="162"/>
      <c r="B293" s="153" t="s">
        <v>1917</v>
      </c>
      <c r="C293" s="18"/>
      <c r="D293" s="18"/>
      <c r="E293" s="18"/>
      <c r="F293" s="18"/>
      <c r="G293" s="18"/>
      <c r="H293" s="18"/>
      <c r="I293" s="69"/>
    </row>
    <row r="294" spans="1:9" x14ac:dyDescent="0.3">
      <c r="A294" s="162" t="s">
        <v>1942</v>
      </c>
      <c r="B294" s="153" t="s">
        <v>543</v>
      </c>
      <c r="C294" s="29"/>
      <c r="D294" s="29"/>
      <c r="E294" s="116"/>
      <c r="F294" s="116"/>
      <c r="G294" s="116">
        <f>ROUND(E294-F294,0)</f>
        <v>0</v>
      </c>
      <c r="H294" s="116"/>
      <c r="I294" s="69"/>
    </row>
    <row r="295" spans="1:9" x14ac:dyDescent="0.3">
      <c r="A295" s="162" t="s">
        <v>1943</v>
      </c>
      <c r="B295" s="153" t="s">
        <v>775</v>
      </c>
      <c r="C295" s="29"/>
      <c r="D295" s="29"/>
      <c r="E295" s="116"/>
      <c r="F295" s="116"/>
      <c r="G295" s="116">
        <f>ROUND(E295-F295,0)</f>
        <v>0</v>
      </c>
      <c r="H295" s="116"/>
      <c r="I295" s="69"/>
    </row>
    <row r="296" spans="1:9" x14ac:dyDescent="0.3">
      <c r="A296" s="162" t="s">
        <v>1944</v>
      </c>
      <c r="B296" s="153" t="s">
        <v>777</v>
      </c>
      <c r="C296" s="29"/>
      <c r="D296" s="29"/>
      <c r="E296" s="116"/>
      <c r="F296" s="116"/>
      <c r="G296" s="116">
        <f>ROUND(E296-F296,0)</f>
        <v>0</v>
      </c>
      <c r="H296" s="116"/>
      <c r="I296" s="69"/>
    </row>
    <row r="297" spans="1:9" x14ac:dyDescent="0.3">
      <c r="A297" s="162" t="s">
        <v>1945</v>
      </c>
      <c r="B297" s="153" t="s">
        <v>780</v>
      </c>
      <c r="C297" s="29"/>
      <c r="D297" s="29"/>
      <c r="E297" s="116"/>
      <c r="F297" s="116"/>
      <c r="G297" s="116">
        <f>ROUND(E297-F297,0)</f>
        <v>0</v>
      </c>
      <c r="H297" s="116"/>
      <c r="I297" s="69"/>
    </row>
    <row r="298" spans="1:9" x14ac:dyDescent="0.3">
      <c r="A298" s="162" t="s">
        <v>1946</v>
      </c>
      <c r="B298" s="153" t="s">
        <v>796</v>
      </c>
      <c r="C298" s="29"/>
      <c r="D298" s="29"/>
      <c r="E298" s="116"/>
      <c r="F298" s="116"/>
      <c r="G298" s="116">
        <f>ROUND(E298-F298,0)</f>
        <v>0</v>
      </c>
      <c r="H298" s="116"/>
      <c r="I298" s="69"/>
    </row>
    <row r="299" spans="1:9" x14ac:dyDescent="0.3">
      <c r="A299" s="162" t="s">
        <v>1947</v>
      </c>
      <c r="B299" s="153" t="s">
        <v>1924</v>
      </c>
      <c r="C299" s="29"/>
      <c r="D299" s="29"/>
      <c r="E299" s="52"/>
      <c r="F299" s="52"/>
      <c r="G299" s="52"/>
      <c r="H299" s="52"/>
      <c r="I299" s="69"/>
    </row>
    <row r="300" spans="1:9" x14ac:dyDescent="0.3">
      <c r="A300" s="162"/>
      <c r="B300" s="153"/>
      <c r="C300" s="18"/>
      <c r="D300" s="18"/>
      <c r="E300" s="18"/>
      <c r="F300" s="18"/>
      <c r="G300" s="18"/>
      <c r="H300" s="18"/>
      <c r="I300" s="69"/>
    </row>
    <row r="301" spans="1:9" x14ac:dyDescent="0.3">
      <c r="A301" s="162"/>
      <c r="B301" s="153" t="s">
        <v>1925</v>
      </c>
      <c r="C301" s="18"/>
      <c r="D301" s="18"/>
      <c r="E301" s="18"/>
      <c r="F301" s="18"/>
      <c r="G301" s="18"/>
      <c r="H301" s="18"/>
      <c r="I301" s="69"/>
    </row>
    <row r="302" spans="1:9" x14ac:dyDescent="0.3">
      <c r="A302" s="162" t="s">
        <v>1949</v>
      </c>
      <c r="B302" s="153" t="s">
        <v>543</v>
      </c>
      <c r="C302" s="29"/>
      <c r="D302" s="29"/>
      <c r="E302" s="116"/>
      <c r="F302" s="116"/>
      <c r="G302" s="116">
        <f>ROUND(E302-F302,0)</f>
        <v>0</v>
      </c>
      <c r="H302" s="116"/>
      <c r="I302" s="69"/>
    </row>
    <row r="303" spans="1:9" x14ac:dyDescent="0.3">
      <c r="A303" s="162" t="s">
        <v>1951</v>
      </c>
      <c r="B303" s="153" t="s">
        <v>775</v>
      </c>
      <c r="C303" s="29"/>
      <c r="D303" s="29"/>
      <c r="E303" s="116"/>
      <c r="F303" s="116"/>
      <c r="G303" s="116">
        <f>ROUND(E303-F303,0)</f>
        <v>0</v>
      </c>
      <c r="H303" s="116"/>
      <c r="I303" s="69"/>
    </row>
    <row r="304" spans="1:9" x14ac:dyDescent="0.3">
      <c r="A304" s="162" t="s">
        <v>1954</v>
      </c>
      <c r="B304" s="153" t="s">
        <v>777</v>
      </c>
      <c r="C304" s="29"/>
      <c r="D304" s="29"/>
      <c r="E304" s="116"/>
      <c r="F304" s="116"/>
      <c r="G304" s="116">
        <f>ROUND(E304-F304,0)</f>
        <v>0</v>
      </c>
      <c r="H304" s="116"/>
      <c r="I304" s="69"/>
    </row>
    <row r="305" spans="1:9" x14ac:dyDescent="0.3">
      <c r="A305" s="162" t="s">
        <v>1955</v>
      </c>
      <c r="B305" s="153" t="s">
        <v>780</v>
      </c>
      <c r="C305" s="29"/>
      <c r="D305" s="29"/>
      <c r="E305" s="116"/>
      <c r="F305" s="116"/>
      <c r="G305" s="116">
        <f>ROUND(E305-F305,0)</f>
        <v>0</v>
      </c>
      <c r="H305" s="116"/>
      <c r="I305" s="69"/>
    </row>
    <row r="306" spans="1:9" x14ac:dyDescent="0.3">
      <c r="A306" s="162" t="s">
        <v>1956</v>
      </c>
      <c r="B306" s="153" t="s">
        <v>796</v>
      </c>
      <c r="C306" s="29"/>
      <c r="D306" s="29"/>
      <c r="E306" s="116"/>
      <c r="F306" s="116"/>
      <c r="G306" s="116">
        <f>ROUND(E306-F306,0)</f>
        <v>0</v>
      </c>
      <c r="H306" s="116"/>
      <c r="I306" s="69"/>
    </row>
    <row r="307" spans="1:9" x14ac:dyDescent="0.3">
      <c r="A307" s="162" t="s">
        <v>1957</v>
      </c>
      <c r="B307" s="153" t="s">
        <v>1924</v>
      </c>
      <c r="C307" s="29"/>
      <c r="D307" s="29"/>
      <c r="E307" s="52"/>
      <c r="F307" s="52"/>
      <c r="G307" s="52"/>
      <c r="H307" s="52"/>
      <c r="I307" s="69"/>
    </row>
    <row r="308" spans="1:9" x14ac:dyDescent="0.3">
      <c r="A308" s="162"/>
      <c r="B308" s="153"/>
      <c r="C308" s="18"/>
      <c r="D308" s="18"/>
      <c r="E308" s="18"/>
      <c r="F308" s="18"/>
      <c r="G308" s="18"/>
      <c r="H308" s="18"/>
      <c r="I308" s="69"/>
    </row>
    <row r="309" spans="1:9" ht="20.399999999999999" x14ac:dyDescent="0.3">
      <c r="A309" s="162"/>
      <c r="B309" s="154" t="s">
        <v>1932</v>
      </c>
      <c r="C309" s="18"/>
      <c r="D309" s="18"/>
      <c r="E309" s="18"/>
      <c r="F309" s="18"/>
      <c r="G309" s="18"/>
      <c r="H309" s="18"/>
      <c r="I309" s="69"/>
    </row>
    <row r="310" spans="1:9" x14ac:dyDescent="0.3">
      <c r="A310" s="162"/>
      <c r="B310" s="153"/>
      <c r="C310" s="18"/>
      <c r="D310" s="18"/>
      <c r="E310" s="18"/>
      <c r="F310" s="18"/>
      <c r="G310" s="18"/>
      <c r="H310" s="18"/>
      <c r="I310" s="69"/>
    </row>
    <row r="311" spans="1:9" x14ac:dyDescent="0.3">
      <c r="A311" s="162"/>
      <c r="B311" s="153" t="s">
        <v>1917</v>
      </c>
      <c r="C311" s="18"/>
      <c r="D311" s="18"/>
      <c r="E311" s="18"/>
      <c r="F311" s="18"/>
      <c r="G311" s="18"/>
      <c r="H311" s="18"/>
      <c r="I311" s="69"/>
    </row>
    <row r="312" spans="1:9" x14ac:dyDescent="0.3">
      <c r="A312" s="162" t="s">
        <v>1958</v>
      </c>
      <c r="B312" s="153" t="s">
        <v>1934</v>
      </c>
      <c r="C312" s="29"/>
      <c r="D312" s="29"/>
      <c r="E312" s="116"/>
      <c r="F312" s="116"/>
      <c r="G312" s="116">
        <f>ROUND(E312-F312,0)</f>
        <v>0</v>
      </c>
      <c r="H312" s="116"/>
      <c r="I312" s="69"/>
    </row>
    <row r="313" spans="1:9" ht="20.399999999999999" x14ac:dyDescent="0.3">
      <c r="A313" s="162" t="s">
        <v>1959</v>
      </c>
      <c r="B313" s="153" t="s">
        <v>1936</v>
      </c>
      <c r="C313" s="29"/>
      <c r="D313" s="29"/>
      <c r="E313" s="116"/>
      <c r="F313" s="116"/>
      <c r="G313" s="116">
        <f>ROUND(E313-F313,0)</f>
        <v>0</v>
      </c>
      <c r="H313" s="116"/>
      <c r="I313" s="69"/>
    </row>
    <row r="314" spans="1:9" x14ac:dyDescent="0.3">
      <c r="A314" s="162" t="s">
        <v>1960</v>
      </c>
      <c r="B314" s="153" t="s">
        <v>1938</v>
      </c>
      <c r="C314" s="29"/>
      <c r="D314" s="29"/>
      <c r="E314" s="116"/>
      <c r="F314" s="116"/>
      <c r="G314" s="116">
        <f>ROUND(E314-F314,0)</f>
        <v>0</v>
      </c>
      <c r="H314" s="116"/>
      <c r="I314" s="69"/>
    </row>
    <row r="315" spans="1:9" ht="20.399999999999999" x14ac:dyDescent="0.3">
      <c r="A315" s="162" t="s">
        <v>1961</v>
      </c>
      <c r="B315" s="153" t="s">
        <v>1940</v>
      </c>
      <c r="C315" s="29"/>
      <c r="D315" s="29"/>
      <c r="E315" s="116"/>
      <c r="F315" s="116"/>
      <c r="G315" s="116">
        <f>ROUND(E315-F315,0)</f>
        <v>0</v>
      </c>
      <c r="H315" s="116"/>
      <c r="I315" s="69"/>
    </row>
    <row r="316" spans="1:9" x14ac:dyDescent="0.3">
      <c r="A316" s="162" t="s">
        <v>1962</v>
      </c>
      <c r="B316" s="153" t="s">
        <v>1924</v>
      </c>
      <c r="C316" s="29"/>
      <c r="D316" s="29"/>
      <c r="E316" s="52"/>
      <c r="F316" s="52"/>
      <c r="G316" s="52"/>
      <c r="H316" s="52"/>
      <c r="I316" s="69"/>
    </row>
    <row r="317" spans="1:9" x14ac:dyDescent="0.3">
      <c r="A317" s="162"/>
      <c r="B317" s="153"/>
      <c r="C317" s="18"/>
      <c r="D317" s="18"/>
      <c r="E317" s="18"/>
      <c r="F317" s="18"/>
      <c r="G317" s="18"/>
      <c r="H317" s="18"/>
      <c r="I317" s="69"/>
    </row>
    <row r="318" spans="1:9" x14ac:dyDescent="0.3">
      <c r="A318" s="162"/>
      <c r="B318" s="153" t="s">
        <v>1925</v>
      </c>
      <c r="C318" s="18"/>
      <c r="D318" s="18"/>
      <c r="E318" s="18"/>
      <c r="F318" s="18"/>
      <c r="G318" s="18"/>
      <c r="H318" s="18"/>
      <c r="I318" s="69"/>
    </row>
    <row r="319" spans="1:9" x14ac:dyDescent="0.3">
      <c r="A319" s="162" t="s">
        <v>1963</v>
      </c>
      <c r="B319" s="153" t="s">
        <v>1934</v>
      </c>
      <c r="C319" s="29"/>
      <c r="D319" s="29"/>
      <c r="E319" s="116"/>
      <c r="F319" s="116"/>
      <c r="G319" s="116">
        <f>ROUND(E319-F319,0)</f>
        <v>0</v>
      </c>
      <c r="H319" s="116"/>
      <c r="I319" s="69"/>
    </row>
    <row r="320" spans="1:9" ht="20.399999999999999" x14ac:dyDescent="0.3">
      <c r="A320" s="162" t="s">
        <v>1964</v>
      </c>
      <c r="B320" s="153" t="s">
        <v>1936</v>
      </c>
      <c r="C320" s="29"/>
      <c r="D320" s="29"/>
      <c r="E320" s="116"/>
      <c r="F320" s="116"/>
      <c r="G320" s="116">
        <f>ROUND(E320-F320,0)</f>
        <v>0</v>
      </c>
      <c r="H320" s="116"/>
      <c r="I320" s="69"/>
    </row>
    <row r="321" spans="1:9" x14ac:dyDescent="0.3">
      <c r="A321" s="162" t="s">
        <v>1965</v>
      </c>
      <c r="B321" s="153" t="s">
        <v>1938</v>
      </c>
      <c r="C321" s="29"/>
      <c r="D321" s="29"/>
      <c r="E321" s="116"/>
      <c r="F321" s="116"/>
      <c r="G321" s="116">
        <f>ROUND(E321-F321,0)</f>
        <v>0</v>
      </c>
      <c r="H321" s="116"/>
      <c r="I321" s="69"/>
    </row>
    <row r="322" spans="1:9" ht="20.399999999999999" x14ac:dyDescent="0.3">
      <c r="A322" s="162" t="s">
        <v>5475</v>
      </c>
      <c r="B322" s="153" t="s">
        <v>1940</v>
      </c>
      <c r="C322" s="29"/>
      <c r="D322" s="29"/>
      <c r="E322" s="116"/>
      <c r="F322" s="116"/>
      <c r="G322" s="116">
        <f>ROUND(E322-F322,0)</f>
        <v>0</v>
      </c>
      <c r="H322" s="116"/>
      <c r="I322" s="69"/>
    </row>
    <row r="323" spans="1:9" x14ac:dyDescent="0.3">
      <c r="A323" s="162" t="s">
        <v>5476</v>
      </c>
      <c r="B323" s="153" t="s">
        <v>1924</v>
      </c>
      <c r="C323" s="29"/>
      <c r="D323" s="29"/>
      <c r="E323" s="52"/>
      <c r="F323" s="52"/>
      <c r="G323" s="52"/>
      <c r="H323" s="52"/>
      <c r="I323" s="69"/>
    </row>
    <row r="324" spans="1:9" x14ac:dyDescent="0.3">
      <c r="A324" s="162"/>
      <c r="B324" s="153"/>
      <c r="C324" s="18"/>
      <c r="D324" s="18"/>
      <c r="E324" s="18"/>
      <c r="F324" s="18"/>
      <c r="G324" s="18"/>
      <c r="H324" s="18"/>
      <c r="I324" s="69"/>
    </row>
    <row r="325" spans="1:9" x14ac:dyDescent="0.3">
      <c r="A325" s="162" t="s">
        <v>5477</v>
      </c>
      <c r="B325" s="153" t="s">
        <v>1948</v>
      </c>
      <c r="C325" s="29"/>
      <c r="D325" s="29"/>
      <c r="E325" s="116"/>
      <c r="F325" s="116"/>
      <c r="G325" s="116">
        <f>ROUND(E325-F325,0)</f>
        <v>0</v>
      </c>
      <c r="H325" s="116"/>
      <c r="I325" s="69"/>
    </row>
    <row r="326" spans="1:9" x14ac:dyDescent="0.3">
      <c r="A326" s="162" t="s">
        <v>5478</v>
      </c>
      <c r="B326" s="153" t="s">
        <v>1950</v>
      </c>
      <c r="C326" s="29"/>
      <c r="D326" s="29"/>
      <c r="E326" s="116"/>
      <c r="F326" s="116"/>
      <c r="G326" s="116">
        <f>ROUND(E326-F326,0)</f>
        <v>0</v>
      </c>
      <c r="H326" s="116"/>
      <c r="I326" s="69"/>
    </row>
    <row r="327" spans="1:9" x14ac:dyDescent="0.3">
      <c r="A327" s="162" t="s">
        <v>5479</v>
      </c>
      <c r="B327" s="153" t="s">
        <v>1952</v>
      </c>
      <c r="C327" s="29"/>
      <c r="D327" s="29"/>
      <c r="E327" s="52"/>
      <c r="F327" s="52"/>
      <c r="G327" s="52"/>
      <c r="H327" s="52"/>
      <c r="I327" s="69"/>
    </row>
    <row r="328" spans="1:9" x14ac:dyDescent="0.3">
      <c r="A328" s="162"/>
      <c r="B328" s="153"/>
      <c r="C328" s="18"/>
      <c r="D328" s="18"/>
      <c r="E328" s="18"/>
      <c r="F328" s="18"/>
      <c r="G328" s="18"/>
      <c r="H328" s="18"/>
      <c r="I328" s="69"/>
    </row>
    <row r="329" spans="1:9" x14ac:dyDescent="0.3">
      <c r="A329" s="162"/>
      <c r="B329" s="154" t="s">
        <v>1953</v>
      </c>
      <c r="C329" s="18"/>
      <c r="D329" s="18"/>
      <c r="E329" s="18"/>
      <c r="F329" s="18"/>
      <c r="G329" s="18"/>
      <c r="H329" s="18"/>
      <c r="I329" s="69"/>
    </row>
    <row r="330" spans="1:9" x14ac:dyDescent="0.3">
      <c r="A330" s="162"/>
      <c r="B330" s="153"/>
      <c r="C330" s="18"/>
      <c r="D330" s="18"/>
      <c r="E330" s="18"/>
      <c r="F330" s="18"/>
      <c r="G330" s="18"/>
      <c r="H330" s="18"/>
      <c r="I330" s="69"/>
    </row>
    <row r="331" spans="1:9" x14ac:dyDescent="0.3">
      <c r="A331" s="162"/>
      <c r="B331" s="153" t="s">
        <v>1917</v>
      </c>
      <c r="C331" s="18"/>
      <c r="D331" s="18"/>
      <c r="E331" s="18"/>
      <c r="F331" s="18"/>
      <c r="G331" s="18"/>
      <c r="H331" s="18"/>
      <c r="I331" s="69"/>
    </row>
    <row r="332" spans="1:9" x14ac:dyDescent="0.3">
      <c r="A332" s="162" t="s">
        <v>5480</v>
      </c>
      <c r="B332" s="153" t="s">
        <v>543</v>
      </c>
      <c r="C332" s="29"/>
      <c r="D332" s="29"/>
      <c r="E332" s="116"/>
      <c r="F332" s="116"/>
      <c r="G332" s="116">
        <f>ROUND(E332-F332,0)</f>
        <v>0</v>
      </c>
      <c r="H332" s="116"/>
      <c r="I332" s="69"/>
    </row>
    <row r="333" spans="1:9" x14ac:dyDescent="0.3">
      <c r="A333" s="162" t="s">
        <v>5481</v>
      </c>
      <c r="B333" s="153" t="s">
        <v>775</v>
      </c>
      <c r="C333" s="29"/>
      <c r="D333" s="29"/>
      <c r="E333" s="116"/>
      <c r="F333" s="116"/>
      <c r="G333" s="116">
        <f>ROUND(E333-F333,0)</f>
        <v>0</v>
      </c>
      <c r="H333" s="116"/>
      <c r="I333" s="69"/>
    </row>
    <row r="334" spans="1:9" x14ac:dyDescent="0.3">
      <c r="A334" s="162" t="s">
        <v>5482</v>
      </c>
      <c r="B334" s="153" t="s">
        <v>777</v>
      </c>
      <c r="C334" s="29"/>
      <c r="D334" s="29"/>
      <c r="E334" s="116"/>
      <c r="F334" s="116"/>
      <c r="G334" s="116">
        <f>ROUND(E334-F334,0)</f>
        <v>0</v>
      </c>
      <c r="H334" s="116"/>
      <c r="I334" s="69"/>
    </row>
    <row r="335" spans="1:9" x14ac:dyDescent="0.3">
      <c r="A335" s="162" t="s">
        <v>5483</v>
      </c>
      <c r="B335" s="153" t="s">
        <v>780</v>
      </c>
      <c r="C335" s="29"/>
      <c r="D335" s="29"/>
      <c r="E335" s="116"/>
      <c r="F335" s="116"/>
      <c r="G335" s="116">
        <f>ROUND(E335-F335,0)</f>
        <v>0</v>
      </c>
      <c r="H335" s="116"/>
      <c r="I335" s="69"/>
    </row>
    <row r="336" spans="1:9" x14ac:dyDescent="0.3">
      <c r="A336" s="162" t="s">
        <v>5484</v>
      </c>
      <c r="B336" s="153" t="s">
        <v>796</v>
      </c>
      <c r="C336" s="29"/>
      <c r="D336" s="29"/>
      <c r="E336" s="116"/>
      <c r="F336" s="116"/>
      <c r="G336" s="116">
        <f>ROUND(E336-F336,0)</f>
        <v>0</v>
      </c>
      <c r="H336" s="116"/>
      <c r="I336" s="69"/>
    </row>
    <row r="337" spans="1:9" x14ac:dyDescent="0.3">
      <c r="A337" s="162" t="s">
        <v>5485</v>
      </c>
      <c r="B337" s="153" t="s">
        <v>1924</v>
      </c>
      <c r="C337" s="29"/>
      <c r="D337" s="29"/>
      <c r="E337" s="52"/>
      <c r="F337" s="52"/>
      <c r="G337" s="52"/>
      <c r="H337" s="52"/>
      <c r="I337" s="69"/>
    </row>
    <row r="338" spans="1:9" x14ac:dyDescent="0.3">
      <c r="A338" s="162"/>
      <c r="B338" s="153"/>
      <c r="C338" s="18"/>
      <c r="D338" s="18"/>
      <c r="E338" s="18"/>
      <c r="F338" s="18"/>
      <c r="G338" s="18"/>
      <c r="H338" s="18"/>
      <c r="I338" s="69"/>
    </row>
    <row r="339" spans="1:9" x14ac:dyDescent="0.3">
      <c r="A339" s="162"/>
      <c r="B339" s="153" t="s">
        <v>1925</v>
      </c>
      <c r="C339" s="18"/>
      <c r="D339" s="18"/>
      <c r="E339" s="18"/>
      <c r="F339" s="18"/>
      <c r="G339" s="18"/>
      <c r="H339" s="18"/>
      <c r="I339" s="69"/>
    </row>
    <row r="340" spans="1:9" x14ac:dyDescent="0.3">
      <c r="A340" s="162" t="s">
        <v>5486</v>
      </c>
      <c r="B340" s="153" t="s">
        <v>543</v>
      </c>
      <c r="C340" s="29"/>
      <c r="D340" s="29"/>
      <c r="E340" s="116"/>
      <c r="F340" s="116"/>
      <c r="G340" s="116">
        <f>ROUND(E340-F340,0)</f>
        <v>0</v>
      </c>
      <c r="H340" s="116"/>
      <c r="I340" s="69"/>
    </row>
    <row r="341" spans="1:9" x14ac:dyDescent="0.3">
      <c r="A341" s="162" t="s">
        <v>5487</v>
      </c>
      <c r="B341" s="153" t="s">
        <v>775</v>
      </c>
      <c r="C341" s="29"/>
      <c r="D341" s="29"/>
      <c r="E341" s="116"/>
      <c r="F341" s="116"/>
      <c r="G341" s="116">
        <f>ROUND(E341-F341,0)</f>
        <v>0</v>
      </c>
      <c r="H341" s="116"/>
      <c r="I341" s="69"/>
    </row>
    <row r="342" spans="1:9" x14ac:dyDescent="0.3">
      <c r="A342" s="162" t="s">
        <v>5488</v>
      </c>
      <c r="B342" s="153" t="s">
        <v>777</v>
      </c>
      <c r="C342" s="29"/>
      <c r="D342" s="29"/>
      <c r="E342" s="116"/>
      <c r="F342" s="116"/>
      <c r="G342" s="116">
        <f>ROUND(E342-F342,0)</f>
        <v>0</v>
      </c>
      <c r="H342" s="116"/>
      <c r="I342" s="69"/>
    </row>
    <row r="343" spans="1:9" x14ac:dyDescent="0.3">
      <c r="A343" s="162" t="s">
        <v>5489</v>
      </c>
      <c r="B343" s="153" t="s">
        <v>780</v>
      </c>
      <c r="C343" s="29"/>
      <c r="D343" s="29"/>
      <c r="E343" s="116"/>
      <c r="F343" s="116"/>
      <c r="G343" s="116">
        <f>ROUND(E343-F343,0)</f>
        <v>0</v>
      </c>
      <c r="H343" s="116"/>
      <c r="I343" s="69"/>
    </row>
    <row r="344" spans="1:9" x14ac:dyDescent="0.3">
      <c r="A344" s="162" t="s">
        <v>5490</v>
      </c>
      <c r="B344" s="153" t="s">
        <v>796</v>
      </c>
      <c r="C344" s="29"/>
      <c r="D344" s="29"/>
      <c r="E344" s="116"/>
      <c r="F344" s="116"/>
      <c r="G344" s="116">
        <f>ROUND(E344-F344,0)</f>
        <v>0</v>
      </c>
      <c r="H344" s="116"/>
      <c r="I344" s="69"/>
    </row>
    <row r="345" spans="1:9" x14ac:dyDescent="0.3">
      <c r="A345" s="162" t="s">
        <v>5491</v>
      </c>
      <c r="B345" s="153" t="s">
        <v>1924</v>
      </c>
      <c r="C345" s="29"/>
      <c r="D345" s="29"/>
      <c r="E345" s="52"/>
      <c r="F345" s="52"/>
      <c r="G345" s="52"/>
      <c r="H345" s="52"/>
      <c r="I345" s="69"/>
    </row>
    <row r="346" spans="1:9" ht="8.1" customHeight="1" x14ac:dyDescent="0.3">
      <c r="A346" s="70" t="s">
        <v>0</v>
      </c>
      <c r="B346" s="152"/>
      <c r="C346" s="70"/>
      <c r="D346" s="70"/>
      <c r="E346" s="70"/>
      <c r="F346" s="70"/>
      <c r="G346" s="70"/>
      <c r="H346" s="70"/>
      <c r="I346" s="69"/>
    </row>
  </sheetData>
  <sheetProtection password="C9D6" sheet="1" objects="1" scenarios="1" formatCells="0" formatColumns="0" formatRows="0" autoFilter="0"/>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D154"/>
  <sheetViews>
    <sheetView workbookViewId="0"/>
  </sheetViews>
  <sheetFormatPr defaultColWidth="11.5546875" defaultRowHeight="14.4" x14ac:dyDescent="0.3"/>
  <cols>
    <col min="1" max="1" width="14.33203125" style="107" customWidth="1"/>
    <col min="2" max="2" width="41" style="107" customWidth="1"/>
    <col min="3" max="3" width="20.6640625" style="107" customWidth="1"/>
    <col min="4" max="4" width="1.6640625" style="107" customWidth="1"/>
    <col min="5" max="16384" width="11.5546875" style="107"/>
  </cols>
  <sheetData>
    <row r="1" spans="1:4" x14ac:dyDescent="0.3">
      <c r="A1" s="42" t="s">
        <v>0</v>
      </c>
      <c r="B1" s="124" t="s">
        <v>5616</v>
      </c>
      <c r="C1" s="42"/>
      <c r="D1" s="69"/>
    </row>
    <row r="2" spans="1:4" x14ac:dyDescent="0.3">
      <c r="A2" s="78" t="s">
        <v>5597</v>
      </c>
      <c r="B2" s="78" t="s">
        <v>5598</v>
      </c>
      <c r="C2" s="78" t="s">
        <v>2689</v>
      </c>
      <c r="D2" s="69" t="s">
        <v>0</v>
      </c>
    </row>
    <row r="3" spans="1:4" x14ac:dyDescent="0.3">
      <c r="A3" s="163"/>
      <c r="B3" s="46" t="s">
        <v>0</v>
      </c>
      <c r="C3" s="47"/>
      <c r="D3" s="69"/>
    </row>
    <row r="4" spans="1:4" x14ac:dyDescent="0.3">
      <c r="A4" s="163"/>
      <c r="B4" s="51" t="s">
        <v>5626</v>
      </c>
      <c r="C4" s="47"/>
      <c r="D4" s="69"/>
    </row>
    <row r="5" spans="1:4" x14ac:dyDescent="0.3">
      <c r="A5" s="163"/>
      <c r="B5" s="18" t="s">
        <v>0</v>
      </c>
      <c r="C5" s="18"/>
      <c r="D5" s="69"/>
    </row>
    <row r="6" spans="1:4" ht="20.399999999999999" x14ac:dyDescent="0.3">
      <c r="A6" s="163"/>
      <c r="B6" s="129" t="s">
        <v>805</v>
      </c>
      <c r="C6" s="18"/>
      <c r="D6" s="69"/>
    </row>
    <row r="7" spans="1:4" x14ac:dyDescent="0.3">
      <c r="A7" s="163"/>
      <c r="B7" s="160"/>
      <c r="C7" s="18"/>
      <c r="D7" s="69"/>
    </row>
    <row r="8" spans="1:4" x14ac:dyDescent="0.3">
      <c r="A8" s="162" t="s">
        <v>2690</v>
      </c>
      <c r="B8" s="153" t="s">
        <v>2691</v>
      </c>
      <c r="C8" s="193">
        <f>ROUND('ANEXO 7'!AE15,0)</f>
        <v>0</v>
      </c>
      <c r="D8" s="69"/>
    </row>
    <row r="9" spans="1:4" x14ac:dyDescent="0.3">
      <c r="A9" s="162" t="s">
        <v>2692</v>
      </c>
      <c r="B9" s="153" t="s">
        <v>2693</v>
      </c>
      <c r="C9" s="193">
        <f>ROUND('ANEXO 1'!D182-'ANEXO 18'!C10,0)</f>
        <v>0</v>
      </c>
      <c r="D9" s="69"/>
    </row>
    <row r="10" spans="1:4" x14ac:dyDescent="0.3">
      <c r="A10" s="162" t="s">
        <v>2694</v>
      </c>
      <c r="B10" s="153" t="s">
        <v>2091</v>
      </c>
      <c r="C10" s="193">
        <f>ROUND('ANEXO 11'!C39,0)</f>
        <v>0</v>
      </c>
      <c r="D10" s="69"/>
    </row>
    <row r="11" spans="1:4" x14ac:dyDescent="0.3">
      <c r="A11" s="162" t="s">
        <v>2695</v>
      </c>
      <c r="B11" s="153" t="s">
        <v>2696</v>
      </c>
      <c r="C11" s="193">
        <f>ROUND(IF('ANEXO 11'!C35-'ANEXO 11'!C86&gt;0,'ANEXO 11'!C35-'ANEXO 11'!C86,0),0)</f>
        <v>0</v>
      </c>
      <c r="D11" s="69"/>
    </row>
    <row r="12" spans="1:4" x14ac:dyDescent="0.3">
      <c r="A12" s="162"/>
      <c r="B12" s="153"/>
      <c r="C12" s="18"/>
      <c r="D12" s="69"/>
    </row>
    <row r="13" spans="1:4" ht="20.399999999999999" x14ac:dyDescent="0.3">
      <c r="A13" s="162"/>
      <c r="B13" s="179" t="s">
        <v>5492</v>
      </c>
      <c r="C13" s="18"/>
      <c r="D13" s="69"/>
    </row>
    <row r="14" spans="1:4" x14ac:dyDescent="0.3">
      <c r="A14" s="162"/>
      <c r="B14" s="153"/>
      <c r="C14" s="18"/>
      <c r="D14" s="69"/>
    </row>
    <row r="15" spans="1:4" ht="20.399999999999999" x14ac:dyDescent="0.3">
      <c r="A15" s="162" t="s">
        <v>2697</v>
      </c>
      <c r="B15" s="153" t="s">
        <v>2698</v>
      </c>
      <c r="C15" s="193">
        <f>ROUND('ANEXO 11'!C29-'ANEXO 11'!C30+ROUND('ANEXO 15'!C76,0),0)</f>
        <v>0</v>
      </c>
      <c r="D15" s="69"/>
    </row>
    <row r="16" spans="1:4" ht="20.399999999999999" x14ac:dyDescent="0.3">
      <c r="A16" s="162" t="s">
        <v>2699</v>
      </c>
      <c r="B16" s="153" t="s">
        <v>2700</v>
      </c>
      <c r="C16" s="195">
        <f>TRUNC(IF(('ANEXO 11'!C42-'ANEXO 11'!C41-'ANEXO 11'!C59+'ANEXO 11'!C113)&gt;0,('ANEXO 11'!C42-'ANEXO 11'!C41-'ANEXO 11'!C59+'ANEXO 11'!C113)/('ANEXO 15'!C76-'ANEXO 15'!C48-'ANEXO 11'!C59),0),4)</f>
        <v>0</v>
      </c>
      <c r="D16" s="69"/>
    </row>
    <row r="17" spans="1:4" ht="20.399999999999999" x14ac:dyDescent="0.3">
      <c r="A17" s="162" t="s">
        <v>2701</v>
      </c>
      <c r="B17" s="153" t="s">
        <v>2702</v>
      </c>
      <c r="C17" s="193">
        <f>ROUND('ANEXO 5'!C34,0)</f>
        <v>0</v>
      </c>
      <c r="D17" s="69"/>
    </row>
    <row r="18" spans="1:4" ht="20.399999999999999" x14ac:dyDescent="0.3">
      <c r="A18" s="162" t="s">
        <v>2703</v>
      </c>
      <c r="B18" s="153" t="s">
        <v>2704</v>
      </c>
      <c r="C18" s="193">
        <f>ROUND('ANEXO 5'!C35,0)</f>
        <v>0</v>
      </c>
      <c r="D18" s="69"/>
    </row>
    <row r="19" spans="1:4" ht="20.399999999999999" x14ac:dyDescent="0.3">
      <c r="A19" s="162" t="s">
        <v>2705</v>
      </c>
      <c r="B19" s="153" t="s">
        <v>2706</v>
      </c>
      <c r="C19" s="116"/>
      <c r="D19" s="69"/>
    </row>
    <row r="20" spans="1:4" ht="20.399999999999999" x14ac:dyDescent="0.3">
      <c r="A20" s="162" t="s">
        <v>2707</v>
      </c>
      <c r="B20" s="153" t="s">
        <v>2708</v>
      </c>
      <c r="C20" s="116"/>
      <c r="D20" s="69"/>
    </row>
    <row r="21" spans="1:4" ht="20.399999999999999" x14ac:dyDescent="0.3">
      <c r="A21" s="162" t="s">
        <v>2709</v>
      </c>
      <c r="B21" s="153" t="s">
        <v>2710</v>
      </c>
      <c r="C21" s="116"/>
      <c r="D21" s="69"/>
    </row>
    <row r="22" spans="1:4" ht="40.799999999999997" x14ac:dyDescent="0.3">
      <c r="A22" s="162" t="s">
        <v>2711</v>
      </c>
      <c r="B22" s="153" t="s">
        <v>5493</v>
      </c>
      <c r="C22" s="116"/>
      <c r="D22" s="69"/>
    </row>
    <row r="23" spans="1:4" ht="40.799999999999997" x14ac:dyDescent="0.3">
      <c r="A23" s="162" t="s">
        <v>2712</v>
      </c>
      <c r="B23" s="153" t="s">
        <v>2713</v>
      </c>
      <c r="C23" s="116"/>
      <c r="D23" s="69"/>
    </row>
    <row r="24" spans="1:4" x14ac:dyDescent="0.3">
      <c r="A24" s="162" t="s">
        <v>2714</v>
      </c>
      <c r="B24" s="153" t="s">
        <v>2715</v>
      </c>
      <c r="C24" s="116"/>
      <c r="D24" s="69"/>
    </row>
    <row r="25" spans="1:4" x14ac:dyDescent="0.3">
      <c r="A25" s="162" t="s">
        <v>2716</v>
      </c>
      <c r="B25" s="153" t="s">
        <v>2717</v>
      </c>
      <c r="C25" s="116"/>
      <c r="D25" s="69"/>
    </row>
    <row r="26" spans="1:4" ht="20.399999999999999" x14ac:dyDescent="0.3">
      <c r="A26" s="162" t="s">
        <v>2718</v>
      </c>
      <c r="B26" s="153" t="s">
        <v>2719</v>
      </c>
      <c r="C26" s="116"/>
      <c r="D26" s="69"/>
    </row>
    <row r="27" spans="1:4" ht="20.399999999999999" x14ac:dyDescent="0.3">
      <c r="A27" s="162" t="s">
        <v>2720</v>
      </c>
      <c r="B27" s="153" t="s">
        <v>2721</v>
      </c>
      <c r="C27" s="116"/>
      <c r="D27" s="69"/>
    </row>
    <row r="28" spans="1:4" x14ac:dyDescent="0.3">
      <c r="A28" s="162"/>
      <c r="B28" s="153"/>
      <c r="C28" s="18"/>
      <c r="D28" s="69"/>
    </row>
    <row r="29" spans="1:4" ht="20.399999999999999" x14ac:dyDescent="0.3">
      <c r="A29" s="162"/>
      <c r="B29" s="179" t="s">
        <v>5494</v>
      </c>
      <c r="C29" s="18"/>
      <c r="D29" s="69"/>
    </row>
    <row r="30" spans="1:4" x14ac:dyDescent="0.3">
      <c r="A30" s="162"/>
      <c r="B30" s="153"/>
      <c r="C30" s="18"/>
      <c r="D30" s="69"/>
    </row>
    <row r="31" spans="1:4" x14ac:dyDescent="0.3">
      <c r="A31" s="162" t="s">
        <v>2722</v>
      </c>
      <c r="B31" s="153" t="s">
        <v>2723</v>
      </c>
      <c r="C31" s="116"/>
      <c r="D31" s="69"/>
    </row>
    <row r="32" spans="1:4" x14ac:dyDescent="0.3">
      <c r="A32" s="162"/>
      <c r="B32" s="153" t="s">
        <v>1267</v>
      </c>
      <c r="C32" s="18"/>
      <c r="D32" s="69"/>
    </row>
    <row r="33" spans="1:4" x14ac:dyDescent="0.3">
      <c r="A33" s="162" t="s">
        <v>2724</v>
      </c>
      <c r="B33" s="153" t="s">
        <v>2725</v>
      </c>
      <c r="C33" s="193">
        <f>'ANEXO 11'!C46</f>
        <v>0</v>
      </c>
      <c r="D33" s="69"/>
    </row>
    <row r="34" spans="1:4" x14ac:dyDescent="0.3">
      <c r="A34" s="162"/>
      <c r="B34" s="153" t="s">
        <v>890</v>
      </c>
      <c r="C34" s="18"/>
      <c r="D34" s="69"/>
    </row>
    <row r="35" spans="1:4" x14ac:dyDescent="0.3">
      <c r="A35" s="162" t="s">
        <v>2726</v>
      </c>
      <c r="B35" s="153" t="s">
        <v>2727</v>
      </c>
      <c r="C35" s="193">
        <f>'ANEXO 9'!E12-'ANEXO 9'!E30</f>
        <v>0</v>
      </c>
      <c r="D35" s="69"/>
    </row>
    <row r="36" spans="1:4" ht="20.399999999999999" x14ac:dyDescent="0.3">
      <c r="A36" s="162" t="s">
        <v>2728</v>
      </c>
      <c r="B36" s="153" t="s">
        <v>2729</v>
      </c>
      <c r="C36" s="193">
        <f>'ANEXO 11'!C70+'ANEXO 11'!C71+'ANEXO 11'!C72+'ANEXO 11'!C86+'ANEXO 11'!C87</f>
        <v>0</v>
      </c>
      <c r="D36" s="69"/>
    </row>
    <row r="37" spans="1:4" ht="30.6" x14ac:dyDescent="0.3">
      <c r="A37" s="162" t="s">
        <v>2730</v>
      </c>
      <c r="B37" s="153" t="s">
        <v>2731</v>
      </c>
      <c r="C37" s="116"/>
      <c r="D37" s="69"/>
    </row>
    <row r="38" spans="1:4" ht="40.799999999999997" x14ac:dyDescent="0.3">
      <c r="A38" s="162" t="s">
        <v>2732</v>
      </c>
      <c r="B38" s="153" t="s">
        <v>2733</v>
      </c>
      <c r="C38" s="116"/>
      <c r="D38" s="69"/>
    </row>
    <row r="39" spans="1:4" x14ac:dyDescent="0.3">
      <c r="A39" s="162"/>
      <c r="B39" s="153" t="s">
        <v>2640</v>
      </c>
      <c r="C39" s="18"/>
      <c r="D39" s="69"/>
    </row>
    <row r="40" spans="1:4" x14ac:dyDescent="0.3">
      <c r="A40" s="162" t="s">
        <v>2734</v>
      </c>
      <c r="B40" s="153" t="s">
        <v>2735</v>
      </c>
      <c r="C40" s="116">
        <f>IF(C33-C35-C36-C37-C38&gt;0,C33-C35-C36-C37-C38,0)</f>
        <v>0</v>
      </c>
      <c r="D40" s="69"/>
    </row>
    <row r="41" spans="1:4" ht="30.6" x14ac:dyDescent="0.3">
      <c r="A41" s="162" t="s">
        <v>2736</v>
      </c>
      <c r="B41" s="153" t="s">
        <v>2737</v>
      </c>
      <c r="C41" s="116">
        <f>IF(C33-C35-C36-C37-C38&lt;0,C33-C35-C36-C37-C38,0)</f>
        <v>0</v>
      </c>
      <c r="D41" s="69"/>
    </row>
    <row r="42" spans="1:4" x14ac:dyDescent="0.3">
      <c r="A42" s="162"/>
      <c r="B42" s="153" t="s">
        <v>1267</v>
      </c>
      <c r="C42" s="18"/>
      <c r="D42" s="69"/>
    </row>
    <row r="43" spans="1:4" x14ac:dyDescent="0.3">
      <c r="A43" s="162" t="s">
        <v>2738</v>
      </c>
      <c r="B43" s="153" t="s">
        <v>2739</v>
      </c>
      <c r="C43" s="116"/>
      <c r="D43" s="69"/>
    </row>
    <row r="44" spans="1:4" x14ac:dyDescent="0.3">
      <c r="A44" s="162"/>
      <c r="B44" s="153" t="s">
        <v>1267</v>
      </c>
      <c r="C44" s="18"/>
      <c r="D44" s="69"/>
    </row>
    <row r="45" spans="1:4" x14ac:dyDescent="0.3">
      <c r="A45" s="162" t="s">
        <v>2740</v>
      </c>
      <c r="B45" s="153" t="s">
        <v>1073</v>
      </c>
      <c r="C45" s="116"/>
      <c r="D45" s="69"/>
    </row>
    <row r="46" spans="1:4" x14ac:dyDescent="0.3">
      <c r="A46" s="162"/>
      <c r="B46" s="153" t="s">
        <v>890</v>
      </c>
      <c r="C46" s="18"/>
      <c r="D46" s="69"/>
    </row>
    <row r="47" spans="1:4" x14ac:dyDescent="0.3">
      <c r="A47" s="162" t="s">
        <v>2741</v>
      </c>
      <c r="B47" s="153" t="s">
        <v>1014</v>
      </c>
      <c r="C47" s="116"/>
      <c r="D47" s="69"/>
    </row>
    <row r="48" spans="1:4" x14ac:dyDescent="0.3">
      <c r="A48" s="162"/>
      <c r="B48" s="153"/>
      <c r="C48" s="18"/>
      <c r="D48" s="69"/>
    </row>
    <row r="49" spans="1:4" x14ac:dyDescent="0.3">
      <c r="A49" s="162"/>
      <c r="B49" s="153" t="s">
        <v>2742</v>
      </c>
      <c r="C49" s="18"/>
      <c r="D49" s="69"/>
    </row>
    <row r="50" spans="1:4" x14ac:dyDescent="0.3">
      <c r="A50" s="162"/>
      <c r="B50" s="153"/>
      <c r="C50" s="18"/>
      <c r="D50" s="69"/>
    </row>
    <row r="51" spans="1:4" x14ac:dyDescent="0.3">
      <c r="A51" s="184" t="s">
        <v>2743</v>
      </c>
      <c r="B51" s="190" t="s">
        <v>5322</v>
      </c>
      <c r="C51" s="116"/>
      <c r="D51" s="69"/>
    </row>
    <row r="52" spans="1:4" x14ac:dyDescent="0.3">
      <c r="A52" s="184" t="s">
        <v>2744</v>
      </c>
      <c r="B52" s="190" t="s">
        <v>5322</v>
      </c>
      <c r="C52" s="116"/>
      <c r="D52" s="69"/>
    </row>
    <row r="53" spans="1:4" x14ac:dyDescent="0.3">
      <c r="A53" s="184" t="s">
        <v>2745</v>
      </c>
      <c r="B53" s="190" t="s">
        <v>5322</v>
      </c>
      <c r="C53" s="116"/>
      <c r="D53" s="69"/>
    </row>
    <row r="54" spans="1:4" x14ac:dyDescent="0.3">
      <c r="A54" s="184" t="s">
        <v>2746</v>
      </c>
      <c r="B54" s="190" t="s">
        <v>5322</v>
      </c>
      <c r="C54" s="116"/>
      <c r="D54" s="69"/>
    </row>
    <row r="55" spans="1:4" x14ac:dyDescent="0.3">
      <c r="A55" s="184" t="s">
        <v>2747</v>
      </c>
      <c r="B55" s="190" t="s">
        <v>5322</v>
      </c>
      <c r="C55" s="116"/>
      <c r="D55" s="69"/>
    </row>
    <row r="56" spans="1:4" x14ac:dyDescent="0.3">
      <c r="A56" s="162"/>
      <c r="B56" s="153"/>
      <c r="C56" s="18"/>
      <c r="D56" s="69"/>
    </row>
    <row r="57" spans="1:4" ht="20.399999999999999" x14ac:dyDescent="0.3">
      <c r="A57" s="162" t="s">
        <v>2748</v>
      </c>
      <c r="B57" s="153" t="s">
        <v>5495</v>
      </c>
      <c r="C57" s="116">
        <f>C31+C40-C41+C43+C45-C47+C51+C52+C53+C54+C55</f>
        <v>0</v>
      </c>
      <c r="D57" s="69"/>
    </row>
    <row r="58" spans="1:4" x14ac:dyDescent="0.3">
      <c r="A58" s="162"/>
      <c r="B58" s="153"/>
      <c r="C58" s="18"/>
      <c r="D58" s="69"/>
    </row>
    <row r="59" spans="1:4" ht="20.399999999999999" x14ac:dyDescent="0.3">
      <c r="A59" s="162"/>
      <c r="B59" s="179" t="s">
        <v>5496</v>
      </c>
      <c r="C59" s="18"/>
      <c r="D59" s="69"/>
    </row>
    <row r="60" spans="1:4" x14ac:dyDescent="0.3">
      <c r="A60" s="162"/>
      <c r="B60" s="153"/>
      <c r="C60" s="18"/>
      <c r="D60" s="69"/>
    </row>
    <row r="61" spans="1:4" x14ac:dyDescent="0.3">
      <c r="A61" s="162" t="s">
        <v>2749</v>
      </c>
      <c r="B61" s="153" t="s">
        <v>2739</v>
      </c>
      <c r="C61" s="116"/>
      <c r="D61" s="69"/>
    </row>
    <row r="62" spans="1:4" x14ac:dyDescent="0.3">
      <c r="A62" s="162"/>
      <c r="B62" s="153" t="s">
        <v>1267</v>
      </c>
      <c r="C62" s="18"/>
      <c r="D62" s="69"/>
    </row>
    <row r="63" spans="1:4" x14ac:dyDescent="0.3">
      <c r="A63" s="162" t="s">
        <v>2750</v>
      </c>
      <c r="B63" s="153" t="s">
        <v>1073</v>
      </c>
      <c r="C63" s="116"/>
      <c r="D63" s="69"/>
    </row>
    <row r="64" spans="1:4" x14ac:dyDescent="0.3">
      <c r="A64" s="162"/>
      <c r="B64" s="153" t="s">
        <v>890</v>
      </c>
      <c r="C64" s="18"/>
      <c r="D64" s="69"/>
    </row>
    <row r="65" spans="1:4" x14ac:dyDescent="0.3">
      <c r="A65" s="162" t="s">
        <v>2751</v>
      </c>
      <c r="B65" s="153" t="s">
        <v>1014</v>
      </c>
      <c r="C65" s="116"/>
      <c r="D65" s="69"/>
    </row>
    <row r="66" spans="1:4" x14ac:dyDescent="0.3">
      <c r="A66" s="162"/>
      <c r="B66" s="153" t="s">
        <v>1267</v>
      </c>
      <c r="C66" s="18"/>
      <c r="D66" s="69"/>
    </row>
    <row r="67" spans="1:4" x14ac:dyDescent="0.3">
      <c r="A67" s="162" t="s">
        <v>2752</v>
      </c>
      <c r="B67" s="153" t="s">
        <v>5753</v>
      </c>
      <c r="C67" s="116"/>
      <c r="D67" s="69"/>
    </row>
    <row r="68" spans="1:4" x14ac:dyDescent="0.3">
      <c r="A68" s="162"/>
      <c r="B68" s="153"/>
      <c r="C68" s="18"/>
      <c r="D68" s="69"/>
    </row>
    <row r="69" spans="1:4" x14ac:dyDescent="0.3">
      <c r="A69" s="162"/>
      <c r="B69" s="153" t="s">
        <v>2742</v>
      </c>
      <c r="C69" s="18"/>
      <c r="D69" s="69"/>
    </row>
    <row r="70" spans="1:4" x14ac:dyDescent="0.3">
      <c r="A70" s="162"/>
      <c r="B70" s="153"/>
      <c r="C70" s="18"/>
      <c r="D70" s="69"/>
    </row>
    <row r="71" spans="1:4" x14ac:dyDescent="0.3">
      <c r="A71" s="184" t="s">
        <v>2753</v>
      </c>
      <c r="B71" s="190" t="s">
        <v>5322</v>
      </c>
      <c r="C71" s="116"/>
      <c r="D71" s="69"/>
    </row>
    <row r="72" spans="1:4" x14ac:dyDescent="0.3">
      <c r="A72" s="184" t="s">
        <v>2754</v>
      </c>
      <c r="B72" s="190" t="s">
        <v>5322</v>
      </c>
      <c r="C72" s="116"/>
      <c r="D72" s="69"/>
    </row>
    <row r="73" spans="1:4" x14ac:dyDescent="0.3">
      <c r="A73" s="184" t="s">
        <v>2755</v>
      </c>
      <c r="B73" s="190" t="s">
        <v>5322</v>
      </c>
      <c r="C73" s="116"/>
      <c r="D73" s="69"/>
    </row>
    <row r="74" spans="1:4" x14ac:dyDescent="0.3">
      <c r="A74" s="184" t="s">
        <v>2756</v>
      </c>
      <c r="B74" s="190" t="s">
        <v>5322</v>
      </c>
      <c r="C74" s="116"/>
      <c r="D74" s="69"/>
    </row>
    <row r="75" spans="1:4" x14ac:dyDescent="0.3">
      <c r="A75" s="184" t="s">
        <v>2757</v>
      </c>
      <c r="B75" s="190" t="s">
        <v>5322</v>
      </c>
      <c r="C75" s="116"/>
      <c r="D75" s="69"/>
    </row>
    <row r="76" spans="1:4" x14ac:dyDescent="0.3">
      <c r="A76" s="162"/>
      <c r="B76" s="153"/>
      <c r="C76" s="18"/>
      <c r="D76" s="69"/>
    </row>
    <row r="77" spans="1:4" ht="20.399999999999999" x14ac:dyDescent="0.3">
      <c r="A77" s="162" t="s">
        <v>2758</v>
      </c>
      <c r="B77" s="153" t="s">
        <v>2759</v>
      </c>
      <c r="C77" s="116">
        <f>C61+C63-C65+C67+C71+C72+C73+C74+C75</f>
        <v>0</v>
      </c>
      <c r="D77" s="69"/>
    </row>
    <row r="78" spans="1:4" x14ac:dyDescent="0.3">
      <c r="A78" s="162"/>
      <c r="B78" s="153"/>
      <c r="C78" s="18"/>
      <c r="D78" s="69"/>
    </row>
    <row r="79" spans="1:4" ht="20.399999999999999" x14ac:dyDescent="0.3">
      <c r="A79" s="162"/>
      <c r="B79" s="179" t="s">
        <v>5497</v>
      </c>
      <c r="C79" s="18"/>
      <c r="D79" s="69"/>
    </row>
    <row r="80" spans="1:4" x14ac:dyDescent="0.3">
      <c r="A80" s="162"/>
      <c r="B80" s="153"/>
      <c r="C80" s="18"/>
      <c r="D80" s="69"/>
    </row>
    <row r="81" spans="1:4" x14ac:dyDescent="0.3">
      <c r="A81" s="162" t="s">
        <v>2760</v>
      </c>
      <c r="B81" s="153" t="s">
        <v>2739</v>
      </c>
      <c r="C81" s="116"/>
      <c r="D81" s="69"/>
    </row>
    <row r="82" spans="1:4" x14ac:dyDescent="0.3">
      <c r="A82" s="162"/>
      <c r="B82" s="153" t="s">
        <v>1267</v>
      </c>
      <c r="C82" s="18"/>
      <c r="D82" s="69"/>
    </row>
    <row r="83" spans="1:4" x14ac:dyDescent="0.3">
      <c r="A83" s="162" t="s">
        <v>2761</v>
      </c>
      <c r="B83" s="153" t="s">
        <v>1073</v>
      </c>
      <c r="C83" s="116"/>
      <c r="D83" s="69"/>
    </row>
    <row r="84" spans="1:4" x14ac:dyDescent="0.3">
      <c r="A84" s="162"/>
      <c r="B84" s="153" t="s">
        <v>890</v>
      </c>
      <c r="C84" s="18"/>
      <c r="D84" s="69"/>
    </row>
    <row r="85" spans="1:4" x14ac:dyDescent="0.3">
      <c r="A85" s="162" t="s">
        <v>2762</v>
      </c>
      <c r="B85" s="153" t="s">
        <v>1014</v>
      </c>
      <c r="C85" s="116"/>
      <c r="D85" s="69"/>
    </row>
    <row r="86" spans="1:4" x14ac:dyDescent="0.3">
      <c r="A86" s="162"/>
      <c r="B86" s="153" t="s">
        <v>1267</v>
      </c>
      <c r="C86" s="18"/>
      <c r="D86" s="69"/>
    </row>
    <row r="87" spans="1:4" x14ac:dyDescent="0.3">
      <c r="A87" s="162" t="s">
        <v>2763</v>
      </c>
      <c r="B87" s="153" t="s">
        <v>5753</v>
      </c>
      <c r="C87" s="116"/>
      <c r="D87" s="69"/>
    </row>
    <row r="88" spans="1:4" x14ac:dyDescent="0.3">
      <c r="A88" s="162"/>
      <c r="B88" s="153"/>
      <c r="C88" s="18"/>
      <c r="D88" s="69"/>
    </row>
    <row r="89" spans="1:4" ht="20.399999999999999" x14ac:dyDescent="0.3">
      <c r="A89" s="162" t="s">
        <v>2764</v>
      </c>
      <c r="B89" s="153" t="s">
        <v>2765</v>
      </c>
      <c r="C89" s="116">
        <f>C81+C83-C85+C87</f>
        <v>0</v>
      </c>
      <c r="D89" s="69"/>
    </row>
    <row r="90" spans="1:4" x14ac:dyDescent="0.3">
      <c r="A90" s="162"/>
      <c r="B90" s="153"/>
      <c r="C90" s="18"/>
      <c r="D90" s="69"/>
    </row>
    <row r="91" spans="1:4" x14ac:dyDescent="0.3">
      <c r="A91" s="162"/>
      <c r="B91" s="179" t="s">
        <v>2766</v>
      </c>
      <c r="C91" s="18"/>
      <c r="D91" s="69"/>
    </row>
    <row r="92" spans="1:4" x14ac:dyDescent="0.3">
      <c r="A92" s="162"/>
      <c r="B92" s="153"/>
      <c r="C92" s="18"/>
      <c r="D92" s="69"/>
    </row>
    <row r="93" spans="1:4" x14ac:dyDescent="0.3">
      <c r="A93" s="162" t="s">
        <v>2767</v>
      </c>
      <c r="B93" s="153" t="s">
        <v>2768</v>
      </c>
      <c r="C93" s="116"/>
      <c r="D93" s="69"/>
    </row>
    <row r="94" spans="1:4" x14ac:dyDescent="0.3">
      <c r="A94" s="162" t="s">
        <v>2769</v>
      </c>
      <c r="B94" s="153" t="s">
        <v>1014</v>
      </c>
      <c r="C94" s="116"/>
      <c r="D94" s="69"/>
    </row>
    <row r="95" spans="1:4" x14ac:dyDescent="0.3">
      <c r="A95" s="162"/>
      <c r="B95" s="153" t="s">
        <v>1267</v>
      </c>
      <c r="C95" s="18"/>
      <c r="D95" s="69"/>
    </row>
    <row r="96" spans="1:4" x14ac:dyDescent="0.3">
      <c r="A96" s="162" t="s">
        <v>2770</v>
      </c>
      <c r="B96" s="153" t="s">
        <v>5753</v>
      </c>
      <c r="C96" s="116"/>
      <c r="D96" s="69"/>
    </row>
    <row r="97" spans="1:4" x14ac:dyDescent="0.3">
      <c r="A97" s="162"/>
      <c r="B97" s="153"/>
      <c r="C97" s="18"/>
      <c r="D97" s="69"/>
    </row>
    <row r="98" spans="1:4" x14ac:dyDescent="0.3">
      <c r="A98" s="162"/>
      <c r="B98" s="153" t="s">
        <v>2742</v>
      </c>
      <c r="C98" s="18"/>
      <c r="D98" s="69"/>
    </row>
    <row r="99" spans="1:4" x14ac:dyDescent="0.3">
      <c r="A99" s="162"/>
      <c r="B99" s="153"/>
      <c r="C99" s="18"/>
      <c r="D99" s="69"/>
    </row>
    <row r="100" spans="1:4" x14ac:dyDescent="0.3">
      <c r="A100" s="184" t="s">
        <v>2771</v>
      </c>
      <c r="B100" s="190" t="s">
        <v>5322</v>
      </c>
      <c r="C100" s="116"/>
      <c r="D100" s="69"/>
    </row>
    <row r="101" spans="1:4" x14ac:dyDescent="0.3">
      <c r="A101" s="184" t="s">
        <v>2772</v>
      </c>
      <c r="B101" s="190" t="s">
        <v>5322</v>
      </c>
      <c r="C101" s="116"/>
      <c r="D101" s="69"/>
    </row>
    <row r="102" spans="1:4" x14ac:dyDescent="0.3">
      <c r="A102" s="184" t="s">
        <v>2773</v>
      </c>
      <c r="B102" s="190" t="s">
        <v>5322</v>
      </c>
      <c r="C102" s="116"/>
      <c r="D102" s="69"/>
    </row>
    <row r="103" spans="1:4" x14ac:dyDescent="0.3">
      <c r="A103" s="184" t="s">
        <v>2774</v>
      </c>
      <c r="B103" s="190" t="s">
        <v>5322</v>
      </c>
      <c r="C103" s="116"/>
      <c r="D103" s="69"/>
    </row>
    <row r="104" spans="1:4" x14ac:dyDescent="0.3">
      <c r="A104" s="184" t="s">
        <v>2775</v>
      </c>
      <c r="B104" s="190" t="s">
        <v>5322</v>
      </c>
      <c r="C104" s="116"/>
      <c r="D104" s="69"/>
    </row>
    <row r="105" spans="1:4" x14ac:dyDescent="0.3">
      <c r="A105" s="162"/>
      <c r="B105" s="153"/>
      <c r="C105" s="18"/>
      <c r="D105" s="69"/>
    </row>
    <row r="106" spans="1:4" ht="20.399999999999999" x14ac:dyDescent="0.3">
      <c r="A106" s="162" t="s">
        <v>2776</v>
      </c>
      <c r="B106" s="153" t="s">
        <v>2777</v>
      </c>
      <c r="C106" s="116">
        <f>C93-C94+C96+C100+C101+C102+C103+C104</f>
        <v>0</v>
      </c>
      <c r="D106" s="69"/>
    </row>
    <row r="107" spans="1:4" x14ac:dyDescent="0.3">
      <c r="A107" s="162"/>
      <c r="B107" s="153"/>
      <c r="C107" s="18"/>
      <c r="D107" s="69"/>
    </row>
    <row r="108" spans="1:4" ht="20.399999999999999" x14ac:dyDescent="0.3">
      <c r="A108" s="162"/>
      <c r="B108" s="179" t="s">
        <v>5498</v>
      </c>
      <c r="C108" s="18"/>
      <c r="D108" s="69"/>
    </row>
    <row r="109" spans="1:4" x14ac:dyDescent="0.3">
      <c r="A109" s="162"/>
      <c r="B109" s="153"/>
      <c r="C109" s="18"/>
      <c r="D109" s="69"/>
    </row>
    <row r="110" spans="1:4" x14ac:dyDescent="0.3">
      <c r="A110" s="162" t="s">
        <v>2778</v>
      </c>
      <c r="B110" s="153" t="s">
        <v>2779</v>
      </c>
      <c r="C110" s="116">
        <f>C57+C77+C89</f>
        <v>0</v>
      </c>
      <c r="D110" s="69"/>
    </row>
    <row r="111" spans="1:4" x14ac:dyDescent="0.3">
      <c r="A111" s="162" t="s">
        <v>2780</v>
      </c>
      <c r="B111" s="153" t="s">
        <v>2766</v>
      </c>
      <c r="C111" s="116">
        <f>C106</f>
        <v>0</v>
      </c>
      <c r="D111" s="69"/>
    </row>
    <row r="112" spans="1:4" x14ac:dyDescent="0.3">
      <c r="A112" s="162" t="s">
        <v>2781</v>
      </c>
      <c r="B112" s="153" t="s">
        <v>2782</v>
      </c>
      <c r="C112" s="116"/>
      <c r="D112" s="69"/>
    </row>
    <row r="113" spans="1:4" ht="20.399999999999999" x14ac:dyDescent="0.3">
      <c r="A113" s="162" t="s">
        <v>2783</v>
      </c>
      <c r="B113" s="153" t="s">
        <v>2784</v>
      </c>
      <c r="C113" s="116"/>
      <c r="D113" s="69"/>
    </row>
    <row r="114" spans="1:4" x14ac:dyDescent="0.3">
      <c r="A114" s="162"/>
      <c r="B114" s="153"/>
      <c r="C114" s="18"/>
      <c r="D114" s="69"/>
    </row>
    <row r="115" spans="1:4" x14ac:dyDescent="0.3">
      <c r="A115" s="162"/>
      <c r="B115" s="179" t="s">
        <v>2785</v>
      </c>
      <c r="C115" s="18"/>
      <c r="D115" s="69"/>
    </row>
    <row r="116" spans="1:4" x14ac:dyDescent="0.3">
      <c r="A116" s="162"/>
      <c r="B116" s="153"/>
      <c r="C116" s="18"/>
      <c r="D116" s="69"/>
    </row>
    <row r="117" spans="1:4" ht="20.399999999999999" x14ac:dyDescent="0.3">
      <c r="A117" s="162" t="s">
        <v>2786</v>
      </c>
      <c r="B117" s="153" t="s">
        <v>2787</v>
      </c>
      <c r="C117" s="116"/>
      <c r="D117" s="69"/>
    </row>
    <row r="118" spans="1:4" ht="20.399999999999999" x14ac:dyDescent="0.3">
      <c r="A118" s="162" t="s">
        <v>2788</v>
      </c>
      <c r="B118" s="153" t="s">
        <v>2789</v>
      </c>
      <c r="C118" s="116"/>
      <c r="D118" s="69"/>
    </row>
    <row r="119" spans="1:4" x14ac:dyDescent="0.3">
      <c r="A119" s="162"/>
      <c r="B119" s="153"/>
      <c r="C119" s="18"/>
      <c r="D119" s="69"/>
    </row>
    <row r="120" spans="1:4" x14ac:dyDescent="0.3">
      <c r="A120" s="162"/>
      <c r="B120" s="179" t="s">
        <v>543</v>
      </c>
      <c r="C120" s="18"/>
      <c r="D120" s="69"/>
    </row>
    <row r="121" spans="1:4" x14ac:dyDescent="0.3">
      <c r="A121" s="162"/>
      <c r="B121" s="153"/>
      <c r="C121" s="18"/>
      <c r="D121" s="69"/>
    </row>
    <row r="122" spans="1:4" x14ac:dyDescent="0.3">
      <c r="A122" s="162" t="s">
        <v>2790</v>
      </c>
      <c r="B122" s="153" t="s">
        <v>2791</v>
      </c>
      <c r="C122" s="116"/>
      <c r="D122" s="69"/>
    </row>
    <row r="123" spans="1:4" ht="20.399999999999999" x14ac:dyDescent="0.3">
      <c r="A123" s="162" t="s">
        <v>2792</v>
      </c>
      <c r="B123" s="153" t="s">
        <v>2793</v>
      </c>
      <c r="C123" s="116"/>
      <c r="D123" s="69"/>
    </row>
    <row r="124" spans="1:4" ht="20.399999999999999" x14ac:dyDescent="0.3">
      <c r="A124" s="162" t="s">
        <v>2794</v>
      </c>
      <c r="B124" s="153" t="s">
        <v>2795</v>
      </c>
      <c r="C124" s="116"/>
      <c r="D124" s="69"/>
    </row>
    <row r="125" spans="1:4" x14ac:dyDescent="0.3">
      <c r="A125" s="162" t="s">
        <v>2796</v>
      </c>
      <c r="B125" s="153" t="s">
        <v>2797</v>
      </c>
      <c r="C125" s="116"/>
      <c r="D125" s="69"/>
    </row>
    <row r="126" spans="1:4" ht="20.399999999999999" x14ac:dyDescent="0.3">
      <c r="A126" s="162" t="s">
        <v>2798</v>
      </c>
      <c r="B126" s="153" t="s">
        <v>2799</v>
      </c>
      <c r="C126" s="116"/>
      <c r="D126" s="69"/>
    </row>
    <row r="127" spans="1:4" ht="20.399999999999999" x14ac:dyDescent="0.3">
      <c r="A127" s="162" t="s">
        <v>2800</v>
      </c>
      <c r="B127" s="153" t="s">
        <v>5754</v>
      </c>
      <c r="C127" s="116"/>
      <c r="D127" s="69"/>
    </row>
    <row r="128" spans="1:4" x14ac:dyDescent="0.3">
      <c r="A128" s="162" t="s">
        <v>2801</v>
      </c>
      <c r="B128" s="153" t="s">
        <v>2802</v>
      </c>
      <c r="C128" s="116"/>
      <c r="D128" s="69"/>
    </row>
    <row r="129" spans="1:4" x14ac:dyDescent="0.3">
      <c r="A129" s="162"/>
      <c r="B129" s="153"/>
      <c r="C129" s="18"/>
      <c r="D129" s="69"/>
    </row>
    <row r="130" spans="1:4" ht="20.399999999999999" x14ac:dyDescent="0.3">
      <c r="A130" s="162"/>
      <c r="B130" s="179" t="s">
        <v>782</v>
      </c>
      <c r="C130" s="18"/>
      <c r="D130" s="69"/>
    </row>
    <row r="131" spans="1:4" x14ac:dyDescent="0.3">
      <c r="A131" s="162"/>
      <c r="B131" s="153"/>
      <c r="C131" s="20"/>
      <c r="D131" s="69"/>
    </row>
    <row r="132" spans="1:4" x14ac:dyDescent="0.3">
      <c r="A132" s="162" t="s">
        <v>2803</v>
      </c>
      <c r="B132" s="153" t="s">
        <v>2804</v>
      </c>
      <c r="C132" s="116"/>
      <c r="D132" s="69"/>
    </row>
    <row r="133" spans="1:4" ht="20.399999999999999" x14ac:dyDescent="0.3">
      <c r="A133" s="162" t="s">
        <v>2805</v>
      </c>
      <c r="B133" s="153" t="s">
        <v>2806</v>
      </c>
      <c r="C133" s="116"/>
      <c r="D133" s="69"/>
    </row>
    <row r="134" spans="1:4" ht="20.399999999999999" x14ac:dyDescent="0.3">
      <c r="A134" s="162" t="s">
        <v>2807</v>
      </c>
      <c r="B134" s="153" t="s">
        <v>2808</v>
      </c>
      <c r="C134" s="116"/>
      <c r="D134" s="69"/>
    </row>
    <row r="135" spans="1:4" ht="30.6" x14ac:dyDescent="0.3">
      <c r="A135" s="162" t="s">
        <v>2809</v>
      </c>
      <c r="B135" s="153" t="s">
        <v>2810</v>
      </c>
      <c r="C135" s="91"/>
      <c r="D135" s="69"/>
    </row>
    <row r="136" spans="1:4" ht="20.399999999999999" x14ac:dyDescent="0.3">
      <c r="A136" s="162"/>
      <c r="B136" s="153" t="s">
        <v>2811</v>
      </c>
      <c r="C136" s="18"/>
      <c r="D136" s="69"/>
    </row>
    <row r="137" spans="1:4" ht="20.399999999999999" x14ac:dyDescent="0.3">
      <c r="A137" s="162" t="s">
        <v>2812</v>
      </c>
      <c r="B137" s="153" t="s">
        <v>2813</v>
      </c>
      <c r="C137" s="117"/>
      <c r="D137" s="69"/>
    </row>
    <row r="138" spans="1:4" ht="20.399999999999999" x14ac:dyDescent="0.3">
      <c r="A138" s="162" t="s">
        <v>2814</v>
      </c>
      <c r="B138" s="153" t="s">
        <v>2815</v>
      </c>
      <c r="C138" s="117"/>
      <c r="D138" s="69"/>
    </row>
    <row r="139" spans="1:4" ht="20.399999999999999" x14ac:dyDescent="0.3">
      <c r="A139" s="162" t="s">
        <v>2816</v>
      </c>
      <c r="B139" s="153" t="s">
        <v>2817</v>
      </c>
      <c r="C139" s="117"/>
      <c r="D139" s="69"/>
    </row>
    <row r="140" spans="1:4" x14ac:dyDescent="0.3">
      <c r="A140" s="162"/>
      <c r="B140" s="153"/>
      <c r="C140" s="18"/>
      <c r="D140" s="69"/>
    </row>
    <row r="141" spans="1:4" x14ac:dyDescent="0.3">
      <c r="A141" s="162"/>
      <c r="B141" s="179" t="s">
        <v>2818</v>
      </c>
      <c r="C141" s="18"/>
      <c r="D141" s="69"/>
    </row>
    <row r="142" spans="1:4" x14ac:dyDescent="0.3">
      <c r="A142" s="162"/>
      <c r="B142" s="153"/>
      <c r="C142" s="18"/>
      <c r="D142" s="69"/>
    </row>
    <row r="143" spans="1:4" ht="30.6" x14ac:dyDescent="0.3">
      <c r="A143" s="162" t="s">
        <v>2819</v>
      </c>
      <c r="B143" s="153" t="s">
        <v>2820</v>
      </c>
      <c r="C143" s="92"/>
      <c r="D143" s="69"/>
    </row>
    <row r="144" spans="1:4" x14ac:dyDescent="0.3">
      <c r="A144" s="162"/>
      <c r="B144" s="153"/>
      <c r="C144" s="18"/>
      <c r="D144" s="69"/>
    </row>
    <row r="145" spans="1:4" ht="30.6" x14ac:dyDescent="0.3">
      <c r="A145" s="162"/>
      <c r="B145" s="180" t="s">
        <v>2821</v>
      </c>
      <c r="C145" s="18"/>
      <c r="D145" s="69"/>
    </row>
    <row r="146" spans="1:4" x14ac:dyDescent="0.3">
      <c r="A146" s="162"/>
      <c r="B146" s="153"/>
      <c r="C146" s="18"/>
      <c r="D146" s="69"/>
    </row>
    <row r="147" spans="1:4" ht="40.799999999999997" x14ac:dyDescent="0.3">
      <c r="A147" s="162" t="s">
        <v>2822</v>
      </c>
      <c r="B147" s="153" t="s">
        <v>2823</v>
      </c>
      <c r="C147" s="116"/>
      <c r="D147" s="69"/>
    </row>
    <row r="148" spans="1:4" ht="51" x14ac:dyDescent="0.3">
      <c r="A148" s="162" t="s">
        <v>2824</v>
      </c>
      <c r="B148" s="153" t="s">
        <v>2825</v>
      </c>
      <c r="C148" s="110"/>
      <c r="D148" s="69"/>
    </row>
    <row r="149" spans="1:4" x14ac:dyDescent="0.3">
      <c r="A149" s="162"/>
      <c r="B149" s="153"/>
      <c r="C149" s="18"/>
      <c r="D149" s="69"/>
    </row>
    <row r="150" spans="1:4" x14ac:dyDescent="0.3">
      <c r="A150" s="162"/>
      <c r="B150" s="179" t="s">
        <v>1618</v>
      </c>
      <c r="C150" s="18"/>
      <c r="D150" s="69"/>
    </row>
    <row r="151" spans="1:4" x14ac:dyDescent="0.3">
      <c r="A151" s="162"/>
      <c r="B151" s="153"/>
      <c r="C151" s="18"/>
      <c r="D151" s="69"/>
    </row>
    <row r="152" spans="1:4" ht="20.399999999999999" x14ac:dyDescent="0.3">
      <c r="A152" s="162" t="s">
        <v>2826</v>
      </c>
      <c r="B152" s="153" t="s">
        <v>2827</v>
      </c>
      <c r="C152" s="116"/>
      <c r="D152" s="69"/>
    </row>
    <row r="153" spans="1:4" ht="20.399999999999999" x14ac:dyDescent="0.3">
      <c r="A153" s="162" t="s">
        <v>2828</v>
      </c>
      <c r="B153" s="153" t="s">
        <v>2829</v>
      </c>
      <c r="C153" s="116"/>
      <c r="D153" s="69"/>
    </row>
    <row r="154" spans="1:4" ht="8.1" customHeight="1" x14ac:dyDescent="0.3">
      <c r="A154" s="70" t="s">
        <v>0</v>
      </c>
      <c r="B154" s="152"/>
      <c r="C154" s="70"/>
      <c r="D154" s="69"/>
    </row>
  </sheetData>
  <sheetProtection password="C9D6" sheet="1" objects="1" scenario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xr:uid="{00000000-0002-0000-1300-000000000000}">
      <formula1>CATALOGCOLUMNFILTERED7</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M13"/>
  <sheetViews>
    <sheetView workbookViewId="0"/>
  </sheetViews>
  <sheetFormatPr defaultColWidth="11.5546875" defaultRowHeight="14.4" x14ac:dyDescent="0.3"/>
  <cols>
    <col min="1" max="1" width="14.33203125" style="107" customWidth="1"/>
    <col min="2" max="2" width="35.6640625" style="107" customWidth="1"/>
    <col min="3" max="4" width="30.6640625" style="107" customWidth="1"/>
    <col min="5" max="5" width="18.6640625" style="107" customWidth="1"/>
    <col min="6" max="6" width="30.6640625" style="107" customWidth="1"/>
    <col min="7" max="7" width="18.6640625" style="107" customWidth="1"/>
    <col min="8" max="8" width="30.6640625" style="107" customWidth="1"/>
    <col min="9" max="12" width="18.6640625" style="107" customWidth="1"/>
    <col min="13" max="13" width="1.6640625" style="107" customWidth="1"/>
    <col min="14" max="16384" width="11.5546875" style="107"/>
  </cols>
  <sheetData>
    <row r="1" spans="1:13" ht="31.8" x14ac:dyDescent="0.3">
      <c r="A1" s="42" t="s">
        <v>0</v>
      </c>
      <c r="B1" s="122" t="s">
        <v>5617</v>
      </c>
      <c r="C1" s="42"/>
      <c r="D1" s="42"/>
      <c r="E1" s="42" t="s">
        <v>0</v>
      </c>
      <c r="F1" s="42" t="s">
        <v>0</v>
      </c>
      <c r="G1" s="42" t="s">
        <v>0</v>
      </c>
      <c r="H1" s="42" t="s">
        <v>0</v>
      </c>
      <c r="I1" s="42" t="s">
        <v>0</v>
      </c>
      <c r="J1" s="42" t="s">
        <v>0</v>
      </c>
      <c r="K1" s="42" t="s">
        <v>0</v>
      </c>
      <c r="L1" s="42" t="s">
        <v>0</v>
      </c>
      <c r="M1" s="69" t="s">
        <v>0</v>
      </c>
    </row>
    <row r="2" spans="1:13" ht="61.2" x14ac:dyDescent="0.3">
      <c r="A2" s="121" t="s">
        <v>5597</v>
      </c>
      <c r="B2" s="121" t="s">
        <v>5598</v>
      </c>
      <c r="C2" s="45" t="s">
        <v>2237</v>
      </c>
      <c r="D2" s="45" t="s">
        <v>2238</v>
      </c>
      <c r="E2" s="45" t="s">
        <v>2239</v>
      </c>
      <c r="F2" s="45" t="s">
        <v>2240</v>
      </c>
      <c r="G2" s="45" t="s">
        <v>2241</v>
      </c>
      <c r="H2" s="45" t="s">
        <v>2242</v>
      </c>
      <c r="I2" s="45" t="s">
        <v>2243</v>
      </c>
      <c r="J2" s="45" t="s">
        <v>2244</v>
      </c>
      <c r="K2" s="45" t="s">
        <v>2245</v>
      </c>
      <c r="L2" s="45" t="s">
        <v>2246</v>
      </c>
      <c r="M2" s="69" t="s">
        <v>0</v>
      </c>
    </row>
    <row r="3" spans="1:13" x14ac:dyDescent="0.3">
      <c r="A3" s="163"/>
      <c r="B3" s="46" t="s">
        <v>0</v>
      </c>
      <c r="C3" s="47"/>
      <c r="D3" s="47"/>
      <c r="E3" s="47"/>
      <c r="F3" s="47"/>
      <c r="G3" s="47"/>
      <c r="H3" s="47"/>
      <c r="I3" s="47"/>
      <c r="J3" s="47"/>
      <c r="K3" s="47"/>
      <c r="L3" s="47"/>
      <c r="M3" s="69"/>
    </row>
    <row r="4" spans="1:13" x14ac:dyDescent="0.3">
      <c r="A4" s="163"/>
      <c r="B4" s="48" t="s">
        <v>5626</v>
      </c>
      <c r="C4" s="47"/>
      <c r="D4" s="47"/>
      <c r="E4" s="47"/>
      <c r="F4" s="47"/>
      <c r="G4" s="47"/>
      <c r="H4" s="47"/>
      <c r="I4" s="47"/>
      <c r="J4" s="47"/>
      <c r="K4" s="47"/>
      <c r="L4" s="47"/>
      <c r="M4" s="69"/>
    </row>
    <row r="5" spans="1:13" x14ac:dyDescent="0.3">
      <c r="A5" s="163"/>
      <c r="B5" s="27" t="s">
        <v>0</v>
      </c>
      <c r="C5" s="47"/>
      <c r="D5" s="47"/>
      <c r="E5" s="47"/>
      <c r="F5" s="47"/>
      <c r="G5" s="47"/>
      <c r="H5" s="47"/>
      <c r="I5" s="47"/>
      <c r="J5" s="47"/>
      <c r="K5" s="47"/>
      <c r="L5" s="47"/>
      <c r="M5" s="69"/>
    </row>
    <row r="6" spans="1:13" ht="51" x14ac:dyDescent="0.3">
      <c r="A6" s="163"/>
      <c r="B6" s="20" t="s">
        <v>5639</v>
      </c>
      <c r="C6" s="71"/>
      <c r="D6" s="47"/>
      <c r="E6" s="47"/>
      <c r="F6" s="47"/>
      <c r="G6" s="47"/>
      <c r="H6" s="47"/>
      <c r="I6" s="47"/>
      <c r="J6" s="47"/>
      <c r="K6" s="47"/>
      <c r="L6" s="47"/>
      <c r="M6" s="69"/>
    </row>
    <row r="7" spans="1:13" x14ac:dyDescent="0.3">
      <c r="A7" s="163"/>
      <c r="B7" s="27" t="s">
        <v>0</v>
      </c>
      <c r="C7" s="47"/>
      <c r="D7" s="47"/>
      <c r="E7" s="47"/>
      <c r="F7" s="47"/>
      <c r="G7" s="47"/>
      <c r="H7" s="47"/>
      <c r="I7" s="47"/>
      <c r="J7" s="47"/>
      <c r="K7" s="47"/>
      <c r="L7" s="47"/>
      <c r="M7" s="69"/>
    </row>
    <row r="8" spans="1:13" ht="20.399999999999999" x14ac:dyDescent="0.3">
      <c r="A8" s="163"/>
      <c r="B8" s="136" t="s">
        <v>5640</v>
      </c>
      <c r="C8" s="18"/>
      <c r="D8" s="18"/>
      <c r="E8" s="18"/>
      <c r="F8" s="18"/>
      <c r="G8" s="18"/>
      <c r="H8" s="18"/>
      <c r="I8" s="18"/>
      <c r="J8" s="18"/>
      <c r="K8" s="18"/>
      <c r="L8" s="18"/>
      <c r="M8" s="69"/>
    </row>
    <row r="9" spans="1:13" x14ac:dyDescent="0.3">
      <c r="A9" s="163"/>
      <c r="B9" s="160"/>
      <c r="C9" s="18"/>
      <c r="D9" s="18"/>
      <c r="E9" s="18"/>
      <c r="F9" s="18"/>
      <c r="G9" s="18"/>
      <c r="H9" s="18"/>
      <c r="I9" s="18"/>
      <c r="J9" s="18"/>
      <c r="K9" s="18"/>
      <c r="L9" s="18"/>
      <c r="M9" s="69"/>
    </row>
    <row r="10" spans="1:13" x14ac:dyDescent="0.3">
      <c r="A10" s="184" t="s">
        <v>2247</v>
      </c>
      <c r="B10" s="190" t="s">
        <v>5322</v>
      </c>
      <c r="C10" s="85"/>
      <c r="D10" s="86"/>
      <c r="E10" s="85"/>
      <c r="F10" s="85"/>
      <c r="G10" s="61"/>
      <c r="H10" s="86"/>
      <c r="I10" s="85"/>
      <c r="J10" s="85"/>
      <c r="K10" s="85"/>
      <c r="L10" s="86"/>
      <c r="M10" s="69"/>
    </row>
    <row r="11" spans="1:13" x14ac:dyDescent="0.3">
      <c r="A11" s="162"/>
      <c r="B11" s="153"/>
      <c r="C11" s="18"/>
      <c r="D11" s="18"/>
      <c r="E11" s="18"/>
      <c r="F11" s="18"/>
      <c r="G11" s="18"/>
      <c r="H11" s="18"/>
      <c r="I11" s="18"/>
      <c r="J11" s="18"/>
      <c r="K11" s="18"/>
      <c r="L11" s="18"/>
      <c r="M11" s="69"/>
    </row>
    <row r="12" spans="1:13" x14ac:dyDescent="0.3">
      <c r="A12" s="162" t="s">
        <v>2248</v>
      </c>
      <c r="B12" s="153" t="s">
        <v>905</v>
      </c>
      <c r="C12" s="29"/>
      <c r="D12" s="29"/>
      <c r="E12" s="29"/>
      <c r="F12" s="29"/>
      <c r="G12" s="54">
        <f>SUM(G10:G11)</f>
        <v>0</v>
      </c>
      <c r="H12" s="29"/>
      <c r="I12" s="29"/>
      <c r="J12" s="29"/>
      <c r="K12" s="29"/>
      <c r="L12" s="29"/>
      <c r="M12" s="69"/>
    </row>
    <row r="13" spans="1:13" ht="8.1" customHeight="1" x14ac:dyDescent="0.3">
      <c r="A13" s="70" t="s">
        <v>0</v>
      </c>
      <c r="B13" s="152"/>
      <c r="C13" s="70"/>
      <c r="D13" s="70"/>
      <c r="E13" s="70"/>
      <c r="F13" s="70"/>
      <c r="G13" s="70"/>
      <c r="H13" s="70"/>
      <c r="I13" s="70"/>
      <c r="J13" s="70"/>
      <c r="K13" s="70"/>
      <c r="L13" s="70"/>
      <c r="M13" s="69"/>
    </row>
  </sheetData>
  <sheetProtection password="C9D6" sheet="1" objects="1" scenarios="1"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xr:uid="{00000000-0002-0000-1400-000000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xr:uid="{00000000-0002-0000-1400-00000100000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xr:uid="{00000000-0002-0000-1400-000002000000}">
      <formula1>CATALOGCOLUMNFILTERED41</formula1>
    </dataValidation>
  </dataValidation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J13"/>
  <sheetViews>
    <sheetView workbookViewId="0"/>
  </sheetViews>
  <sheetFormatPr defaultColWidth="11.5546875" defaultRowHeight="14.4" x14ac:dyDescent="0.3"/>
  <cols>
    <col min="1" max="1" width="14.33203125" style="107" customWidth="1"/>
    <col min="2" max="2" width="35.6640625" style="107" customWidth="1"/>
    <col min="3" max="4" width="30.6640625" style="107" customWidth="1"/>
    <col min="5" max="9" width="18.6640625" style="107" customWidth="1"/>
    <col min="10" max="10" width="1.6640625" style="107" customWidth="1"/>
    <col min="11" max="16384" width="11.5546875" style="107"/>
  </cols>
  <sheetData>
    <row r="1" spans="1:10" ht="31.8" x14ac:dyDescent="0.3">
      <c r="A1" s="42" t="s">
        <v>0</v>
      </c>
      <c r="B1" s="122" t="s">
        <v>5618</v>
      </c>
      <c r="C1" s="42"/>
      <c r="D1" s="42"/>
      <c r="E1" s="42" t="s">
        <v>0</v>
      </c>
      <c r="F1" s="42" t="s">
        <v>0</v>
      </c>
      <c r="G1" s="42" t="s">
        <v>0</v>
      </c>
      <c r="H1" s="42" t="s">
        <v>0</v>
      </c>
      <c r="I1" s="42" t="s">
        <v>0</v>
      </c>
      <c r="J1" s="69" t="s">
        <v>0</v>
      </c>
    </row>
    <row r="2" spans="1:10" ht="71.400000000000006" x14ac:dyDescent="0.3">
      <c r="A2" s="43" t="s">
        <v>5597</v>
      </c>
      <c r="B2" s="43" t="s">
        <v>5598</v>
      </c>
      <c r="C2" s="45" t="s">
        <v>2249</v>
      </c>
      <c r="D2" s="45" t="s">
        <v>2250</v>
      </c>
      <c r="E2" s="45" t="s">
        <v>2251</v>
      </c>
      <c r="F2" s="45" t="s">
        <v>2252</v>
      </c>
      <c r="G2" s="45" t="s">
        <v>2253</v>
      </c>
      <c r="H2" s="45" t="s">
        <v>2254</v>
      </c>
      <c r="I2" s="45" t="s">
        <v>2255</v>
      </c>
      <c r="J2" s="69" t="s">
        <v>0</v>
      </c>
    </row>
    <row r="3" spans="1:10" x14ac:dyDescent="0.3">
      <c r="A3" s="163"/>
      <c r="B3" s="46" t="s">
        <v>0</v>
      </c>
      <c r="C3" s="47"/>
      <c r="D3" s="47"/>
      <c r="E3" s="47"/>
      <c r="F3" s="47"/>
      <c r="G3" s="47"/>
      <c r="H3" s="47"/>
      <c r="I3" s="47"/>
      <c r="J3" s="69"/>
    </row>
    <row r="4" spans="1:10" x14ac:dyDescent="0.3">
      <c r="A4" s="163"/>
      <c r="B4" s="137" t="s">
        <v>5626</v>
      </c>
      <c r="C4" s="47"/>
      <c r="D4" s="47"/>
      <c r="E4" s="47"/>
      <c r="F4" s="47"/>
      <c r="G4" s="47"/>
      <c r="H4" s="47"/>
      <c r="I4" s="47"/>
      <c r="J4" s="69"/>
    </row>
    <row r="5" spans="1:10" x14ac:dyDescent="0.3">
      <c r="A5" s="163"/>
      <c r="B5" s="50" t="s">
        <v>0</v>
      </c>
      <c r="C5" s="47"/>
      <c r="D5" s="47"/>
      <c r="E5" s="47"/>
      <c r="F5" s="47"/>
      <c r="G5" s="47"/>
      <c r="H5" s="47"/>
      <c r="I5" s="47"/>
      <c r="J5" s="69"/>
    </row>
    <row r="6" spans="1:10" ht="40.799999999999997" x14ac:dyDescent="0.3">
      <c r="A6" s="163"/>
      <c r="B6" s="20" t="s">
        <v>5641</v>
      </c>
      <c r="C6" s="47"/>
      <c r="D6" s="47"/>
      <c r="E6" s="47"/>
      <c r="F6" s="47"/>
      <c r="G6" s="47"/>
      <c r="H6" s="47"/>
      <c r="I6" s="47"/>
      <c r="J6" s="69"/>
    </row>
    <row r="7" spans="1:10" x14ac:dyDescent="0.3">
      <c r="A7" s="163"/>
      <c r="B7" s="28" t="s">
        <v>0</v>
      </c>
      <c r="C7" s="18"/>
      <c r="D7" s="18"/>
      <c r="E7" s="18"/>
      <c r="F7" s="18"/>
      <c r="G7" s="18"/>
      <c r="H7" s="18"/>
      <c r="I7" s="18"/>
      <c r="J7" s="69"/>
    </row>
    <row r="8" spans="1:10" ht="20.399999999999999" x14ac:dyDescent="0.3">
      <c r="A8" s="163"/>
      <c r="B8" s="129" t="s">
        <v>5642</v>
      </c>
      <c r="C8" s="18"/>
      <c r="D8" s="18"/>
      <c r="E8" s="18"/>
      <c r="F8" s="18"/>
      <c r="G8" s="18"/>
      <c r="H8" s="18"/>
      <c r="I8" s="18"/>
      <c r="J8" s="69"/>
    </row>
    <row r="9" spans="1:10" x14ac:dyDescent="0.3">
      <c r="A9" s="163"/>
      <c r="B9" s="160"/>
      <c r="C9" s="18"/>
      <c r="D9" s="18"/>
      <c r="E9" s="18"/>
      <c r="F9" s="18"/>
      <c r="G9" s="18"/>
      <c r="H9" s="18"/>
      <c r="I9" s="18"/>
      <c r="J9" s="69"/>
    </row>
    <row r="10" spans="1:10" x14ac:dyDescent="0.3">
      <c r="A10" s="184" t="s">
        <v>2256</v>
      </c>
      <c r="B10" s="190" t="s">
        <v>5322</v>
      </c>
      <c r="C10" s="85"/>
      <c r="D10" s="86"/>
      <c r="E10" s="87"/>
      <c r="F10" s="61"/>
      <c r="G10" s="61"/>
      <c r="H10" s="61"/>
      <c r="I10" s="61"/>
      <c r="J10" s="69"/>
    </row>
    <row r="11" spans="1:10" x14ac:dyDescent="0.3">
      <c r="A11" s="162"/>
      <c r="B11" s="153"/>
      <c r="C11" s="18"/>
      <c r="D11" s="18"/>
      <c r="E11" s="18"/>
      <c r="F11" s="18"/>
      <c r="G11" s="18"/>
      <c r="H11" s="18"/>
      <c r="I11" s="18"/>
      <c r="J11" s="69"/>
    </row>
    <row r="12" spans="1:10" x14ac:dyDescent="0.3">
      <c r="A12" s="162" t="s">
        <v>2257</v>
      </c>
      <c r="B12" s="153" t="s">
        <v>905</v>
      </c>
      <c r="C12" s="29"/>
      <c r="D12" s="29"/>
      <c r="E12" s="29"/>
      <c r="F12" s="54">
        <f>ROUND(SUM(F10:F11),0)</f>
        <v>0</v>
      </c>
      <c r="G12" s="54">
        <f>ROUND(SUM(G10:G11),0)</f>
        <v>0</v>
      </c>
      <c r="H12" s="54">
        <f>ROUND(SUM(H10:H11),0)</f>
        <v>0</v>
      </c>
      <c r="I12" s="54">
        <f>ROUND(SUM(I10:I11),0)</f>
        <v>0</v>
      </c>
      <c r="J12" s="69"/>
    </row>
    <row r="13" spans="1:10" ht="8.1" customHeight="1" x14ac:dyDescent="0.3">
      <c r="A13" s="70" t="s">
        <v>0</v>
      </c>
      <c r="B13" s="152"/>
      <c r="C13" s="70"/>
      <c r="D13" s="70"/>
      <c r="E13" s="70"/>
      <c r="F13" s="70"/>
      <c r="G13" s="70"/>
      <c r="H13" s="70"/>
      <c r="I13" s="70"/>
      <c r="J13" s="69"/>
    </row>
  </sheetData>
  <sheetProtection password="C9D6" sheet="1" objects="1" scenario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xr:uid="{00000000-0002-0000-1500-000000000000}">
      <formula1>CATALOGCOLUMNFILTERED41</formula1>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23"/>
  <sheetViews>
    <sheetView workbookViewId="0"/>
  </sheetViews>
  <sheetFormatPr defaultColWidth="11.5546875" defaultRowHeight="14.4" x14ac:dyDescent="0.3"/>
  <cols>
    <col min="1" max="1" width="14.33203125" style="107" customWidth="1"/>
    <col min="2" max="2" width="35.6640625" style="107" customWidth="1"/>
    <col min="3" max="4" width="30.6640625" style="107" customWidth="1"/>
    <col min="5" max="5" width="42.44140625" style="107" customWidth="1"/>
    <col min="6" max="6" width="30.6640625" style="107" customWidth="1"/>
    <col min="7" max="7" width="18.6640625" style="107" customWidth="1"/>
    <col min="8" max="8" width="30.6640625" style="107" customWidth="1"/>
    <col min="9" max="10" width="18.6640625" style="107" customWidth="1"/>
    <col min="11" max="11" width="1.6640625" style="107" customWidth="1"/>
    <col min="12" max="16384" width="11.5546875" style="107"/>
  </cols>
  <sheetData>
    <row r="1" spans="1:11" ht="20.399999999999999" x14ac:dyDescent="0.3">
      <c r="A1" s="42" t="s">
        <v>0</v>
      </c>
      <c r="B1" s="125" t="s">
        <v>5619</v>
      </c>
      <c r="C1" s="42"/>
      <c r="D1" s="42"/>
      <c r="E1" s="42" t="s">
        <v>0</v>
      </c>
      <c r="F1" s="42" t="s">
        <v>0</v>
      </c>
      <c r="G1" s="42" t="s">
        <v>0</v>
      </c>
      <c r="H1" s="42" t="s">
        <v>0</v>
      </c>
      <c r="I1" s="42" t="s">
        <v>0</v>
      </c>
      <c r="J1" s="42" t="s">
        <v>0</v>
      </c>
      <c r="K1" s="69" t="s">
        <v>0</v>
      </c>
    </row>
    <row r="2" spans="1:11" ht="81.599999999999994" x14ac:dyDescent="0.3">
      <c r="A2" s="121" t="s">
        <v>5597</v>
      </c>
      <c r="B2" s="121" t="s">
        <v>5598</v>
      </c>
      <c r="C2" s="45" t="s">
        <v>2381</v>
      </c>
      <c r="D2" s="45" t="s">
        <v>2382</v>
      </c>
      <c r="E2" s="88" t="s">
        <v>2383</v>
      </c>
      <c r="F2" s="45" t="s">
        <v>2384</v>
      </c>
      <c r="G2" s="45" t="s">
        <v>2385</v>
      </c>
      <c r="H2" s="45" t="s">
        <v>2386</v>
      </c>
      <c r="I2" s="45" t="s">
        <v>2387</v>
      </c>
      <c r="J2" s="45" t="s">
        <v>2388</v>
      </c>
      <c r="K2" s="69" t="s">
        <v>0</v>
      </c>
    </row>
    <row r="3" spans="1:11" x14ac:dyDescent="0.3">
      <c r="A3" s="163"/>
      <c r="B3" s="46" t="s">
        <v>0</v>
      </c>
      <c r="C3" s="47"/>
      <c r="D3" s="47"/>
      <c r="E3" s="47"/>
      <c r="F3" s="47"/>
      <c r="G3" s="47"/>
      <c r="H3" s="47"/>
      <c r="I3" s="47"/>
      <c r="J3" s="47"/>
      <c r="K3" s="69"/>
    </row>
    <row r="4" spans="1:11" x14ac:dyDescent="0.3">
      <c r="A4" s="163"/>
      <c r="B4" s="51" t="s">
        <v>5626</v>
      </c>
      <c r="C4" s="47"/>
      <c r="D4" s="47"/>
      <c r="E4" s="47"/>
      <c r="F4" s="47"/>
      <c r="G4" s="47"/>
      <c r="H4" s="47"/>
      <c r="I4" s="47"/>
      <c r="J4" s="47"/>
      <c r="K4" s="69"/>
    </row>
    <row r="5" spans="1:11" x14ac:dyDescent="0.3">
      <c r="A5" s="163"/>
      <c r="B5" s="18" t="s">
        <v>0</v>
      </c>
      <c r="C5" s="47"/>
      <c r="D5" s="47"/>
      <c r="E5" s="47"/>
      <c r="F5" s="47"/>
      <c r="G5" s="47"/>
      <c r="H5" s="47"/>
      <c r="I5" s="47"/>
      <c r="J5" s="47"/>
      <c r="K5" s="69"/>
    </row>
    <row r="6" spans="1:11" ht="40.799999999999997" x14ac:dyDescent="0.3">
      <c r="A6" s="163"/>
      <c r="B6" s="20" t="s">
        <v>5643</v>
      </c>
      <c r="C6" s="71"/>
      <c r="D6" s="47"/>
      <c r="E6" s="47"/>
      <c r="F6" s="47"/>
      <c r="G6" s="47"/>
      <c r="H6" s="47"/>
      <c r="I6" s="47"/>
      <c r="J6" s="47"/>
      <c r="K6" s="69"/>
    </row>
    <row r="7" spans="1:11" x14ac:dyDescent="0.3">
      <c r="A7" s="163"/>
      <c r="B7" s="20" t="s">
        <v>0</v>
      </c>
      <c r="C7" s="71"/>
      <c r="D7" s="47"/>
      <c r="E7" s="47"/>
      <c r="F7" s="47"/>
      <c r="G7" s="47"/>
      <c r="H7" s="47"/>
      <c r="I7" s="47"/>
      <c r="J7" s="47"/>
      <c r="K7" s="69"/>
    </row>
    <row r="8" spans="1:11" x14ac:dyDescent="0.3">
      <c r="A8" s="163"/>
      <c r="B8" s="129" t="s">
        <v>775</v>
      </c>
      <c r="C8" s="47"/>
      <c r="D8" s="47"/>
      <c r="E8" s="47"/>
      <c r="F8" s="47"/>
      <c r="G8" s="47"/>
      <c r="H8" s="47"/>
      <c r="I8" s="47"/>
      <c r="J8" s="47"/>
      <c r="K8" s="69"/>
    </row>
    <row r="9" spans="1:11" x14ac:dyDescent="0.3">
      <c r="A9" s="163"/>
      <c r="B9" s="20" t="s">
        <v>0</v>
      </c>
      <c r="C9" s="47"/>
      <c r="D9" s="47"/>
      <c r="E9" s="47"/>
      <c r="F9" s="47"/>
      <c r="G9" s="47"/>
      <c r="H9" s="47"/>
      <c r="I9" s="47"/>
      <c r="J9" s="47"/>
      <c r="K9" s="69"/>
    </row>
    <row r="10" spans="1:11" ht="20.399999999999999" x14ac:dyDescent="0.3">
      <c r="A10" s="163"/>
      <c r="B10" s="132" t="s">
        <v>5644</v>
      </c>
      <c r="C10" s="47"/>
      <c r="D10" s="47"/>
      <c r="E10" s="47"/>
      <c r="F10" s="47"/>
      <c r="G10" s="47"/>
      <c r="H10" s="47"/>
      <c r="I10" s="47"/>
      <c r="J10" s="47"/>
      <c r="K10" s="69"/>
    </row>
    <row r="11" spans="1:11" x14ac:dyDescent="0.3">
      <c r="A11" s="163"/>
      <c r="B11" s="18" t="s">
        <v>0</v>
      </c>
      <c r="C11" s="47"/>
      <c r="D11" s="47"/>
      <c r="E11" s="47"/>
      <c r="F11" s="47"/>
      <c r="G11" s="47"/>
      <c r="H11" s="47"/>
      <c r="I11" s="47"/>
      <c r="J11" s="47"/>
      <c r="K11" s="69"/>
    </row>
    <row r="12" spans="1:11" x14ac:dyDescent="0.3">
      <c r="A12" s="163"/>
      <c r="B12" s="51" t="s">
        <v>5645</v>
      </c>
      <c r="C12" s="47"/>
      <c r="D12" s="47"/>
      <c r="E12" s="47"/>
      <c r="F12" s="47"/>
      <c r="G12" s="47"/>
      <c r="H12" s="47"/>
      <c r="I12" s="47"/>
      <c r="J12" s="47"/>
      <c r="K12" s="69"/>
    </row>
    <row r="13" spans="1:11" x14ac:dyDescent="0.3">
      <c r="A13" s="163"/>
      <c r="B13" s="160"/>
      <c r="C13" s="47"/>
      <c r="D13" s="47"/>
      <c r="E13" s="47"/>
      <c r="F13" s="47"/>
      <c r="G13" s="47"/>
      <c r="H13" s="47"/>
      <c r="I13" s="47"/>
      <c r="J13" s="47"/>
      <c r="K13" s="69"/>
    </row>
    <row r="14" spans="1:11" x14ac:dyDescent="0.3">
      <c r="A14" s="184" t="s">
        <v>2389</v>
      </c>
      <c r="B14" s="190" t="s">
        <v>5322</v>
      </c>
      <c r="C14" s="85"/>
      <c r="D14" s="86"/>
      <c r="E14" s="85"/>
      <c r="F14" s="86"/>
      <c r="G14" s="61"/>
      <c r="H14" s="86"/>
      <c r="I14" s="86"/>
      <c r="J14" s="61"/>
      <c r="K14" s="69"/>
    </row>
    <row r="15" spans="1:11" x14ac:dyDescent="0.3">
      <c r="A15" s="162"/>
      <c r="B15" s="153"/>
      <c r="C15" s="18"/>
      <c r="D15" s="18"/>
      <c r="E15" s="18"/>
      <c r="F15" s="18"/>
      <c r="G15" s="18"/>
      <c r="H15" s="18"/>
      <c r="I15" s="18"/>
      <c r="J15" s="18"/>
      <c r="K15" s="69"/>
    </row>
    <row r="16" spans="1:11" x14ac:dyDescent="0.3">
      <c r="A16" s="162" t="s">
        <v>2390</v>
      </c>
      <c r="B16" s="153" t="s">
        <v>2391</v>
      </c>
      <c r="C16" s="29"/>
      <c r="D16" s="29"/>
      <c r="E16" s="29"/>
      <c r="F16" s="29"/>
      <c r="G16" s="54">
        <f>ROUND(SUM(G14:G15),0)</f>
        <v>0</v>
      </c>
      <c r="H16" s="29"/>
      <c r="I16" s="29"/>
      <c r="J16" s="54">
        <f>ROUND(SUM(J14:J15),0)</f>
        <v>0</v>
      </c>
      <c r="K16" s="69"/>
    </row>
    <row r="17" spans="1:11" x14ac:dyDescent="0.3">
      <c r="A17" s="162"/>
      <c r="B17" s="153"/>
      <c r="C17" s="18"/>
      <c r="D17" s="18"/>
      <c r="E17" s="18"/>
      <c r="F17" s="18"/>
      <c r="G17" s="18"/>
      <c r="H17" s="18"/>
      <c r="I17" s="18"/>
      <c r="J17" s="18"/>
      <c r="K17" s="69"/>
    </row>
    <row r="18" spans="1:11" x14ac:dyDescent="0.3">
      <c r="A18" s="162"/>
      <c r="B18" s="153" t="s">
        <v>2392</v>
      </c>
      <c r="C18" s="18"/>
      <c r="D18" s="18"/>
      <c r="E18" s="18"/>
      <c r="F18" s="18"/>
      <c r="G18" s="18"/>
      <c r="H18" s="18"/>
      <c r="I18" s="18"/>
      <c r="J18" s="18"/>
      <c r="K18" s="69"/>
    </row>
    <row r="19" spans="1:11" x14ac:dyDescent="0.3">
      <c r="A19" s="162"/>
      <c r="B19" s="153"/>
      <c r="C19" s="18"/>
      <c r="D19" s="18"/>
      <c r="E19" s="18"/>
      <c r="F19" s="18"/>
      <c r="G19" s="18"/>
      <c r="H19" s="18"/>
      <c r="I19" s="18"/>
      <c r="J19" s="18"/>
      <c r="K19" s="69"/>
    </row>
    <row r="20" spans="1:11" x14ac:dyDescent="0.3">
      <c r="A20" s="184" t="s">
        <v>2393</v>
      </c>
      <c r="B20" s="190" t="s">
        <v>5322</v>
      </c>
      <c r="C20" s="85"/>
      <c r="D20" s="86"/>
      <c r="E20" s="85"/>
      <c r="F20" s="86"/>
      <c r="G20" s="61"/>
      <c r="H20" s="86"/>
      <c r="I20" s="86"/>
      <c r="J20" s="61"/>
      <c r="K20" s="69"/>
    </row>
    <row r="21" spans="1:11" x14ac:dyDescent="0.3">
      <c r="A21" s="162"/>
      <c r="B21" s="153"/>
      <c r="C21" s="18"/>
      <c r="D21" s="18"/>
      <c r="E21" s="18"/>
      <c r="F21" s="18"/>
      <c r="G21" s="18"/>
      <c r="H21" s="18"/>
      <c r="I21" s="18"/>
      <c r="J21" s="18"/>
      <c r="K21" s="69"/>
    </row>
    <row r="22" spans="1:11" x14ac:dyDescent="0.3">
      <c r="A22" s="162" t="s">
        <v>2394</v>
      </c>
      <c r="B22" s="153" t="s">
        <v>2395</v>
      </c>
      <c r="C22" s="29"/>
      <c r="D22" s="29"/>
      <c r="E22" s="29"/>
      <c r="F22" s="29"/>
      <c r="G22" s="54">
        <f>ROUND(SUM(G20:G21),0)</f>
        <v>0</v>
      </c>
      <c r="H22" s="29"/>
      <c r="I22" s="29"/>
      <c r="J22" s="54">
        <f>ROUND(SUM(J20:J21),0)</f>
        <v>0</v>
      </c>
      <c r="K22" s="69"/>
    </row>
    <row r="23" spans="1:11" ht="8.1" customHeight="1" x14ac:dyDescent="0.3">
      <c r="A23" s="70" t="s">
        <v>0</v>
      </c>
      <c r="B23" s="152"/>
      <c r="C23" s="70"/>
      <c r="D23" s="70"/>
      <c r="E23" s="70"/>
      <c r="F23" s="70"/>
      <c r="G23" s="70"/>
      <c r="H23" s="70"/>
      <c r="I23" s="70"/>
      <c r="J23" s="70"/>
      <c r="K23" s="69"/>
    </row>
  </sheetData>
  <sheetProtection password="C9D6" sheet="1" objects="1" scenarios="1"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xr:uid="{00000000-0002-0000-1600-00000000000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xr:uid="{00000000-0002-0000-1600-000001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xr:uid="{00000000-0002-0000-1600-00000200000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xr:uid="{00000000-0002-0000-1600-00000300000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xr:uid="{00000000-0002-0000-1600-000004000000}">
      <formula1>CATALOGCOLUMNFILTERED43</formula1>
    </dataValidation>
  </dataValidations>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D289"/>
  <sheetViews>
    <sheetView zoomScaleNormal="100" workbookViewId="0"/>
  </sheetViews>
  <sheetFormatPr defaultColWidth="11.5546875" defaultRowHeight="14.4" x14ac:dyDescent="0.3"/>
  <cols>
    <col min="1" max="1" width="14.33203125" style="107" customWidth="1"/>
    <col min="2" max="2" width="41.109375" style="107" customWidth="1"/>
    <col min="3" max="3" width="30.6640625" style="107" customWidth="1"/>
    <col min="4" max="4" width="1.6640625" style="107" customWidth="1"/>
    <col min="5" max="16384" width="11.5546875" style="107"/>
  </cols>
  <sheetData>
    <row r="1" spans="1:4" ht="20.399999999999999" x14ac:dyDescent="0.3">
      <c r="A1" s="42" t="s">
        <v>0</v>
      </c>
      <c r="B1" s="76" t="s">
        <v>5620</v>
      </c>
      <c r="C1" s="42"/>
      <c r="D1" s="69"/>
    </row>
    <row r="2" spans="1:4" ht="21.6" x14ac:dyDescent="0.3">
      <c r="A2" s="126" t="s">
        <v>5597</v>
      </c>
      <c r="B2" s="126" t="s">
        <v>5598</v>
      </c>
      <c r="C2" s="89" t="s">
        <v>2396</v>
      </c>
      <c r="D2" s="69" t="s">
        <v>0</v>
      </c>
    </row>
    <row r="3" spans="1:4" x14ac:dyDescent="0.3">
      <c r="A3" s="163"/>
      <c r="B3" s="53" t="s">
        <v>0</v>
      </c>
      <c r="C3" s="47"/>
      <c r="D3" s="69"/>
    </row>
    <row r="4" spans="1:4" x14ac:dyDescent="0.3">
      <c r="A4" s="163"/>
      <c r="B4" s="51" t="s">
        <v>5626</v>
      </c>
      <c r="C4" s="47"/>
      <c r="D4" s="69"/>
    </row>
    <row r="5" spans="1:4" x14ac:dyDescent="0.3">
      <c r="A5" s="163"/>
      <c r="B5" s="27" t="s">
        <v>0</v>
      </c>
      <c r="C5" s="47"/>
      <c r="D5" s="69"/>
    </row>
    <row r="6" spans="1:4" ht="40.799999999999997" x14ac:dyDescent="0.3">
      <c r="A6" s="163"/>
      <c r="B6" s="20" t="s">
        <v>5643</v>
      </c>
      <c r="C6" s="18"/>
      <c r="D6" s="69"/>
    </row>
    <row r="7" spans="1:4" ht="20.399999999999999" x14ac:dyDescent="0.3">
      <c r="A7" s="163"/>
      <c r="B7" s="129" t="s">
        <v>5646</v>
      </c>
      <c r="C7" s="18"/>
      <c r="D7" s="69"/>
    </row>
    <row r="8" spans="1:4" x14ac:dyDescent="0.3">
      <c r="A8" s="163"/>
      <c r="B8" s="20" t="s">
        <v>0</v>
      </c>
      <c r="C8" s="18"/>
      <c r="D8" s="69"/>
    </row>
    <row r="9" spans="1:4" ht="20.399999999999999" x14ac:dyDescent="0.3">
      <c r="A9" s="163"/>
      <c r="B9" s="129" t="s">
        <v>5647</v>
      </c>
      <c r="C9" s="18"/>
      <c r="D9" s="69"/>
    </row>
    <row r="10" spans="1:4" x14ac:dyDescent="0.3">
      <c r="A10" s="163"/>
      <c r="B10" s="160"/>
      <c r="C10" s="18"/>
      <c r="D10" s="69"/>
    </row>
    <row r="11" spans="1:4" x14ac:dyDescent="0.3">
      <c r="A11" s="162" t="s">
        <v>2397</v>
      </c>
      <c r="B11" s="153" t="s">
        <v>5743</v>
      </c>
      <c r="C11" s="110"/>
      <c r="D11" s="69"/>
    </row>
    <row r="12" spans="1:4" x14ac:dyDescent="0.3">
      <c r="A12" s="162" t="s">
        <v>2398</v>
      </c>
      <c r="B12" s="153" t="s">
        <v>2399</v>
      </c>
      <c r="C12" s="110"/>
      <c r="D12" s="69"/>
    </row>
    <row r="13" spans="1:4" x14ac:dyDescent="0.3">
      <c r="A13" s="162" t="s">
        <v>2400</v>
      </c>
      <c r="B13" s="153" t="s">
        <v>2401</v>
      </c>
      <c r="C13" s="110"/>
      <c r="D13" s="69"/>
    </row>
    <row r="14" spans="1:4" ht="20.399999999999999" x14ac:dyDescent="0.3">
      <c r="A14" s="162" t="s">
        <v>2402</v>
      </c>
      <c r="B14" s="153" t="s">
        <v>2403</v>
      </c>
      <c r="C14" s="110"/>
      <c r="D14" s="69"/>
    </row>
    <row r="15" spans="1:4" x14ac:dyDescent="0.3">
      <c r="A15" s="162" t="s">
        <v>2404</v>
      </c>
      <c r="B15" s="153" t="s">
        <v>2405</v>
      </c>
      <c r="C15" s="110"/>
      <c r="D15" s="69"/>
    </row>
    <row r="16" spans="1:4" x14ac:dyDescent="0.3">
      <c r="A16" s="162" t="s">
        <v>2406</v>
      </c>
      <c r="B16" s="153" t="s">
        <v>2407</v>
      </c>
      <c r="C16" s="85"/>
      <c r="D16" s="69"/>
    </row>
    <row r="17" spans="1:4" x14ac:dyDescent="0.3">
      <c r="A17" s="162"/>
      <c r="B17" s="153"/>
      <c r="C17" s="18"/>
      <c r="D17" s="69"/>
    </row>
    <row r="18" spans="1:4" ht="40.799999999999997" x14ac:dyDescent="0.3">
      <c r="A18" s="162" t="s">
        <v>2408</v>
      </c>
      <c r="B18" s="153" t="s">
        <v>2409</v>
      </c>
      <c r="C18" s="110"/>
      <c r="D18" s="69"/>
    </row>
    <row r="19" spans="1:4" x14ac:dyDescent="0.3">
      <c r="A19" s="162"/>
      <c r="B19" s="153"/>
      <c r="C19" s="18"/>
      <c r="D19" s="69"/>
    </row>
    <row r="20" spans="1:4" ht="30.6" x14ac:dyDescent="0.3">
      <c r="A20" s="162" t="s">
        <v>2410</v>
      </c>
      <c r="B20" s="153" t="s">
        <v>2411</v>
      </c>
      <c r="C20" s="110"/>
      <c r="D20" s="69"/>
    </row>
    <row r="21" spans="1:4" x14ac:dyDescent="0.3">
      <c r="A21" s="162"/>
      <c r="B21" s="153"/>
      <c r="C21" s="18"/>
      <c r="D21" s="69"/>
    </row>
    <row r="22" spans="1:4" ht="40.799999999999997" x14ac:dyDescent="0.3">
      <c r="A22" s="162"/>
      <c r="B22" s="153" t="s">
        <v>2412</v>
      </c>
      <c r="C22" s="18"/>
      <c r="D22" s="69"/>
    </row>
    <row r="23" spans="1:4" x14ac:dyDescent="0.3">
      <c r="A23" s="162" t="s">
        <v>2413</v>
      </c>
      <c r="B23" s="153" t="s">
        <v>2414</v>
      </c>
      <c r="C23" s="110"/>
      <c r="D23" s="69"/>
    </row>
    <row r="24" spans="1:4" x14ac:dyDescent="0.3">
      <c r="A24" s="162" t="s">
        <v>2415</v>
      </c>
      <c r="B24" s="153" t="s">
        <v>2416</v>
      </c>
      <c r="C24" s="110"/>
      <c r="D24" s="69"/>
    </row>
    <row r="25" spans="1:4" x14ac:dyDescent="0.3">
      <c r="A25" s="162" t="s">
        <v>2417</v>
      </c>
      <c r="B25" s="153" t="s">
        <v>2418</v>
      </c>
      <c r="C25" s="110"/>
      <c r="D25" s="69"/>
    </row>
    <row r="26" spans="1:4" x14ac:dyDescent="0.3">
      <c r="A26" s="162" t="s">
        <v>2419</v>
      </c>
      <c r="B26" s="153" t="s">
        <v>2420</v>
      </c>
      <c r="C26" s="110"/>
      <c r="D26" s="69"/>
    </row>
    <row r="27" spans="1:4" x14ac:dyDescent="0.3">
      <c r="A27" s="162" t="s">
        <v>2421</v>
      </c>
      <c r="B27" s="153" t="s">
        <v>2422</v>
      </c>
      <c r="C27" s="110"/>
      <c r="D27" s="69"/>
    </row>
    <row r="28" spans="1:4" ht="20.399999999999999" x14ac:dyDescent="0.3">
      <c r="A28" s="162" t="s">
        <v>2423</v>
      </c>
      <c r="B28" s="153" t="s">
        <v>2424</v>
      </c>
      <c r="C28" s="116"/>
      <c r="D28" s="69"/>
    </row>
    <row r="29" spans="1:4" x14ac:dyDescent="0.3">
      <c r="A29" s="162"/>
      <c r="B29" s="153"/>
      <c r="C29" s="18"/>
      <c r="D29" s="69"/>
    </row>
    <row r="30" spans="1:4" ht="30.6" x14ac:dyDescent="0.3">
      <c r="A30" s="162"/>
      <c r="B30" s="153" t="s">
        <v>2425</v>
      </c>
      <c r="C30" s="18"/>
      <c r="D30" s="69"/>
    </row>
    <row r="31" spans="1:4" x14ac:dyDescent="0.3">
      <c r="A31" s="162" t="s">
        <v>2426</v>
      </c>
      <c r="B31" s="153" t="s">
        <v>2414</v>
      </c>
      <c r="C31" s="110"/>
      <c r="D31" s="69"/>
    </row>
    <row r="32" spans="1:4" x14ac:dyDescent="0.3">
      <c r="A32" s="162" t="s">
        <v>2427</v>
      </c>
      <c r="B32" s="153" t="s">
        <v>2416</v>
      </c>
      <c r="C32" s="110"/>
      <c r="D32" s="69"/>
    </row>
    <row r="33" spans="1:4" x14ac:dyDescent="0.3">
      <c r="A33" s="162" t="s">
        <v>2428</v>
      </c>
      <c r="B33" s="153" t="s">
        <v>2418</v>
      </c>
      <c r="C33" s="110"/>
      <c r="D33" s="69"/>
    </row>
    <row r="34" spans="1:4" x14ac:dyDescent="0.3">
      <c r="A34" s="162" t="s">
        <v>2429</v>
      </c>
      <c r="B34" s="153" t="s">
        <v>2420</v>
      </c>
      <c r="C34" s="110"/>
      <c r="D34" s="69"/>
    </row>
    <row r="35" spans="1:4" x14ac:dyDescent="0.3">
      <c r="A35" s="162" t="s">
        <v>2430</v>
      </c>
      <c r="B35" s="153" t="s">
        <v>2422</v>
      </c>
      <c r="C35" s="110"/>
      <c r="D35" s="69"/>
    </row>
    <row r="36" spans="1:4" ht="20.399999999999999" x14ac:dyDescent="0.3">
      <c r="A36" s="162" t="s">
        <v>2431</v>
      </c>
      <c r="B36" s="153" t="s">
        <v>2432</v>
      </c>
      <c r="C36" s="116"/>
      <c r="D36" s="69"/>
    </row>
    <row r="37" spans="1:4" x14ac:dyDescent="0.3">
      <c r="A37" s="162"/>
      <c r="B37" s="153"/>
      <c r="C37" s="18"/>
      <c r="D37" s="69"/>
    </row>
    <row r="38" spans="1:4" ht="40.799999999999997" x14ac:dyDescent="0.3">
      <c r="A38" s="162"/>
      <c r="B38" s="153" t="s">
        <v>2433</v>
      </c>
      <c r="C38" s="18"/>
      <c r="D38" s="69"/>
    </row>
    <row r="39" spans="1:4" x14ac:dyDescent="0.3">
      <c r="A39" s="162" t="s">
        <v>2434</v>
      </c>
      <c r="B39" s="153" t="s">
        <v>2414</v>
      </c>
      <c r="C39" s="110"/>
      <c r="D39" s="69"/>
    </row>
    <row r="40" spans="1:4" x14ac:dyDescent="0.3">
      <c r="A40" s="162" t="s">
        <v>2435</v>
      </c>
      <c r="B40" s="153" t="s">
        <v>2416</v>
      </c>
      <c r="C40" s="110"/>
      <c r="D40" s="69"/>
    </row>
    <row r="41" spans="1:4" x14ac:dyDescent="0.3">
      <c r="A41" s="162" t="s">
        <v>2436</v>
      </c>
      <c r="B41" s="153" t="s">
        <v>2418</v>
      </c>
      <c r="C41" s="110"/>
      <c r="D41" s="69"/>
    </row>
    <row r="42" spans="1:4" x14ac:dyDescent="0.3">
      <c r="A42" s="162" t="s">
        <v>2437</v>
      </c>
      <c r="B42" s="153" t="s">
        <v>2420</v>
      </c>
      <c r="C42" s="110"/>
      <c r="D42" s="69"/>
    </row>
    <row r="43" spans="1:4" x14ac:dyDescent="0.3">
      <c r="A43" s="162" t="s">
        <v>2438</v>
      </c>
      <c r="B43" s="153" t="s">
        <v>2422</v>
      </c>
      <c r="C43" s="110"/>
      <c r="D43" s="69"/>
    </row>
    <row r="44" spans="1:4" ht="20.399999999999999" x14ac:dyDescent="0.3">
      <c r="A44" s="162" t="s">
        <v>2439</v>
      </c>
      <c r="B44" s="153" t="s">
        <v>2440</v>
      </c>
      <c r="C44" s="116"/>
      <c r="D44" s="69"/>
    </row>
    <row r="45" spans="1:4" x14ac:dyDescent="0.3">
      <c r="A45" s="162"/>
      <c r="B45" s="153"/>
      <c r="C45" s="18"/>
      <c r="D45" s="69"/>
    </row>
    <row r="46" spans="1:4" ht="30.6" x14ac:dyDescent="0.3">
      <c r="A46" s="162" t="s">
        <v>2441</v>
      </c>
      <c r="B46" s="153" t="s">
        <v>2442</v>
      </c>
      <c r="C46" s="199"/>
      <c r="D46" s="69"/>
    </row>
    <row r="47" spans="1:4" x14ac:dyDescent="0.3">
      <c r="A47" s="162" t="s">
        <v>2443</v>
      </c>
      <c r="B47" s="153" t="s">
        <v>2444</v>
      </c>
      <c r="C47" s="109"/>
      <c r="D47" s="69"/>
    </row>
    <row r="48" spans="1:4" x14ac:dyDescent="0.3">
      <c r="A48" s="162" t="s">
        <v>2445</v>
      </c>
      <c r="B48" s="153" t="s">
        <v>2446</v>
      </c>
      <c r="C48" s="109"/>
      <c r="D48" s="69"/>
    </row>
    <row r="49" spans="1:4" ht="30.6" x14ac:dyDescent="0.3">
      <c r="A49" s="162" t="s">
        <v>2447</v>
      </c>
      <c r="B49" s="153" t="s">
        <v>2448</v>
      </c>
      <c r="C49" s="110"/>
      <c r="D49" s="69"/>
    </row>
    <row r="50" spans="1:4" x14ac:dyDescent="0.3">
      <c r="A50" s="162" t="s">
        <v>2449</v>
      </c>
      <c r="B50" s="153" t="s">
        <v>2450</v>
      </c>
      <c r="C50" s="109"/>
      <c r="D50" s="69"/>
    </row>
    <row r="51" spans="1:4" ht="30.6" x14ac:dyDescent="0.3">
      <c r="A51" s="162" t="s">
        <v>2451</v>
      </c>
      <c r="B51" s="153" t="s">
        <v>2452</v>
      </c>
      <c r="C51" s="110"/>
      <c r="D51" s="69"/>
    </row>
    <row r="52" spans="1:4" x14ac:dyDescent="0.3">
      <c r="A52" s="162" t="s">
        <v>2453</v>
      </c>
      <c r="B52" s="153" t="s">
        <v>2454</v>
      </c>
      <c r="C52" s="109"/>
      <c r="D52" s="69"/>
    </row>
    <row r="53" spans="1:4" x14ac:dyDescent="0.3">
      <c r="A53" s="162" t="s">
        <v>2455</v>
      </c>
      <c r="B53" s="153" t="s">
        <v>2446</v>
      </c>
      <c r="C53" s="109"/>
      <c r="D53" s="69"/>
    </row>
    <row r="54" spans="1:4" x14ac:dyDescent="0.3">
      <c r="A54" s="162"/>
      <c r="B54" s="153"/>
      <c r="C54" s="18"/>
      <c r="D54" s="69"/>
    </row>
    <row r="55" spans="1:4" ht="40.799999999999997" x14ac:dyDescent="0.3">
      <c r="A55" s="162" t="s">
        <v>2456</v>
      </c>
      <c r="B55" s="153" t="s">
        <v>2457</v>
      </c>
      <c r="C55" s="110"/>
      <c r="D55" s="69"/>
    </row>
    <row r="56" spans="1:4" ht="40.799999999999997" x14ac:dyDescent="0.3">
      <c r="A56" s="162" t="s">
        <v>2458</v>
      </c>
      <c r="B56" s="153" t="s">
        <v>2459</v>
      </c>
      <c r="C56" s="110"/>
      <c r="D56" s="69"/>
    </row>
    <row r="57" spans="1:4" x14ac:dyDescent="0.3">
      <c r="A57" s="162"/>
      <c r="B57" s="153"/>
      <c r="C57" s="18"/>
      <c r="D57" s="69"/>
    </row>
    <row r="58" spans="1:4" ht="40.799999999999997" x14ac:dyDescent="0.3">
      <c r="A58" s="162" t="s">
        <v>2460</v>
      </c>
      <c r="B58" s="153" t="s">
        <v>2461</v>
      </c>
      <c r="C58" s="110"/>
      <c r="D58" s="69"/>
    </row>
    <row r="59" spans="1:4" ht="40.799999999999997" x14ac:dyDescent="0.3">
      <c r="A59" s="162" t="s">
        <v>2462</v>
      </c>
      <c r="B59" s="153" t="s">
        <v>2463</v>
      </c>
      <c r="C59" s="110"/>
      <c r="D59" s="69"/>
    </row>
    <row r="60" spans="1:4" x14ac:dyDescent="0.3">
      <c r="A60" s="162" t="s">
        <v>2464</v>
      </c>
      <c r="B60" s="153" t="s">
        <v>2465</v>
      </c>
      <c r="C60" s="109"/>
      <c r="D60" s="69"/>
    </row>
    <row r="61" spans="1:4" ht="51" x14ac:dyDescent="0.3">
      <c r="A61" s="162" t="s">
        <v>2466</v>
      </c>
      <c r="B61" s="153" t="s">
        <v>2467</v>
      </c>
      <c r="C61" s="110"/>
      <c r="D61" s="69"/>
    </row>
    <row r="62" spans="1:4" x14ac:dyDescent="0.3">
      <c r="A62" s="162"/>
      <c r="B62" s="153"/>
      <c r="C62" s="18"/>
      <c r="D62" s="69"/>
    </row>
    <row r="63" spans="1:4" ht="51" x14ac:dyDescent="0.3">
      <c r="A63" s="162"/>
      <c r="B63" s="179" t="s">
        <v>2468</v>
      </c>
      <c r="C63" s="18"/>
      <c r="D63" s="69"/>
    </row>
    <row r="64" spans="1:4" x14ac:dyDescent="0.3">
      <c r="A64" s="162"/>
      <c r="B64" s="153"/>
      <c r="C64" s="18"/>
      <c r="D64" s="69"/>
    </row>
    <row r="65" spans="1:4" x14ac:dyDescent="0.3">
      <c r="A65" s="162"/>
      <c r="B65" s="153" t="s">
        <v>2469</v>
      </c>
      <c r="C65" s="18"/>
      <c r="D65" s="69"/>
    </row>
    <row r="66" spans="1:4" x14ac:dyDescent="0.3">
      <c r="A66" s="162" t="s">
        <v>2470</v>
      </c>
      <c r="B66" s="153" t="s">
        <v>2471</v>
      </c>
      <c r="C66" s="109"/>
      <c r="D66" s="69"/>
    </row>
    <row r="67" spans="1:4" x14ac:dyDescent="0.3">
      <c r="A67" s="162" t="s">
        <v>2472</v>
      </c>
      <c r="B67" s="153" t="s">
        <v>2473</v>
      </c>
      <c r="C67" s="109"/>
      <c r="D67" s="69"/>
    </row>
    <row r="68" spans="1:4" x14ac:dyDescent="0.3">
      <c r="A68" s="162" t="s">
        <v>2474</v>
      </c>
      <c r="B68" s="153" t="s">
        <v>2475</v>
      </c>
      <c r="C68" s="109"/>
      <c r="D68" s="69"/>
    </row>
    <row r="69" spans="1:4" x14ac:dyDescent="0.3">
      <c r="A69" s="162"/>
      <c r="B69" s="153"/>
      <c r="C69" s="18"/>
      <c r="D69" s="69"/>
    </row>
    <row r="70" spans="1:4" x14ac:dyDescent="0.3">
      <c r="A70" s="162"/>
      <c r="B70" s="153" t="s">
        <v>2476</v>
      </c>
      <c r="C70" s="18"/>
      <c r="D70" s="69"/>
    </row>
    <row r="71" spans="1:4" x14ac:dyDescent="0.3">
      <c r="A71" s="162" t="s">
        <v>2477</v>
      </c>
      <c r="B71" s="153" t="s">
        <v>2471</v>
      </c>
      <c r="C71" s="109"/>
      <c r="D71" s="69"/>
    </row>
    <row r="72" spans="1:4" x14ac:dyDescent="0.3">
      <c r="A72" s="162" t="s">
        <v>2478</v>
      </c>
      <c r="B72" s="153" t="s">
        <v>2473</v>
      </c>
      <c r="C72" s="109"/>
      <c r="D72" s="69"/>
    </row>
    <row r="73" spans="1:4" x14ac:dyDescent="0.3">
      <c r="A73" s="162" t="s">
        <v>2479</v>
      </c>
      <c r="B73" s="153" t="s">
        <v>2475</v>
      </c>
      <c r="C73" s="109"/>
      <c r="D73" s="69"/>
    </row>
    <row r="74" spans="1:4" x14ac:dyDescent="0.3">
      <c r="A74" s="162"/>
      <c r="B74" s="153"/>
      <c r="C74" s="18"/>
      <c r="D74" s="69"/>
    </row>
    <row r="75" spans="1:4" ht="20.399999999999999" x14ac:dyDescent="0.3">
      <c r="A75" s="162"/>
      <c r="B75" s="179" t="s">
        <v>2480</v>
      </c>
      <c r="C75" s="18"/>
      <c r="D75" s="69"/>
    </row>
    <row r="76" spans="1:4" x14ac:dyDescent="0.3">
      <c r="A76" s="162"/>
      <c r="B76" s="153"/>
      <c r="C76" s="18"/>
      <c r="D76" s="69"/>
    </row>
    <row r="77" spans="1:4" ht="71.400000000000006" x14ac:dyDescent="0.3">
      <c r="A77" s="162" t="s">
        <v>2481</v>
      </c>
      <c r="B77" s="153" t="s">
        <v>2482</v>
      </c>
      <c r="C77" s="110"/>
      <c r="D77" s="69"/>
    </row>
    <row r="78" spans="1:4" x14ac:dyDescent="0.3">
      <c r="A78" s="162" t="s">
        <v>2483</v>
      </c>
      <c r="B78" s="153" t="s">
        <v>2489</v>
      </c>
      <c r="C78" s="109"/>
      <c r="D78" s="69"/>
    </row>
    <row r="79" spans="1:4" ht="61.2" x14ac:dyDescent="0.3">
      <c r="A79" s="162" t="s">
        <v>2484</v>
      </c>
      <c r="B79" s="153" t="s">
        <v>5499</v>
      </c>
      <c r="C79" s="110"/>
      <c r="D79" s="69"/>
    </row>
    <row r="80" spans="1:4" x14ac:dyDescent="0.3">
      <c r="A80" s="162" t="s">
        <v>2485</v>
      </c>
      <c r="B80" s="153" t="s">
        <v>2489</v>
      </c>
      <c r="C80" s="109"/>
      <c r="D80" s="69"/>
    </row>
    <row r="81" spans="1:4" x14ac:dyDescent="0.3">
      <c r="A81" s="162"/>
      <c r="B81" s="153"/>
      <c r="C81" s="18"/>
      <c r="D81" s="69"/>
    </row>
    <row r="82" spans="1:4" ht="61.2" x14ac:dyDescent="0.3">
      <c r="A82" s="162" t="s">
        <v>2486</v>
      </c>
      <c r="B82" s="153" t="s">
        <v>2487</v>
      </c>
      <c r="C82" s="110"/>
      <c r="D82" s="69"/>
    </row>
    <row r="83" spans="1:4" x14ac:dyDescent="0.3">
      <c r="A83" s="162" t="s">
        <v>2488</v>
      </c>
      <c r="B83" s="153" t="s">
        <v>2489</v>
      </c>
      <c r="C83" s="109"/>
      <c r="D83" s="69"/>
    </row>
    <row r="84" spans="1:4" x14ac:dyDescent="0.3">
      <c r="A84" s="162"/>
      <c r="B84" s="153"/>
      <c r="C84" s="18"/>
      <c r="D84" s="69"/>
    </row>
    <row r="85" spans="1:4" ht="51" x14ac:dyDescent="0.3">
      <c r="A85" s="162" t="s">
        <v>2490</v>
      </c>
      <c r="B85" s="153" t="s">
        <v>2491</v>
      </c>
      <c r="C85" s="110"/>
      <c r="D85" s="69"/>
    </row>
    <row r="86" spans="1:4" x14ac:dyDescent="0.3">
      <c r="A86" s="162" t="s">
        <v>2492</v>
      </c>
      <c r="B86" s="153" t="s">
        <v>2493</v>
      </c>
      <c r="C86" s="109"/>
      <c r="D86" s="69"/>
    </row>
    <row r="87" spans="1:4" x14ac:dyDescent="0.3">
      <c r="A87" s="162" t="s">
        <v>2494</v>
      </c>
      <c r="B87" s="153" t="s">
        <v>5744</v>
      </c>
      <c r="C87" s="116"/>
      <c r="D87" s="69"/>
    </row>
    <row r="88" spans="1:4" ht="81.599999999999994" x14ac:dyDescent="0.3">
      <c r="A88" s="162" t="s">
        <v>2495</v>
      </c>
      <c r="B88" s="153" t="s">
        <v>2496</v>
      </c>
      <c r="C88" s="110"/>
      <c r="D88" s="69"/>
    </row>
    <row r="89" spans="1:4" x14ac:dyDescent="0.3">
      <c r="A89" s="162"/>
      <c r="B89" s="153"/>
      <c r="C89" s="18"/>
      <c r="D89" s="69"/>
    </row>
    <row r="90" spans="1:4" x14ac:dyDescent="0.3">
      <c r="A90" s="162"/>
      <c r="B90" s="179" t="s">
        <v>2497</v>
      </c>
      <c r="C90" s="18"/>
      <c r="D90" s="69"/>
    </row>
    <row r="91" spans="1:4" x14ac:dyDescent="0.3">
      <c r="A91" s="162"/>
      <c r="B91" s="153"/>
      <c r="C91" s="18"/>
      <c r="D91" s="69"/>
    </row>
    <row r="92" spans="1:4" ht="71.400000000000006" x14ac:dyDescent="0.3">
      <c r="A92" s="162" t="s">
        <v>2498</v>
      </c>
      <c r="B92" s="153" t="s">
        <v>2499</v>
      </c>
      <c r="C92" s="110"/>
      <c r="D92" s="69"/>
    </row>
    <row r="93" spans="1:4" x14ac:dyDescent="0.3">
      <c r="A93" s="162"/>
      <c r="B93" s="153"/>
      <c r="C93" s="18"/>
      <c r="D93" s="69"/>
    </row>
    <row r="94" spans="1:4" ht="71.400000000000006" x14ac:dyDescent="0.3">
      <c r="A94" s="162"/>
      <c r="B94" s="153" t="s">
        <v>2500</v>
      </c>
      <c r="C94" s="18"/>
      <c r="D94" s="69"/>
    </row>
    <row r="95" spans="1:4" x14ac:dyDescent="0.3">
      <c r="A95" s="162"/>
      <c r="B95" s="153"/>
      <c r="C95" s="18"/>
      <c r="D95" s="69"/>
    </row>
    <row r="96" spans="1:4" ht="20.399999999999999" x14ac:dyDescent="0.3">
      <c r="A96" s="162" t="s">
        <v>2501</v>
      </c>
      <c r="B96" s="153" t="s">
        <v>2502</v>
      </c>
      <c r="C96" s="116"/>
      <c r="D96" s="69"/>
    </row>
    <row r="97" spans="1:4" ht="20.399999999999999" x14ac:dyDescent="0.3">
      <c r="A97" s="162" t="s">
        <v>2503</v>
      </c>
      <c r="B97" s="153" t="s">
        <v>2504</v>
      </c>
      <c r="C97" s="116"/>
      <c r="D97" s="69"/>
    </row>
    <row r="98" spans="1:4" ht="20.399999999999999" x14ac:dyDescent="0.3">
      <c r="A98" s="162" t="s">
        <v>2505</v>
      </c>
      <c r="B98" s="153" t="s">
        <v>2506</v>
      </c>
      <c r="C98" s="116"/>
      <c r="D98" s="69"/>
    </row>
    <row r="99" spans="1:4" ht="20.399999999999999" x14ac:dyDescent="0.3">
      <c r="A99" s="162" t="s">
        <v>2507</v>
      </c>
      <c r="B99" s="153" t="s">
        <v>2508</v>
      </c>
      <c r="C99" s="116"/>
      <c r="D99" s="69"/>
    </row>
    <row r="100" spans="1:4" x14ac:dyDescent="0.3">
      <c r="A100" s="162"/>
      <c r="B100" s="153"/>
      <c r="C100" s="18"/>
      <c r="D100" s="69"/>
    </row>
    <row r="101" spans="1:4" ht="20.399999999999999" x14ac:dyDescent="0.3">
      <c r="A101" s="162" t="s">
        <v>2509</v>
      </c>
      <c r="B101" s="153" t="s">
        <v>5745</v>
      </c>
      <c r="C101" s="110"/>
      <c r="D101" s="69"/>
    </row>
    <row r="102" spans="1:4" x14ac:dyDescent="0.3">
      <c r="A102" s="162"/>
      <c r="B102" s="153"/>
      <c r="C102" s="18"/>
      <c r="D102" s="69"/>
    </row>
    <row r="103" spans="1:4" ht="20.399999999999999" x14ac:dyDescent="0.3">
      <c r="A103" s="162" t="s">
        <v>2511</v>
      </c>
      <c r="B103" s="153" t="s">
        <v>5500</v>
      </c>
      <c r="C103" s="185"/>
      <c r="D103" s="149"/>
    </row>
    <row r="104" spans="1:4" ht="51" x14ac:dyDescent="0.3">
      <c r="A104" s="162" t="s">
        <v>2513</v>
      </c>
      <c r="B104" s="153" t="s">
        <v>5501</v>
      </c>
      <c r="C104" s="110"/>
      <c r="D104" s="149"/>
    </row>
    <row r="105" spans="1:4" x14ac:dyDescent="0.3">
      <c r="A105" s="162"/>
      <c r="B105" s="153"/>
      <c r="C105" s="160"/>
      <c r="D105" s="149"/>
    </row>
    <row r="106" spans="1:4" ht="20.399999999999999" x14ac:dyDescent="0.3">
      <c r="A106" s="162"/>
      <c r="B106" s="179" t="s">
        <v>2510</v>
      </c>
      <c r="C106" s="18"/>
      <c r="D106" s="69"/>
    </row>
    <row r="107" spans="1:4" x14ac:dyDescent="0.3">
      <c r="A107" s="162"/>
      <c r="B107" s="153"/>
      <c r="C107" s="18"/>
      <c r="D107" s="69"/>
    </row>
    <row r="108" spans="1:4" ht="30.6" x14ac:dyDescent="0.3">
      <c r="A108" s="162" t="s">
        <v>2516</v>
      </c>
      <c r="B108" s="153" t="s">
        <v>2512</v>
      </c>
      <c r="C108" s="110"/>
      <c r="D108" s="69"/>
    </row>
    <row r="109" spans="1:4" ht="20.399999999999999" x14ac:dyDescent="0.3">
      <c r="A109" s="162" t="s">
        <v>2518</v>
      </c>
      <c r="B109" s="153" t="s">
        <v>2514</v>
      </c>
      <c r="C109" s="116"/>
      <c r="D109" s="69"/>
    </row>
    <row r="110" spans="1:4" x14ac:dyDescent="0.3">
      <c r="A110" s="162"/>
      <c r="B110" s="153"/>
      <c r="C110" s="18"/>
      <c r="D110" s="69"/>
    </row>
    <row r="111" spans="1:4" x14ac:dyDescent="0.3">
      <c r="A111" s="162"/>
      <c r="B111" s="179" t="s">
        <v>2515</v>
      </c>
      <c r="C111" s="18"/>
      <c r="D111" s="69"/>
    </row>
    <row r="112" spans="1:4" x14ac:dyDescent="0.3">
      <c r="A112" s="162"/>
      <c r="B112" s="153"/>
      <c r="C112" s="18"/>
      <c r="D112" s="69"/>
    </row>
    <row r="113" spans="1:4" ht="51" x14ac:dyDescent="0.3">
      <c r="A113" s="162" t="s">
        <v>2520</v>
      </c>
      <c r="B113" s="153" t="s">
        <v>2517</v>
      </c>
      <c r="C113" s="110"/>
      <c r="D113" s="69"/>
    </row>
    <row r="114" spans="1:4" ht="40.799999999999997" x14ac:dyDescent="0.3">
      <c r="A114" s="162"/>
      <c r="B114" s="153" t="s">
        <v>5502</v>
      </c>
      <c r="C114" s="18"/>
      <c r="D114" s="69"/>
    </row>
    <row r="115" spans="1:4" x14ac:dyDescent="0.3">
      <c r="A115" s="162" t="s">
        <v>2522</v>
      </c>
      <c r="B115" s="153" t="s">
        <v>2519</v>
      </c>
      <c r="C115" s="110"/>
      <c r="D115" s="69"/>
    </row>
    <row r="116" spans="1:4" x14ac:dyDescent="0.3">
      <c r="A116" s="162" t="s">
        <v>2524</v>
      </c>
      <c r="B116" s="153" t="s">
        <v>2521</v>
      </c>
      <c r="C116" s="110"/>
      <c r="D116" s="69"/>
    </row>
    <row r="117" spans="1:4" x14ac:dyDescent="0.3">
      <c r="A117" s="162" t="s">
        <v>2526</v>
      </c>
      <c r="B117" s="153" t="s">
        <v>2523</v>
      </c>
      <c r="C117" s="110"/>
      <c r="D117" s="69"/>
    </row>
    <row r="118" spans="1:4" x14ac:dyDescent="0.3">
      <c r="A118" s="162"/>
      <c r="B118" s="153"/>
      <c r="C118" s="18"/>
      <c r="D118" s="69"/>
    </row>
    <row r="119" spans="1:4" ht="30.6" x14ac:dyDescent="0.3">
      <c r="A119" s="162" t="s">
        <v>2528</v>
      </c>
      <c r="B119" s="153" t="s">
        <v>5503</v>
      </c>
      <c r="C119" s="116"/>
      <c r="D119" s="69"/>
    </row>
    <row r="120" spans="1:4" x14ac:dyDescent="0.3">
      <c r="A120" s="162"/>
      <c r="B120" s="153"/>
      <c r="C120" s="18"/>
      <c r="D120" s="69"/>
    </row>
    <row r="121" spans="1:4" x14ac:dyDescent="0.3">
      <c r="A121" s="162"/>
      <c r="B121" s="179" t="s">
        <v>2525</v>
      </c>
      <c r="C121" s="18"/>
      <c r="D121" s="69"/>
    </row>
    <row r="122" spans="1:4" x14ac:dyDescent="0.3">
      <c r="A122" s="162"/>
      <c r="B122" s="153"/>
      <c r="C122" s="18"/>
      <c r="D122" s="69"/>
    </row>
    <row r="123" spans="1:4" ht="30.6" x14ac:dyDescent="0.3">
      <c r="A123" s="162" t="s">
        <v>2530</v>
      </c>
      <c r="B123" s="153" t="s">
        <v>2527</v>
      </c>
      <c r="C123" s="110"/>
      <c r="D123" s="69"/>
    </row>
    <row r="124" spans="1:4" x14ac:dyDescent="0.3">
      <c r="A124" s="162" t="s">
        <v>2532</v>
      </c>
      <c r="B124" s="153" t="s">
        <v>2529</v>
      </c>
      <c r="C124" s="116"/>
      <c r="D124" s="69"/>
    </row>
    <row r="125" spans="1:4" ht="40.799999999999997" x14ac:dyDescent="0.3">
      <c r="A125" s="162" t="s">
        <v>2534</v>
      </c>
      <c r="B125" s="153" t="s">
        <v>2531</v>
      </c>
      <c r="C125" s="110"/>
      <c r="D125" s="69"/>
    </row>
    <row r="126" spans="1:4" ht="20.399999999999999" x14ac:dyDescent="0.3">
      <c r="A126" s="162" t="s">
        <v>2536</v>
      </c>
      <c r="B126" s="153" t="s">
        <v>2533</v>
      </c>
      <c r="C126" s="116"/>
      <c r="D126" s="69"/>
    </row>
    <row r="127" spans="1:4" ht="30.6" x14ac:dyDescent="0.3">
      <c r="A127" s="162" t="s">
        <v>2537</v>
      </c>
      <c r="B127" s="153" t="s">
        <v>2535</v>
      </c>
      <c r="C127" s="110"/>
      <c r="D127" s="69"/>
    </row>
    <row r="128" spans="1:4" x14ac:dyDescent="0.3">
      <c r="A128" s="162" t="s">
        <v>2539</v>
      </c>
      <c r="B128" s="153" t="s">
        <v>2529</v>
      </c>
      <c r="C128" s="116"/>
      <c r="D128" s="69"/>
    </row>
    <row r="129" spans="1:4" ht="30.6" x14ac:dyDescent="0.3">
      <c r="A129" s="162" t="s">
        <v>2541</v>
      </c>
      <c r="B129" s="153" t="s">
        <v>2538</v>
      </c>
      <c r="C129" s="110"/>
      <c r="D129" s="69"/>
    </row>
    <row r="130" spans="1:4" ht="20.399999999999999" x14ac:dyDescent="0.3">
      <c r="A130" s="162" t="s">
        <v>2543</v>
      </c>
      <c r="B130" s="153" t="s">
        <v>2533</v>
      </c>
      <c r="C130" s="116"/>
      <c r="D130" s="69"/>
    </row>
    <row r="131" spans="1:4" x14ac:dyDescent="0.3">
      <c r="A131" s="162"/>
      <c r="B131" s="153"/>
      <c r="C131" s="18"/>
      <c r="D131" s="69"/>
    </row>
    <row r="132" spans="1:4" x14ac:dyDescent="0.3">
      <c r="A132" s="162"/>
      <c r="B132" s="153" t="s">
        <v>5504</v>
      </c>
      <c r="C132" s="160"/>
      <c r="D132" s="149"/>
    </row>
    <row r="133" spans="1:4" x14ac:dyDescent="0.3">
      <c r="A133" s="162"/>
      <c r="B133" s="153"/>
      <c r="C133" s="160"/>
      <c r="D133" s="149"/>
    </row>
    <row r="134" spans="1:4" ht="20.399999999999999" x14ac:dyDescent="0.3">
      <c r="A134" s="162" t="s">
        <v>2544</v>
      </c>
      <c r="B134" s="153" t="s">
        <v>5505</v>
      </c>
      <c r="C134" s="199"/>
      <c r="D134" s="149"/>
    </row>
    <row r="135" spans="1:4" x14ac:dyDescent="0.3">
      <c r="A135" s="162"/>
      <c r="B135" s="153" t="s">
        <v>5506</v>
      </c>
      <c r="C135" s="160"/>
      <c r="D135" s="149"/>
    </row>
    <row r="136" spans="1:4" ht="61.2" x14ac:dyDescent="0.3">
      <c r="A136" s="162" t="s">
        <v>2546</v>
      </c>
      <c r="B136" s="153" t="s">
        <v>5507</v>
      </c>
      <c r="C136" s="110"/>
      <c r="D136" s="149"/>
    </row>
    <row r="137" spans="1:4" x14ac:dyDescent="0.3">
      <c r="A137" s="162"/>
      <c r="B137" s="153"/>
      <c r="C137" s="160"/>
      <c r="D137" s="149"/>
    </row>
    <row r="138" spans="1:4" x14ac:dyDescent="0.3">
      <c r="A138" s="162"/>
      <c r="B138" s="179" t="s">
        <v>2540</v>
      </c>
      <c r="C138" s="18"/>
      <c r="D138" s="69"/>
    </row>
    <row r="139" spans="1:4" x14ac:dyDescent="0.3">
      <c r="A139" s="162"/>
      <c r="B139" s="153"/>
      <c r="C139" s="18"/>
      <c r="D139" s="69"/>
    </row>
    <row r="140" spans="1:4" ht="20.399999999999999" x14ac:dyDescent="0.3">
      <c r="A140" s="162" t="s">
        <v>2548</v>
      </c>
      <c r="B140" s="153" t="s">
        <v>2542</v>
      </c>
      <c r="C140" s="110"/>
      <c r="D140" s="69"/>
    </row>
    <row r="141" spans="1:4" ht="20.399999999999999" x14ac:dyDescent="0.3">
      <c r="A141" s="162" t="s">
        <v>2550</v>
      </c>
      <c r="B141" s="153" t="s">
        <v>5508</v>
      </c>
      <c r="C141" s="116"/>
      <c r="D141" s="69"/>
    </row>
    <row r="142" spans="1:4" ht="20.399999999999999" x14ac:dyDescent="0.3">
      <c r="A142" s="162" t="s">
        <v>2552</v>
      </c>
      <c r="B142" s="153" t="s">
        <v>5746</v>
      </c>
      <c r="C142" s="116"/>
      <c r="D142" s="69"/>
    </row>
    <row r="143" spans="1:4" x14ac:dyDescent="0.3">
      <c r="A143" s="162"/>
      <c r="B143" s="153"/>
      <c r="C143" s="18"/>
      <c r="D143" s="69"/>
    </row>
    <row r="144" spans="1:4" x14ac:dyDescent="0.3">
      <c r="A144" s="162"/>
      <c r="B144" s="179" t="s">
        <v>2545</v>
      </c>
      <c r="C144" s="18"/>
      <c r="D144" s="69"/>
    </row>
    <row r="145" spans="1:4" x14ac:dyDescent="0.3">
      <c r="A145" s="162"/>
      <c r="B145" s="153"/>
      <c r="C145" s="18"/>
      <c r="D145" s="69"/>
    </row>
    <row r="146" spans="1:4" ht="30.6" x14ac:dyDescent="0.3">
      <c r="A146" s="162" t="s">
        <v>2554</v>
      </c>
      <c r="B146" s="153" t="s">
        <v>2547</v>
      </c>
      <c r="C146" s="110"/>
      <c r="D146" s="69"/>
    </row>
    <row r="147" spans="1:4" ht="20.399999999999999" x14ac:dyDescent="0.3">
      <c r="A147" s="162" t="s">
        <v>2556</v>
      </c>
      <c r="B147" s="153" t="s">
        <v>2549</v>
      </c>
      <c r="C147" s="116"/>
      <c r="D147" s="69"/>
    </row>
    <row r="148" spans="1:4" ht="20.399999999999999" x14ac:dyDescent="0.3">
      <c r="A148" s="162" t="s">
        <v>2558</v>
      </c>
      <c r="B148" s="153" t="s">
        <v>2551</v>
      </c>
      <c r="C148" s="116"/>
      <c r="D148" s="69"/>
    </row>
    <row r="149" spans="1:4" ht="91.8" x14ac:dyDescent="0.3">
      <c r="A149" s="162" t="s">
        <v>2560</v>
      </c>
      <c r="B149" s="153" t="s">
        <v>5747</v>
      </c>
      <c r="C149" s="110"/>
      <c r="D149" s="69"/>
    </row>
    <row r="150" spans="1:4" x14ac:dyDescent="0.3">
      <c r="A150" s="162"/>
      <c r="B150" s="153"/>
      <c r="C150" s="18"/>
      <c r="D150" s="69"/>
    </row>
    <row r="151" spans="1:4" ht="20.399999999999999" x14ac:dyDescent="0.3">
      <c r="A151" s="162"/>
      <c r="B151" s="179" t="s">
        <v>2553</v>
      </c>
      <c r="C151" s="18"/>
      <c r="D151" s="69"/>
    </row>
    <row r="152" spans="1:4" x14ac:dyDescent="0.3">
      <c r="A152" s="162"/>
      <c r="B152" s="153"/>
      <c r="C152" s="18"/>
      <c r="D152" s="69"/>
    </row>
    <row r="153" spans="1:4" ht="20.399999999999999" x14ac:dyDescent="0.3">
      <c r="A153" s="162" t="s">
        <v>2562</v>
      </c>
      <c r="B153" s="153" t="s">
        <v>2555</v>
      </c>
      <c r="C153" s="110"/>
      <c r="D153" s="69"/>
    </row>
    <row r="154" spans="1:4" ht="20.399999999999999" x14ac:dyDescent="0.3">
      <c r="A154" s="162" t="s">
        <v>2564</v>
      </c>
      <c r="B154" s="153" t="s">
        <v>2557</v>
      </c>
      <c r="C154" s="116"/>
      <c r="D154" s="69"/>
    </row>
    <row r="155" spans="1:4" ht="20.399999999999999" x14ac:dyDescent="0.3">
      <c r="A155" s="162" t="s">
        <v>2565</v>
      </c>
      <c r="B155" s="153" t="s">
        <v>2559</v>
      </c>
      <c r="C155" s="110"/>
      <c r="D155" s="69"/>
    </row>
    <row r="156" spans="1:4" ht="20.399999999999999" x14ac:dyDescent="0.3">
      <c r="A156" s="162" t="s">
        <v>2567</v>
      </c>
      <c r="B156" s="153" t="s">
        <v>2561</v>
      </c>
      <c r="C156" s="116"/>
      <c r="D156" s="69"/>
    </row>
    <row r="157" spans="1:4" ht="30.6" x14ac:dyDescent="0.3">
      <c r="A157" s="162" t="s">
        <v>2569</v>
      </c>
      <c r="B157" s="153" t="s">
        <v>2563</v>
      </c>
      <c r="C157" s="110"/>
      <c r="D157" s="69"/>
    </row>
    <row r="158" spans="1:4" x14ac:dyDescent="0.3">
      <c r="A158" s="162" t="s">
        <v>2571</v>
      </c>
      <c r="B158" s="153" t="s">
        <v>5509</v>
      </c>
      <c r="C158" s="116"/>
      <c r="D158" s="69"/>
    </row>
    <row r="159" spans="1:4" ht="61.2" x14ac:dyDescent="0.3">
      <c r="A159" s="162" t="s">
        <v>2573</v>
      </c>
      <c r="B159" s="153" t="s">
        <v>2566</v>
      </c>
      <c r="C159" s="110"/>
      <c r="D159" s="69"/>
    </row>
    <row r="160" spans="1:4" x14ac:dyDescent="0.3">
      <c r="A160" s="162" t="s">
        <v>2575</v>
      </c>
      <c r="B160" s="153" t="s">
        <v>5509</v>
      </c>
      <c r="C160" s="116"/>
      <c r="D160" s="69"/>
    </row>
    <row r="161" spans="1:4" x14ac:dyDescent="0.3">
      <c r="A161" s="162"/>
      <c r="B161" s="153"/>
      <c r="C161" s="18"/>
      <c r="D161" s="69"/>
    </row>
    <row r="162" spans="1:4" x14ac:dyDescent="0.3">
      <c r="A162" s="162"/>
      <c r="B162" s="179" t="s">
        <v>2568</v>
      </c>
      <c r="C162" s="18"/>
      <c r="D162" s="69"/>
    </row>
    <row r="163" spans="1:4" x14ac:dyDescent="0.3">
      <c r="A163" s="162"/>
      <c r="B163" s="153"/>
      <c r="C163" s="18"/>
      <c r="D163" s="69"/>
    </row>
    <row r="164" spans="1:4" ht="30.6" x14ac:dyDescent="0.3">
      <c r="A164" s="162" t="s">
        <v>2577</v>
      </c>
      <c r="B164" s="153" t="s">
        <v>2570</v>
      </c>
      <c r="C164" s="110"/>
      <c r="D164" s="69"/>
    </row>
    <row r="165" spans="1:4" ht="40.799999999999997" x14ac:dyDescent="0.3">
      <c r="A165" s="162" t="s">
        <v>2579</v>
      </c>
      <c r="B165" s="153" t="s">
        <v>2572</v>
      </c>
      <c r="C165" s="116"/>
      <c r="D165" s="69"/>
    </row>
    <row r="166" spans="1:4" ht="30.6" x14ac:dyDescent="0.3">
      <c r="A166" s="162" t="s">
        <v>2581</v>
      </c>
      <c r="B166" s="153" t="s">
        <v>2574</v>
      </c>
      <c r="C166" s="116"/>
      <c r="D166" s="69"/>
    </row>
    <row r="167" spans="1:4" ht="30.6" x14ac:dyDescent="0.3">
      <c r="A167" s="162" t="s">
        <v>2583</v>
      </c>
      <c r="B167" s="153" t="s">
        <v>2576</v>
      </c>
      <c r="C167" s="116"/>
      <c r="D167" s="69"/>
    </row>
    <row r="168" spans="1:4" x14ac:dyDescent="0.3">
      <c r="A168" s="162" t="s">
        <v>2585</v>
      </c>
      <c r="B168" s="153" t="s">
        <v>2578</v>
      </c>
      <c r="C168" s="116"/>
      <c r="D168" s="69"/>
    </row>
    <row r="169" spans="1:4" x14ac:dyDescent="0.3">
      <c r="A169" s="162" t="s">
        <v>2588</v>
      </c>
      <c r="B169" s="153" t="s">
        <v>2580</v>
      </c>
      <c r="C169" s="116"/>
      <c r="D169" s="69"/>
    </row>
    <row r="170" spans="1:4" ht="51" x14ac:dyDescent="0.3">
      <c r="A170" s="162" t="s">
        <v>2589</v>
      </c>
      <c r="B170" s="153" t="s">
        <v>2582</v>
      </c>
      <c r="C170" s="116"/>
      <c r="D170" s="69"/>
    </row>
    <row r="171" spans="1:4" ht="30.6" x14ac:dyDescent="0.3">
      <c r="A171" s="162" t="s">
        <v>2591</v>
      </c>
      <c r="B171" s="153" t="s">
        <v>2584</v>
      </c>
      <c r="C171" s="116"/>
      <c r="D171" s="69"/>
    </row>
    <row r="172" spans="1:4" x14ac:dyDescent="0.3">
      <c r="A172" s="162"/>
      <c r="B172" s="153"/>
      <c r="C172" s="18"/>
      <c r="D172" s="69"/>
    </row>
    <row r="173" spans="1:4" ht="51" x14ac:dyDescent="0.3">
      <c r="A173" s="162" t="s">
        <v>2593</v>
      </c>
      <c r="B173" s="153" t="s">
        <v>2586</v>
      </c>
      <c r="C173" s="110"/>
      <c r="D173" s="69"/>
    </row>
    <row r="174" spans="1:4" x14ac:dyDescent="0.3">
      <c r="A174" s="162"/>
      <c r="B174" s="153"/>
      <c r="C174" s="18"/>
      <c r="D174" s="69"/>
    </row>
    <row r="175" spans="1:4" x14ac:dyDescent="0.3">
      <c r="A175" s="162"/>
      <c r="B175" s="179" t="s">
        <v>2587</v>
      </c>
      <c r="C175" s="18"/>
      <c r="D175" s="69"/>
    </row>
    <row r="176" spans="1:4" x14ac:dyDescent="0.3">
      <c r="A176" s="162"/>
      <c r="B176" s="153"/>
      <c r="C176" s="18"/>
      <c r="D176" s="69"/>
    </row>
    <row r="177" spans="1:4" ht="81.599999999999994" x14ac:dyDescent="0.3">
      <c r="A177" s="162" t="s">
        <v>2595</v>
      </c>
      <c r="B177" s="153" t="s">
        <v>5748</v>
      </c>
      <c r="C177" s="110"/>
      <c r="D177" s="69"/>
    </row>
    <row r="178" spans="1:4" ht="20.399999999999999" x14ac:dyDescent="0.3">
      <c r="A178" s="162" t="s">
        <v>2597</v>
      </c>
      <c r="B178" s="153" t="s">
        <v>2590</v>
      </c>
      <c r="C178" s="116"/>
      <c r="D178" s="69"/>
    </row>
    <row r="179" spans="1:4" x14ac:dyDescent="0.3">
      <c r="A179" s="162" t="s">
        <v>2598</v>
      </c>
      <c r="B179" s="153" t="s">
        <v>2592</v>
      </c>
      <c r="C179" s="30"/>
      <c r="D179" s="69"/>
    </row>
    <row r="180" spans="1:4" x14ac:dyDescent="0.3">
      <c r="A180" s="162" t="s">
        <v>2599</v>
      </c>
      <c r="B180" s="153" t="s">
        <v>2594</v>
      </c>
      <c r="C180" s="30"/>
      <c r="D180" s="69"/>
    </row>
    <row r="181" spans="1:4" x14ac:dyDescent="0.3">
      <c r="A181" s="162" t="s">
        <v>2600</v>
      </c>
      <c r="B181" s="153" t="s">
        <v>2596</v>
      </c>
      <c r="C181" s="30"/>
      <c r="D181" s="69"/>
    </row>
    <row r="182" spans="1:4" x14ac:dyDescent="0.3">
      <c r="A182" s="162"/>
      <c r="B182" s="153"/>
      <c r="C182" s="18"/>
      <c r="D182" s="69"/>
    </row>
    <row r="183" spans="1:4" ht="61.2" x14ac:dyDescent="0.3">
      <c r="A183" s="162" t="s">
        <v>2601</v>
      </c>
      <c r="B183" s="153" t="s">
        <v>5749</v>
      </c>
      <c r="C183" s="110"/>
      <c r="D183" s="69"/>
    </row>
    <row r="184" spans="1:4" ht="20.399999999999999" x14ac:dyDescent="0.3">
      <c r="A184" s="162" t="s">
        <v>2602</v>
      </c>
      <c r="B184" s="153" t="s">
        <v>2590</v>
      </c>
      <c r="C184" s="116"/>
      <c r="D184" s="69"/>
    </row>
    <row r="185" spans="1:4" x14ac:dyDescent="0.3">
      <c r="A185" s="162" t="s">
        <v>2604</v>
      </c>
      <c r="B185" s="153" t="s">
        <v>2592</v>
      </c>
      <c r="C185" s="30"/>
      <c r="D185" s="69"/>
    </row>
    <row r="186" spans="1:4" x14ac:dyDescent="0.3">
      <c r="A186" s="162" t="s">
        <v>2605</v>
      </c>
      <c r="B186" s="153" t="s">
        <v>2594</v>
      </c>
      <c r="C186" s="30"/>
      <c r="D186" s="69"/>
    </row>
    <row r="187" spans="1:4" x14ac:dyDescent="0.3">
      <c r="A187" s="162" t="s">
        <v>2606</v>
      </c>
      <c r="B187" s="153" t="s">
        <v>2596</v>
      </c>
      <c r="C187" s="30"/>
      <c r="D187" s="69"/>
    </row>
    <row r="188" spans="1:4" x14ac:dyDescent="0.3">
      <c r="A188" s="162"/>
      <c r="B188" s="153"/>
      <c r="C188" s="18"/>
      <c r="D188" s="69"/>
    </row>
    <row r="189" spans="1:4" ht="102" x14ac:dyDescent="0.3">
      <c r="A189" s="162" t="s">
        <v>2607</v>
      </c>
      <c r="B189" s="153" t="s">
        <v>2603</v>
      </c>
      <c r="C189" s="110"/>
      <c r="D189" s="69"/>
    </row>
    <row r="190" spans="1:4" ht="20.399999999999999" x14ac:dyDescent="0.3">
      <c r="A190" s="162" t="s">
        <v>2608</v>
      </c>
      <c r="B190" s="153" t="s">
        <v>2590</v>
      </c>
      <c r="C190" s="116"/>
      <c r="D190" s="69"/>
    </row>
    <row r="191" spans="1:4" x14ac:dyDescent="0.3">
      <c r="A191" s="162" t="s">
        <v>2610</v>
      </c>
      <c r="B191" s="153" t="s">
        <v>2592</v>
      </c>
      <c r="C191" s="30"/>
      <c r="D191" s="69"/>
    </row>
    <row r="192" spans="1:4" x14ac:dyDescent="0.3">
      <c r="A192" s="162" t="s">
        <v>2612</v>
      </c>
      <c r="B192" s="153" t="s">
        <v>2594</v>
      </c>
      <c r="C192" s="30"/>
      <c r="D192" s="69"/>
    </row>
    <row r="193" spans="1:4" x14ac:dyDescent="0.3">
      <c r="A193" s="162" t="s">
        <v>2615</v>
      </c>
      <c r="B193" s="153" t="s">
        <v>2596</v>
      </c>
      <c r="C193" s="30"/>
      <c r="D193" s="69"/>
    </row>
    <row r="194" spans="1:4" x14ac:dyDescent="0.3">
      <c r="A194" s="162"/>
      <c r="B194" s="153"/>
      <c r="C194" s="18"/>
      <c r="D194" s="69"/>
    </row>
    <row r="195" spans="1:4" x14ac:dyDescent="0.3">
      <c r="A195" s="162"/>
      <c r="B195" s="179" t="s">
        <v>5510</v>
      </c>
      <c r="C195" s="18"/>
      <c r="D195" s="69"/>
    </row>
    <row r="196" spans="1:4" x14ac:dyDescent="0.3">
      <c r="A196" s="162"/>
      <c r="B196" s="153"/>
      <c r="C196" s="18"/>
      <c r="D196" s="69"/>
    </row>
    <row r="197" spans="1:4" ht="30.6" x14ac:dyDescent="0.3">
      <c r="A197" s="162" t="s">
        <v>2617</v>
      </c>
      <c r="B197" s="153" t="s">
        <v>2609</v>
      </c>
      <c r="C197" s="110"/>
      <c r="D197" s="69"/>
    </row>
    <row r="198" spans="1:4" ht="30.6" x14ac:dyDescent="0.3">
      <c r="A198" s="162" t="s">
        <v>2620</v>
      </c>
      <c r="B198" s="153" t="s">
        <v>2611</v>
      </c>
      <c r="C198" s="110"/>
      <c r="D198" s="69"/>
    </row>
    <row r="199" spans="1:4" ht="30.6" x14ac:dyDescent="0.3">
      <c r="A199" s="162" t="s">
        <v>2622</v>
      </c>
      <c r="B199" s="153" t="s">
        <v>2613</v>
      </c>
      <c r="C199" s="110"/>
      <c r="D199" s="69"/>
    </row>
    <row r="200" spans="1:4" ht="20.399999999999999" x14ac:dyDescent="0.3">
      <c r="A200" s="162"/>
      <c r="B200" s="153" t="s">
        <v>2614</v>
      </c>
      <c r="C200" s="18"/>
      <c r="D200" s="69"/>
    </row>
    <row r="201" spans="1:4" ht="20.399999999999999" x14ac:dyDescent="0.3">
      <c r="A201" s="162" t="s">
        <v>2624</v>
      </c>
      <c r="B201" s="153" t="s">
        <v>2616</v>
      </c>
      <c r="C201" s="110"/>
      <c r="D201" s="69"/>
    </row>
    <row r="202" spans="1:4" x14ac:dyDescent="0.3">
      <c r="A202" s="162" t="s">
        <v>2626</v>
      </c>
      <c r="B202" s="153" t="s">
        <v>2618</v>
      </c>
      <c r="C202" s="110"/>
      <c r="D202" s="69"/>
    </row>
    <row r="203" spans="1:4" ht="61.2" x14ac:dyDescent="0.3">
      <c r="A203" s="162"/>
      <c r="B203" s="153" t="s">
        <v>2619</v>
      </c>
      <c r="C203" s="18"/>
      <c r="D203" s="69"/>
    </row>
    <row r="204" spans="1:4" ht="20.399999999999999" x14ac:dyDescent="0.3">
      <c r="A204" s="162" t="s">
        <v>2628</v>
      </c>
      <c r="B204" s="153" t="s">
        <v>2621</v>
      </c>
      <c r="C204" s="110"/>
      <c r="D204" s="69"/>
    </row>
    <row r="205" spans="1:4" ht="20.399999999999999" x14ac:dyDescent="0.3">
      <c r="A205" s="162" t="s">
        <v>2630</v>
      </c>
      <c r="B205" s="153" t="s">
        <v>2623</v>
      </c>
      <c r="C205" s="110"/>
      <c r="D205" s="69"/>
    </row>
    <row r="206" spans="1:4" x14ac:dyDescent="0.3">
      <c r="A206" s="162"/>
      <c r="B206" s="153"/>
      <c r="C206" s="18"/>
      <c r="D206" s="69"/>
    </row>
    <row r="207" spans="1:4" ht="30.6" x14ac:dyDescent="0.3">
      <c r="A207" s="162"/>
      <c r="B207" s="179" t="s">
        <v>5511</v>
      </c>
      <c r="C207" s="160"/>
      <c r="D207" s="149"/>
    </row>
    <row r="208" spans="1:4" x14ac:dyDescent="0.3">
      <c r="A208" s="162"/>
      <c r="B208" s="153"/>
      <c r="C208" s="160"/>
      <c r="D208" s="149"/>
    </row>
    <row r="209" spans="1:4" ht="40.799999999999997" x14ac:dyDescent="0.3">
      <c r="A209" s="162" t="s">
        <v>2632</v>
      </c>
      <c r="B209" s="153" t="s">
        <v>5512</v>
      </c>
      <c r="C209" s="110"/>
      <c r="D209" s="149"/>
    </row>
    <row r="210" spans="1:4" x14ac:dyDescent="0.3">
      <c r="A210" s="162" t="s">
        <v>2634</v>
      </c>
      <c r="B210" s="153" t="s">
        <v>2465</v>
      </c>
      <c r="C210" s="203"/>
      <c r="D210" s="149"/>
    </row>
    <row r="211" spans="1:4" x14ac:dyDescent="0.3">
      <c r="A211" s="162"/>
      <c r="B211" s="153"/>
      <c r="C211" s="160"/>
      <c r="D211" s="149"/>
    </row>
    <row r="212" spans="1:4" ht="30.6" x14ac:dyDescent="0.3">
      <c r="A212" s="162" t="s">
        <v>2635</v>
      </c>
      <c r="B212" s="153" t="s">
        <v>5513</v>
      </c>
      <c r="C212" s="110"/>
      <c r="D212" s="149"/>
    </row>
    <row r="213" spans="1:4" ht="30.6" x14ac:dyDescent="0.3">
      <c r="A213" s="162" t="s">
        <v>2636</v>
      </c>
      <c r="B213" s="153" t="s">
        <v>5750</v>
      </c>
      <c r="C213" s="203"/>
      <c r="D213" s="149"/>
    </row>
    <row r="214" spans="1:4" x14ac:dyDescent="0.3">
      <c r="A214" s="162" t="s">
        <v>2637</v>
      </c>
      <c r="B214" s="153" t="s">
        <v>2465</v>
      </c>
      <c r="C214" s="203"/>
      <c r="D214" s="149"/>
    </row>
    <row r="215" spans="1:4" x14ac:dyDescent="0.3">
      <c r="A215" s="162"/>
      <c r="B215" s="153"/>
      <c r="C215" s="160"/>
      <c r="D215" s="149"/>
    </row>
    <row r="216" spans="1:4" ht="40.799999999999997" x14ac:dyDescent="0.3">
      <c r="A216" s="162" t="s">
        <v>2638</v>
      </c>
      <c r="B216" s="153" t="s">
        <v>5514</v>
      </c>
      <c r="C216" s="110"/>
      <c r="D216" s="149"/>
    </row>
    <row r="217" spans="1:4" x14ac:dyDescent="0.3">
      <c r="A217" s="162" t="s">
        <v>2641</v>
      </c>
      <c r="B217" s="153" t="s">
        <v>2465</v>
      </c>
      <c r="C217" s="203"/>
      <c r="D217" s="149"/>
    </row>
    <row r="218" spans="1:4" x14ac:dyDescent="0.3">
      <c r="A218" s="162"/>
      <c r="B218" s="153"/>
      <c r="C218" s="160"/>
      <c r="D218" s="149"/>
    </row>
    <row r="219" spans="1:4" ht="51" x14ac:dyDescent="0.3">
      <c r="A219" s="162"/>
      <c r="B219" s="179" t="s">
        <v>5515</v>
      </c>
      <c r="C219" s="18"/>
      <c r="D219" s="69"/>
    </row>
    <row r="220" spans="1:4" x14ac:dyDescent="0.3">
      <c r="A220" s="162"/>
      <c r="B220" s="153"/>
      <c r="C220" s="18"/>
      <c r="D220" s="69"/>
    </row>
    <row r="221" spans="1:4" ht="71.400000000000006" x14ac:dyDescent="0.3">
      <c r="A221" s="162" t="s">
        <v>2643</v>
      </c>
      <c r="B221" s="153" t="s">
        <v>5516</v>
      </c>
      <c r="C221" s="110"/>
      <c r="D221" s="69"/>
    </row>
    <row r="222" spans="1:4" x14ac:dyDescent="0.3">
      <c r="A222" s="162"/>
      <c r="B222" s="153"/>
      <c r="C222" s="18"/>
      <c r="D222" s="69"/>
    </row>
    <row r="223" spans="1:4" ht="20.399999999999999" x14ac:dyDescent="0.3">
      <c r="A223" s="162"/>
      <c r="B223" s="153" t="s">
        <v>2625</v>
      </c>
      <c r="C223" s="18"/>
      <c r="D223" s="69"/>
    </row>
    <row r="224" spans="1:4" x14ac:dyDescent="0.3">
      <c r="A224" s="162"/>
      <c r="B224" s="153"/>
      <c r="C224" s="18"/>
      <c r="D224" s="69"/>
    </row>
    <row r="225" spans="1:4" x14ac:dyDescent="0.3">
      <c r="A225" s="162" t="s">
        <v>2644</v>
      </c>
      <c r="B225" s="153" t="s">
        <v>889</v>
      </c>
      <c r="C225" s="68">
        <f>IF(Generales!C57="SI",'ANEXO 2'!C7,0)</f>
        <v>0</v>
      </c>
      <c r="D225" s="69"/>
    </row>
    <row r="226" spans="1:4" x14ac:dyDescent="0.3">
      <c r="A226" s="162"/>
      <c r="B226" s="153"/>
      <c r="C226" s="18"/>
      <c r="D226" s="69"/>
    </row>
    <row r="227" spans="1:4" x14ac:dyDescent="0.3">
      <c r="A227" s="162"/>
      <c r="B227" s="153" t="s">
        <v>2627</v>
      </c>
      <c r="C227" s="18"/>
      <c r="D227" s="69"/>
    </row>
    <row r="228" spans="1:4" x14ac:dyDescent="0.3">
      <c r="A228" s="162" t="s">
        <v>2645</v>
      </c>
      <c r="B228" s="153" t="s">
        <v>2629</v>
      </c>
      <c r="C228" s="193">
        <f>IF(Generales!C57="SI",'ANEXO 5'!C30+'ANEXO 5'!C31,0)</f>
        <v>0</v>
      </c>
      <c r="D228" s="69"/>
    </row>
    <row r="229" spans="1:4" x14ac:dyDescent="0.3">
      <c r="A229" s="162" t="s">
        <v>2647</v>
      </c>
      <c r="B229" s="153" t="s">
        <v>2631</v>
      </c>
      <c r="C229" s="193">
        <f>IF(Generales!C57="SI",'ANEXO 5'!C32,0)</f>
        <v>0</v>
      </c>
      <c r="D229" s="69"/>
    </row>
    <row r="230" spans="1:4" x14ac:dyDescent="0.3">
      <c r="A230" s="162" t="s">
        <v>2649</v>
      </c>
      <c r="B230" s="153" t="s">
        <v>2633</v>
      </c>
      <c r="C230" s="193">
        <f>IF(Generales!C57="SI",'ANEXO 5'!C34+'ANEXO 5'!C35,0)</f>
        <v>0</v>
      </c>
      <c r="D230" s="69"/>
    </row>
    <row r="231" spans="1:4" x14ac:dyDescent="0.3">
      <c r="A231" s="162" t="s">
        <v>2650</v>
      </c>
      <c r="B231" s="153" t="s">
        <v>1246</v>
      </c>
      <c r="C231" s="193">
        <f>IF(Generales!C57="SI",'ANEXO 5'!C29,0)</f>
        <v>0</v>
      </c>
      <c r="D231" s="69"/>
    </row>
    <row r="232" spans="1:4" x14ac:dyDescent="0.3">
      <c r="A232" s="162" t="s">
        <v>2653</v>
      </c>
      <c r="B232" s="153" t="s">
        <v>2405</v>
      </c>
      <c r="C232" s="116"/>
      <c r="D232" s="69"/>
    </row>
    <row r="233" spans="1:4" x14ac:dyDescent="0.3">
      <c r="A233" s="162" t="s">
        <v>2655</v>
      </c>
      <c r="B233" s="153" t="s">
        <v>1238</v>
      </c>
      <c r="C233" s="193">
        <f>IF(Generales!C57="SI",'ANEXO 5'!C25,0)</f>
        <v>0</v>
      </c>
      <c r="D233" s="69"/>
    </row>
    <row r="234" spans="1:4" x14ac:dyDescent="0.3">
      <c r="A234" s="162" t="s">
        <v>2657</v>
      </c>
      <c r="B234" s="153" t="s">
        <v>638</v>
      </c>
      <c r="C234" s="52"/>
      <c r="D234" s="69"/>
    </row>
    <row r="235" spans="1:4" x14ac:dyDescent="0.3">
      <c r="A235" s="162" t="s">
        <v>2660</v>
      </c>
      <c r="B235" s="153" t="s">
        <v>2639</v>
      </c>
      <c r="C235" s="54">
        <f>TRUNC(SUM(C228:C234),0)</f>
        <v>0</v>
      </c>
      <c r="D235" s="69"/>
    </row>
    <row r="236" spans="1:4" x14ac:dyDescent="0.3">
      <c r="A236" s="162"/>
      <c r="B236" s="153"/>
      <c r="C236" s="18"/>
      <c r="D236" s="69"/>
    </row>
    <row r="237" spans="1:4" x14ac:dyDescent="0.3">
      <c r="A237" s="162"/>
      <c r="B237" s="153" t="s">
        <v>2640</v>
      </c>
      <c r="C237" s="18"/>
      <c r="D237" s="69"/>
    </row>
    <row r="238" spans="1:4" ht="20.399999999999999" x14ac:dyDescent="0.3">
      <c r="A238" s="162" t="s">
        <v>2662</v>
      </c>
      <c r="B238" s="153" t="s">
        <v>2642</v>
      </c>
      <c r="C238" s="54">
        <f>TRUNC(C225-C235,0)</f>
        <v>0</v>
      </c>
      <c r="D238" s="69"/>
    </row>
    <row r="239" spans="1:4" x14ac:dyDescent="0.3">
      <c r="A239" s="162" t="s">
        <v>2664</v>
      </c>
      <c r="B239" s="153" t="s">
        <v>892</v>
      </c>
      <c r="C239" s="192">
        <f>IF(Generales!C57="SI",'ANEXO 2'!C11,0)</f>
        <v>0</v>
      </c>
      <c r="D239" s="69"/>
    </row>
    <row r="240" spans="1:4" x14ac:dyDescent="0.3">
      <c r="A240" s="162" t="s">
        <v>2666</v>
      </c>
      <c r="B240" s="153" t="s">
        <v>897</v>
      </c>
      <c r="C240" s="192">
        <f>IF(Generales!C57="SI",'ANEXO 2'!C23,0)</f>
        <v>0</v>
      </c>
      <c r="D240" s="69"/>
    </row>
    <row r="241" spans="1:4" x14ac:dyDescent="0.3">
      <c r="A241" s="162"/>
      <c r="B241" s="153"/>
      <c r="C241" s="18"/>
      <c r="D241" s="69"/>
    </row>
    <row r="242" spans="1:4" x14ac:dyDescent="0.3">
      <c r="A242" s="162"/>
      <c r="B242" s="153" t="s">
        <v>2627</v>
      </c>
      <c r="C242" s="18"/>
      <c r="D242" s="69"/>
    </row>
    <row r="243" spans="1:4" x14ac:dyDescent="0.3">
      <c r="A243" s="162" t="s">
        <v>2668</v>
      </c>
      <c r="B243" s="153" t="s">
        <v>2646</v>
      </c>
      <c r="C243" s="52"/>
      <c r="D243" s="69"/>
    </row>
    <row r="244" spans="1:4" x14ac:dyDescent="0.3">
      <c r="A244" s="162"/>
      <c r="B244" s="153"/>
      <c r="C244" s="18"/>
      <c r="D244" s="69"/>
    </row>
    <row r="245" spans="1:4" x14ac:dyDescent="0.3">
      <c r="A245" s="162"/>
      <c r="B245" s="153" t="s">
        <v>2640</v>
      </c>
      <c r="C245" s="18"/>
      <c r="D245" s="69"/>
    </row>
    <row r="246" spans="1:4" ht="20.399999999999999" x14ac:dyDescent="0.3">
      <c r="A246" s="162" t="s">
        <v>2670</v>
      </c>
      <c r="B246" s="153" t="s">
        <v>2648</v>
      </c>
      <c r="C246" s="54">
        <f>TRUNC(C240-C243,0)</f>
        <v>0</v>
      </c>
      <c r="D246" s="69"/>
    </row>
    <row r="247" spans="1:4" x14ac:dyDescent="0.3">
      <c r="A247" s="162"/>
      <c r="B247" s="153"/>
      <c r="C247" s="20"/>
      <c r="D247" s="69"/>
    </row>
    <row r="248" spans="1:4" ht="40.799999999999997" x14ac:dyDescent="0.3">
      <c r="A248" s="162" t="s">
        <v>2671</v>
      </c>
      <c r="B248" s="153" t="s">
        <v>5517</v>
      </c>
      <c r="C248" s="54">
        <f>TRUNC(C238-C239-C246,0)</f>
        <v>0</v>
      </c>
      <c r="D248" s="69"/>
    </row>
    <row r="249" spans="1:4" x14ac:dyDescent="0.3">
      <c r="A249" s="162"/>
      <c r="B249" s="153"/>
      <c r="C249" s="18"/>
      <c r="D249" s="69"/>
    </row>
    <row r="250" spans="1:4" x14ac:dyDescent="0.3">
      <c r="A250" s="200"/>
      <c r="B250" s="201"/>
      <c r="C250" s="202"/>
      <c r="D250" s="69"/>
    </row>
    <row r="251" spans="1:4" x14ac:dyDescent="0.3">
      <c r="A251" s="162"/>
      <c r="B251" s="153"/>
      <c r="C251" s="18"/>
      <c r="D251" s="69"/>
    </row>
    <row r="252" spans="1:4" ht="20.399999999999999" x14ac:dyDescent="0.3">
      <c r="A252" s="162" t="s">
        <v>2673</v>
      </c>
      <c r="B252" s="153" t="s">
        <v>2651</v>
      </c>
      <c r="C252" s="199"/>
      <c r="D252" s="69"/>
    </row>
    <row r="253" spans="1:4" x14ac:dyDescent="0.3">
      <c r="A253" s="162"/>
      <c r="B253" s="153"/>
      <c r="C253" s="18"/>
      <c r="D253" s="69"/>
    </row>
    <row r="254" spans="1:4" ht="20.399999999999999" x14ac:dyDescent="0.3">
      <c r="A254" s="162"/>
      <c r="B254" s="153" t="s">
        <v>2652</v>
      </c>
      <c r="C254" s="18"/>
      <c r="D254" s="69"/>
    </row>
    <row r="255" spans="1:4" x14ac:dyDescent="0.3">
      <c r="A255" s="162"/>
      <c r="B255" s="153"/>
      <c r="C255" s="18"/>
      <c r="D255" s="69"/>
    </row>
    <row r="256" spans="1:4" ht="40.799999999999997" x14ac:dyDescent="0.3">
      <c r="A256" s="162" t="s">
        <v>2674</v>
      </c>
      <c r="B256" s="153" t="s">
        <v>2654</v>
      </c>
      <c r="C256" s="110"/>
      <c r="D256" s="69"/>
    </row>
    <row r="257" spans="1:4" ht="20.399999999999999" x14ac:dyDescent="0.3">
      <c r="A257" s="162" t="s">
        <v>2675</v>
      </c>
      <c r="B257" s="153" t="s">
        <v>2656</v>
      </c>
      <c r="C257" s="110"/>
      <c r="D257" s="69"/>
    </row>
    <row r="258" spans="1:4" ht="51" x14ac:dyDescent="0.3">
      <c r="A258" s="162" t="s">
        <v>2677</v>
      </c>
      <c r="B258" s="153" t="s">
        <v>2658</v>
      </c>
      <c r="C258" s="110"/>
      <c r="D258" s="69"/>
    </row>
    <row r="259" spans="1:4" x14ac:dyDescent="0.3">
      <c r="A259" s="162"/>
      <c r="B259" s="153"/>
      <c r="C259" s="18"/>
      <c r="D259" s="69"/>
    </row>
    <row r="260" spans="1:4" ht="20.399999999999999" x14ac:dyDescent="0.3">
      <c r="A260" s="162"/>
      <c r="B260" s="179" t="s">
        <v>2659</v>
      </c>
      <c r="C260" s="18"/>
      <c r="D260" s="69"/>
    </row>
    <row r="261" spans="1:4" x14ac:dyDescent="0.3">
      <c r="A261" s="162"/>
      <c r="B261" s="153"/>
      <c r="C261" s="18"/>
      <c r="D261" s="69"/>
    </row>
    <row r="262" spans="1:4" x14ac:dyDescent="0.3">
      <c r="A262" s="162" t="s">
        <v>2681</v>
      </c>
      <c r="B262" s="153" t="s">
        <v>2661</v>
      </c>
      <c r="C262" s="110"/>
      <c r="D262" s="69"/>
    </row>
    <row r="263" spans="1:4" ht="20.399999999999999" x14ac:dyDescent="0.3">
      <c r="A263" s="162" t="s">
        <v>2683</v>
      </c>
      <c r="B263" s="153" t="s">
        <v>2663</v>
      </c>
      <c r="C263" s="110"/>
      <c r="D263" s="69"/>
    </row>
    <row r="264" spans="1:4" ht="20.399999999999999" x14ac:dyDescent="0.3">
      <c r="A264" s="162" t="s">
        <v>2684</v>
      </c>
      <c r="B264" s="153" t="s">
        <v>2665</v>
      </c>
      <c r="C264" s="110"/>
      <c r="D264" s="69"/>
    </row>
    <row r="265" spans="1:4" x14ac:dyDescent="0.3">
      <c r="A265" s="162"/>
      <c r="B265" s="153"/>
      <c r="C265" s="18"/>
      <c r="D265" s="69"/>
    </row>
    <row r="266" spans="1:4" ht="40.799999999999997" x14ac:dyDescent="0.3">
      <c r="A266" s="162" t="s">
        <v>2686</v>
      </c>
      <c r="B266" s="153" t="s">
        <v>2667</v>
      </c>
      <c r="C266" s="109"/>
      <c r="D266" s="69"/>
    </row>
    <row r="267" spans="1:4" ht="30.6" x14ac:dyDescent="0.3">
      <c r="A267" s="162" t="s">
        <v>2687</v>
      </c>
      <c r="B267" s="153" t="s">
        <v>2669</v>
      </c>
      <c r="C267" s="109"/>
      <c r="D267" s="69"/>
    </row>
    <row r="268" spans="1:4" ht="20.399999999999999" x14ac:dyDescent="0.3">
      <c r="A268" s="162" t="s">
        <v>2688</v>
      </c>
      <c r="B268" s="153" t="s">
        <v>5751</v>
      </c>
      <c r="C268" s="110"/>
      <c r="D268" s="69"/>
    </row>
    <row r="269" spans="1:4" ht="30.6" x14ac:dyDescent="0.3">
      <c r="A269" s="162" t="s">
        <v>5518</v>
      </c>
      <c r="B269" s="153" t="s">
        <v>2672</v>
      </c>
      <c r="C269" s="116"/>
      <c r="D269" s="69"/>
    </row>
    <row r="270" spans="1:4" x14ac:dyDescent="0.3">
      <c r="A270" s="162"/>
      <c r="B270" s="153"/>
      <c r="C270" s="18"/>
      <c r="D270" s="69"/>
    </row>
    <row r="271" spans="1:4" ht="51" x14ac:dyDescent="0.3">
      <c r="A271" s="162" t="s">
        <v>5519</v>
      </c>
      <c r="B271" s="153" t="s">
        <v>5520</v>
      </c>
      <c r="C271" s="116"/>
      <c r="D271" s="69"/>
    </row>
    <row r="272" spans="1:4" x14ac:dyDescent="0.3">
      <c r="A272" s="162"/>
      <c r="B272" s="153"/>
      <c r="C272" s="18"/>
      <c r="D272" s="69"/>
    </row>
    <row r="273" spans="1:4" ht="51" x14ac:dyDescent="0.3">
      <c r="A273" s="162" t="s">
        <v>5521</v>
      </c>
      <c r="B273" s="153" t="s">
        <v>5752</v>
      </c>
      <c r="C273" s="110"/>
      <c r="D273" s="69"/>
    </row>
    <row r="274" spans="1:4" x14ac:dyDescent="0.3">
      <c r="A274" s="162" t="s">
        <v>5522</v>
      </c>
      <c r="B274" s="153" t="s">
        <v>2676</v>
      </c>
      <c r="C274" s="116"/>
      <c r="D274" s="69"/>
    </row>
    <row r="275" spans="1:4" x14ac:dyDescent="0.3">
      <c r="A275" s="162"/>
      <c r="B275" s="153"/>
      <c r="C275" s="18"/>
      <c r="D275" s="69"/>
    </row>
    <row r="276" spans="1:4" ht="30.6" x14ac:dyDescent="0.3">
      <c r="A276" s="162" t="s">
        <v>5523</v>
      </c>
      <c r="B276" s="153" t="s">
        <v>2678</v>
      </c>
      <c r="C276" s="110"/>
      <c r="D276" s="69"/>
    </row>
    <row r="277" spans="1:4" x14ac:dyDescent="0.3">
      <c r="A277" s="162"/>
      <c r="B277" s="153"/>
      <c r="C277" s="18"/>
      <c r="D277" s="69"/>
    </row>
    <row r="278" spans="1:4" ht="20.399999999999999" x14ac:dyDescent="0.3">
      <c r="A278" s="162"/>
      <c r="B278" s="179" t="s">
        <v>2679</v>
      </c>
      <c r="C278" s="18"/>
      <c r="D278" s="69"/>
    </row>
    <row r="279" spans="1:4" x14ac:dyDescent="0.3">
      <c r="A279" s="162"/>
      <c r="B279" s="153"/>
      <c r="C279" s="18"/>
      <c r="D279" s="69"/>
    </row>
    <row r="280" spans="1:4" ht="30.6" x14ac:dyDescent="0.3">
      <c r="A280" s="162"/>
      <c r="B280" s="153" t="s">
        <v>2680</v>
      </c>
      <c r="C280" s="18"/>
      <c r="D280" s="69"/>
    </row>
    <row r="281" spans="1:4" x14ac:dyDescent="0.3">
      <c r="A281" s="162"/>
      <c r="B281" s="153"/>
      <c r="C281" s="18"/>
      <c r="D281" s="69"/>
    </row>
    <row r="282" spans="1:4" ht="20.399999999999999" x14ac:dyDescent="0.3">
      <c r="A282" s="162" t="s">
        <v>5524</v>
      </c>
      <c r="B282" s="153" t="s">
        <v>2682</v>
      </c>
      <c r="C282" s="116"/>
      <c r="D282" s="69"/>
    </row>
    <row r="283" spans="1:4" ht="30.6" x14ac:dyDescent="0.3">
      <c r="A283" s="162" t="s">
        <v>5525</v>
      </c>
      <c r="B283" s="153" t="s">
        <v>5526</v>
      </c>
      <c r="C283" s="116"/>
      <c r="D283" s="69"/>
    </row>
    <row r="284" spans="1:4" ht="30.6" x14ac:dyDescent="0.3">
      <c r="A284" s="162" t="s">
        <v>5527</v>
      </c>
      <c r="B284" s="153" t="s">
        <v>2685</v>
      </c>
      <c r="C284" s="116"/>
      <c r="D284" s="69"/>
    </row>
    <row r="285" spans="1:4" ht="20.399999999999999" x14ac:dyDescent="0.3">
      <c r="A285" s="162" t="s">
        <v>5528</v>
      </c>
      <c r="B285" s="153" t="s">
        <v>5529</v>
      </c>
      <c r="C285" s="116"/>
      <c r="D285" s="69"/>
    </row>
    <row r="286" spans="1:4" ht="30.6" x14ac:dyDescent="0.3">
      <c r="A286" s="162" t="s">
        <v>5530</v>
      </c>
      <c r="B286" s="153" t="s">
        <v>5531</v>
      </c>
      <c r="C286" s="116"/>
      <c r="D286" s="69"/>
    </row>
    <row r="287" spans="1:4" ht="20.399999999999999" x14ac:dyDescent="0.3">
      <c r="A287" s="162" t="s">
        <v>5532</v>
      </c>
      <c r="B287" s="153" t="s">
        <v>5533</v>
      </c>
      <c r="C287" s="116"/>
      <c r="D287" s="69"/>
    </row>
    <row r="288" spans="1:4" x14ac:dyDescent="0.3">
      <c r="A288" s="163"/>
      <c r="B288" s="160"/>
      <c r="C288" s="18"/>
      <c r="D288" s="69"/>
    </row>
    <row r="289" spans="1:4" ht="8.1" customHeight="1" x14ac:dyDescent="0.3">
      <c r="A289" s="70" t="s">
        <v>0</v>
      </c>
      <c r="B289" s="152"/>
      <c r="C289" s="70"/>
      <c r="D289" s="69"/>
    </row>
  </sheetData>
  <sheetProtection password="C9D6" sheet="1" objects="1" scenarios="1"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xr:uid="{00000000-0002-0000-1700-00000000000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xr:uid="{00000000-0002-0000-1700-000001000000}">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xr:uid="{00000000-0002-0000-1700-000002000000}">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xr:uid="{00000000-0002-0000-1700-000003000000}">
      <formula1>CATALOGCOLUMNFILTERED7</formula1>
    </dataValidation>
  </dataValidation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G76"/>
  <sheetViews>
    <sheetView workbookViewId="0"/>
  </sheetViews>
  <sheetFormatPr defaultColWidth="11.5546875" defaultRowHeight="14.4" x14ac:dyDescent="0.3"/>
  <cols>
    <col min="1" max="1" width="14.33203125" style="107" customWidth="1"/>
    <col min="2" max="2" width="35.6640625" style="107" customWidth="1"/>
    <col min="3" max="6" width="18.6640625" style="107" customWidth="1"/>
    <col min="7" max="7" width="1.6640625" style="107" customWidth="1"/>
    <col min="8" max="16384" width="11.5546875" style="107"/>
  </cols>
  <sheetData>
    <row r="1" spans="1:7" ht="62.4" x14ac:dyDescent="0.3">
      <c r="A1" s="42" t="s">
        <v>0</v>
      </c>
      <c r="B1" s="122" t="s">
        <v>5688</v>
      </c>
      <c r="C1" s="42"/>
      <c r="D1" s="42"/>
      <c r="E1" s="42" t="s">
        <v>0</v>
      </c>
      <c r="F1" s="42" t="s">
        <v>0</v>
      </c>
      <c r="G1" s="69" t="s">
        <v>0</v>
      </c>
    </row>
    <row r="2" spans="1:7" ht="61.2" x14ac:dyDescent="0.3">
      <c r="A2" s="44" t="s">
        <v>5597</v>
      </c>
      <c r="B2" s="44" t="s">
        <v>5598</v>
      </c>
      <c r="C2" s="44" t="s">
        <v>2830</v>
      </c>
      <c r="D2" s="44" t="s">
        <v>2831</v>
      </c>
      <c r="E2" s="44" t="s">
        <v>2832</v>
      </c>
      <c r="F2" s="44" t="s">
        <v>2833</v>
      </c>
      <c r="G2" s="69" t="s">
        <v>0</v>
      </c>
    </row>
    <row r="3" spans="1:7" x14ac:dyDescent="0.3">
      <c r="A3" s="163"/>
      <c r="B3" s="46" t="s">
        <v>0</v>
      </c>
      <c r="C3" s="51"/>
      <c r="D3" s="51"/>
      <c r="E3" s="51"/>
      <c r="F3" s="51"/>
      <c r="G3" s="69"/>
    </row>
    <row r="4" spans="1:7" x14ac:dyDescent="0.3">
      <c r="A4" s="163"/>
      <c r="B4" s="51" t="s">
        <v>5626</v>
      </c>
      <c r="C4" s="49"/>
      <c r="D4" s="49"/>
      <c r="E4" s="49"/>
      <c r="F4" s="49"/>
      <c r="G4" s="69"/>
    </row>
    <row r="5" spans="1:7" x14ac:dyDescent="0.3">
      <c r="A5" s="163"/>
      <c r="B5" s="47" t="s">
        <v>0</v>
      </c>
      <c r="C5" s="49"/>
      <c r="D5" s="49"/>
      <c r="E5" s="49"/>
      <c r="F5" s="49"/>
      <c r="G5" s="69"/>
    </row>
    <row r="6" spans="1:7" ht="42" x14ac:dyDescent="0.3">
      <c r="A6" s="163"/>
      <c r="B6" s="71" t="s">
        <v>5648</v>
      </c>
      <c r="C6" s="53"/>
      <c r="D6" s="46"/>
      <c r="E6" s="46"/>
      <c r="F6" s="46"/>
      <c r="G6" s="69"/>
    </row>
    <row r="7" spans="1:7" x14ac:dyDescent="0.3">
      <c r="A7" s="163"/>
      <c r="B7" s="160"/>
      <c r="C7" s="46"/>
      <c r="D7" s="46"/>
      <c r="E7" s="46"/>
      <c r="F7" s="46"/>
      <c r="G7" s="69"/>
    </row>
    <row r="8" spans="1:7" ht="20.399999999999999" x14ac:dyDescent="0.3">
      <c r="A8" s="162" t="s">
        <v>2834</v>
      </c>
      <c r="B8" s="153" t="s">
        <v>2835</v>
      </c>
      <c r="C8" s="117"/>
      <c r="D8" s="117"/>
      <c r="E8" s="117"/>
      <c r="F8" s="117"/>
      <c r="G8" s="69"/>
    </row>
    <row r="9" spans="1:7" x14ac:dyDescent="0.3">
      <c r="A9" s="162"/>
      <c r="B9" s="153"/>
      <c r="C9" s="46"/>
      <c r="D9" s="46"/>
      <c r="E9" s="46"/>
      <c r="F9" s="46"/>
      <c r="G9" s="69"/>
    </row>
    <row r="10" spans="1:7" x14ac:dyDescent="0.3">
      <c r="A10" s="162" t="s">
        <v>2836</v>
      </c>
      <c r="B10" s="153" t="s">
        <v>2837</v>
      </c>
      <c r="C10" s="116">
        <f>C8*0.25</f>
        <v>0</v>
      </c>
      <c r="D10" s="116">
        <f>D8*0.25</f>
        <v>0</v>
      </c>
      <c r="E10" s="116">
        <f>E8*0.25</f>
        <v>0</v>
      </c>
      <c r="F10" s="116">
        <f>F8*0.25</f>
        <v>0</v>
      </c>
      <c r="G10" s="69"/>
    </row>
    <row r="11" spans="1:7" x14ac:dyDescent="0.3">
      <c r="A11" s="162"/>
      <c r="B11" s="153"/>
      <c r="C11" s="46"/>
      <c r="D11" s="46"/>
      <c r="E11" s="46"/>
      <c r="F11" s="46"/>
      <c r="G11" s="69"/>
    </row>
    <row r="12" spans="1:7" ht="20.399999999999999" x14ac:dyDescent="0.3">
      <c r="A12" s="162" t="s">
        <v>2838</v>
      </c>
      <c r="B12" s="153" t="s">
        <v>2839</v>
      </c>
      <c r="C12" s="193">
        <f>IF(Generales!C98="SI",5,0)</f>
        <v>0</v>
      </c>
      <c r="D12" s="193">
        <f>IF(Generales!C98="SI",5,0)</f>
        <v>0</v>
      </c>
      <c r="E12" s="193">
        <f>IF(Generales!C98="SI",5,0)</f>
        <v>0</v>
      </c>
      <c r="F12" s="193">
        <f>IF(Generales!C98="SI",5,0)</f>
        <v>0</v>
      </c>
      <c r="G12" s="69"/>
    </row>
    <row r="13" spans="1:7" x14ac:dyDescent="0.3">
      <c r="A13" s="162"/>
      <c r="B13" s="153"/>
      <c r="C13" s="46"/>
      <c r="D13" s="46"/>
      <c r="E13" s="46"/>
      <c r="F13" s="46"/>
      <c r="G13" s="69"/>
    </row>
    <row r="14" spans="1:7" ht="20.399999999999999" x14ac:dyDescent="0.3">
      <c r="A14" s="162" t="s">
        <v>2840</v>
      </c>
      <c r="B14" s="153" t="s">
        <v>5755</v>
      </c>
      <c r="C14" s="116">
        <f>C8-C10</f>
        <v>0</v>
      </c>
      <c r="D14" s="116">
        <f>D8-D10</f>
        <v>0</v>
      </c>
      <c r="E14" s="116">
        <f>E8-E10</f>
        <v>0</v>
      </c>
      <c r="F14" s="116">
        <f>F8-F10</f>
        <v>0</v>
      </c>
      <c r="G14" s="69"/>
    </row>
    <row r="15" spans="1:7" x14ac:dyDescent="0.3">
      <c r="A15" s="162"/>
      <c r="B15" s="153"/>
      <c r="C15" s="46"/>
      <c r="D15" s="46"/>
      <c r="E15" s="46"/>
      <c r="F15" s="46"/>
      <c r="G15" s="69"/>
    </row>
    <row r="16" spans="1:7" x14ac:dyDescent="0.3">
      <c r="A16" s="162" t="s">
        <v>2841</v>
      </c>
      <c r="B16" s="153" t="s">
        <v>2842</v>
      </c>
      <c r="C16" s="116">
        <f>C8*0.25</f>
        <v>0</v>
      </c>
      <c r="D16" s="116">
        <f>D8*0.25</f>
        <v>0</v>
      </c>
      <c r="E16" s="116">
        <f>E8*0.25</f>
        <v>0</v>
      </c>
      <c r="F16" s="116">
        <f>F8*0.25</f>
        <v>0</v>
      </c>
      <c r="G16" s="69"/>
    </row>
    <row r="17" spans="1:7" x14ac:dyDescent="0.3">
      <c r="A17" s="162"/>
      <c r="B17" s="153" t="s">
        <v>2843</v>
      </c>
      <c r="C17" s="46"/>
      <c r="D17" s="46"/>
      <c r="E17" s="46"/>
      <c r="F17" s="46"/>
      <c r="G17" s="69"/>
    </row>
    <row r="18" spans="1:7" x14ac:dyDescent="0.3">
      <c r="A18" s="162" t="s">
        <v>2844</v>
      </c>
      <c r="B18" s="153" t="s">
        <v>2845</v>
      </c>
      <c r="C18" s="93"/>
      <c r="D18" s="93"/>
      <c r="E18" s="93"/>
      <c r="F18" s="93"/>
      <c r="G18" s="69"/>
    </row>
    <row r="19" spans="1:7" ht="20.399999999999999" x14ac:dyDescent="0.3">
      <c r="A19" s="162" t="s">
        <v>2846</v>
      </c>
      <c r="B19" s="153" t="s">
        <v>2847</v>
      </c>
      <c r="C19" s="116">
        <f>C16*C18</f>
        <v>0</v>
      </c>
      <c r="D19" s="116">
        <f>D16*D18</f>
        <v>0</v>
      </c>
      <c r="E19" s="116">
        <f>E16*E18</f>
        <v>0</v>
      </c>
      <c r="F19" s="116">
        <f>F16*F18</f>
        <v>0</v>
      </c>
      <c r="G19" s="69"/>
    </row>
    <row r="20" spans="1:7" x14ac:dyDescent="0.3">
      <c r="A20" s="162"/>
      <c r="B20" s="153"/>
      <c r="C20" s="46"/>
      <c r="D20" s="46"/>
      <c r="E20" s="46"/>
      <c r="F20" s="46"/>
      <c r="G20" s="69"/>
    </row>
    <row r="21" spans="1:7" x14ac:dyDescent="0.3">
      <c r="A21" s="162" t="s">
        <v>2848</v>
      </c>
      <c r="B21" s="153" t="s">
        <v>2849</v>
      </c>
      <c r="C21" s="117">
        <f>C8*0.2</f>
        <v>0</v>
      </c>
      <c r="D21" s="117">
        <f>D8*0.2</f>
        <v>0</v>
      </c>
      <c r="E21" s="117">
        <f>E8*0.2</f>
        <v>0</v>
      </c>
      <c r="F21" s="117">
        <f>F8*0.2</f>
        <v>0</v>
      </c>
      <c r="G21" s="69"/>
    </row>
    <row r="22" spans="1:7" x14ac:dyDescent="0.3">
      <c r="A22" s="162"/>
      <c r="B22" s="153" t="s">
        <v>2843</v>
      </c>
      <c r="C22" s="53"/>
      <c r="D22" s="53"/>
      <c r="E22" s="53"/>
      <c r="F22" s="53"/>
      <c r="G22" s="69"/>
    </row>
    <row r="23" spans="1:7" x14ac:dyDescent="0.3">
      <c r="A23" s="162" t="s">
        <v>2850</v>
      </c>
      <c r="B23" s="153" t="s">
        <v>2845</v>
      </c>
      <c r="C23" s="90"/>
      <c r="D23" s="90"/>
      <c r="E23" s="90"/>
      <c r="F23" s="90"/>
      <c r="G23" s="69"/>
    </row>
    <row r="24" spans="1:7" x14ac:dyDescent="0.3">
      <c r="A24" s="162" t="s">
        <v>2851</v>
      </c>
      <c r="B24" s="153" t="s">
        <v>2852</v>
      </c>
      <c r="C24" s="117">
        <f>C21*C23</f>
        <v>0</v>
      </c>
      <c r="D24" s="117">
        <f>D21*D23</f>
        <v>0</v>
      </c>
      <c r="E24" s="117">
        <f>E21*E23</f>
        <v>0</v>
      </c>
      <c r="F24" s="117">
        <f>F21*F23</f>
        <v>0</v>
      </c>
      <c r="G24" s="69"/>
    </row>
    <row r="25" spans="1:7" x14ac:dyDescent="0.3">
      <c r="A25" s="162"/>
      <c r="B25" s="153"/>
      <c r="C25" s="46"/>
      <c r="D25" s="46"/>
      <c r="E25" s="46"/>
      <c r="F25" s="46"/>
      <c r="G25" s="69"/>
    </row>
    <row r="26" spans="1:7" x14ac:dyDescent="0.3">
      <c r="A26" s="162" t="s">
        <v>2853</v>
      </c>
      <c r="B26" s="153" t="s">
        <v>2854</v>
      </c>
      <c r="C26" s="116">
        <f>C8*0.15</f>
        <v>0</v>
      </c>
      <c r="D26" s="116">
        <f>D8*0.15</f>
        <v>0</v>
      </c>
      <c r="E26" s="116">
        <f>E8*0.15</f>
        <v>0</v>
      </c>
      <c r="F26" s="116">
        <f>F8*0.15</f>
        <v>0</v>
      </c>
      <c r="G26" s="69"/>
    </row>
    <row r="27" spans="1:7" x14ac:dyDescent="0.3">
      <c r="A27" s="162"/>
      <c r="B27" s="153" t="s">
        <v>2843</v>
      </c>
      <c r="C27" s="46"/>
      <c r="D27" s="46"/>
      <c r="E27" s="46"/>
      <c r="F27" s="46"/>
      <c r="G27" s="69"/>
    </row>
    <row r="28" spans="1:7" x14ac:dyDescent="0.3">
      <c r="A28" s="162" t="s">
        <v>2855</v>
      </c>
      <c r="B28" s="153" t="s">
        <v>2845</v>
      </c>
      <c r="C28" s="93"/>
      <c r="D28" s="93"/>
      <c r="E28" s="93"/>
      <c r="F28" s="93"/>
      <c r="G28" s="69"/>
    </row>
    <row r="29" spans="1:7" x14ac:dyDescent="0.3">
      <c r="A29" s="162" t="s">
        <v>2856</v>
      </c>
      <c r="B29" s="153" t="s">
        <v>2857</v>
      </c>
      <c r="C29" s="116">
        <f>C26*C28</f>
        <v>0</v>
      </c>
      <c r="D29" s="116">
        <f>D26*D28</f>
        <v>0</v>
      </c>
      <c r="E29" s="116">
        <f>E26*E28</f>
        <v>0</v>
      </c>
      <c r="F29" s="116">
        <f>F26*F28</f>
        <v>0</v>
      </c>
      <c r="G29" s="69"/>
    </row>
    <row r="30" spans="1:7" x14ac:dyDescent="0.3">
      <c r="A30" s="162"/>
      <c r="B30" s="153"/>
      <c r="C30" s="53"/>
      <c r="D30" s="53"/>
      <c r="E30" s="53"/>
      <c r="F30" s="53"/>
      <c r="G30" s="69"/>
    </row>
    <row r="31" spans="1:7" x14ac:dyDescent="0.3">
      <c r="A31" s="162" t="s">
        <v>2858</v>
      </c>
      <c r="B31" s="153" t="s">
        <v>5534</v>
      </c>
      <c r="C31" s="185">
        <f>C8*0.15</f>
        <v>0</v>
      </c>
      <c r="D31" s="185">
        <f>D8*0.15</f>
        <v>0</v>
      </c>
      <c r="E31" s="185">
        <f>E8*0.15</f>
        <v>0</v>
      </c>
      <c r="F31" s="185">
        <f>F8*0.15</f>
        <v>0</v>
      </c>
      <c r="G31" s="149"/>
    </row>
    <row r="32" spans="1:7" x14ac:dyDescent="0.3">
      <c r="A32" s="162"/>
      <c r="B32" s="153" t="s">
        <v>2843</v>
      </c>
      <c r="C32" s="160"/>
      <c r="D32" s="160"/>
      <c r="E32" s="160"/>
      <c r="F32" s="160"/>
      <c r="G32" s="149"/>
    </row>
    <row r="33" spans="1:7" x14ac:dyDescent="0.3">
      <c r="A33" s="162" t="s">
        <v>2859</v>
      </c>
      <c r="B33" s="153" t="s">
        <v>2845</v>
      </c>
      <c r="C33" s="188"/>
      <c r="D33" s="188"/>
      <c r="E33" s="188"/>
      <c r="F33" s="188"/>
      <c r="G33" s="149"/>
    </row>
    <row r="34" spans="1:7" x14ac:dyDescent="0.3">
      <c r="A34" s="162" t="s">
        <v>2861</v>
      </c>
      <c r="B34" s="153" t="s">
        <v>5535</v>
      </c>
      <c r="C34" s="185">
        <f>C31*C33</f>
        <v>0</v>
      </c>
      <c r="D34" s="185">
        <f>D31*D33</f>
        <v>0</v>
      </c>
      <c r="E34" s="185">
        <f>E31*E33</f>
        <v>0</v>
      </c>
      <c r="F34" s="185">
        <f>F31*F33</f>
        <v>0</v>
      </c>
      <c r="G34" s="149"/>
    </row>
    <row r="35" spans="1:7" x14ac:dyDescent="0.3">
      <c r="A35" s="162"/>
      <c r="B35" s="153"/>
      <c r="C35" s="160"/>
      <c r="D35" s="160"/>
      <c r="E35" s="160"/>
      <c r="F35" s="160"/>
      <c r="G35" s="149"/>
    </row>
    <row r="36" spans="1:7" ht="20.399999999999999" x14ac:dyDescent="0.3">
      <c r="A36" s="162" t="s">
        <v>2863</v>
      </c>
      <c r="B36" s="153" t="s">
        <v>5755</v>
      </c>
      <c r="C36" s="116">
        <f>C8-C10-C16-C21</f>
        <v>0</v>
      </c>
      <c r="D36" s="116">
        <f>D8-D10-D16-D21</f>
        <v>0</v>
      </c>
      <c r="E36" s="116">
        <f>E8-E10-E16-E21</f>
        <v>0</v>
      </c>
      <c r="F36" s="116">
        <f>F8-F10-F16-F21</f>
        <v>0</v>
      </c>
      <c r="G36" s="69"/>
    </row>
    <row r="37" spans="1:7" x14ac:dyDescent="0.3">
      <c r="A37" s="162"/>
      <c r="B37" s="153"/>
      <c r="C37" s="46"/>
      <c r="D37" s="46"/>
      <c r="E37" s="46"/>
      <c r="F37" s="46"/>
      <c r="G37" s="69"/>
    </row>
    <row r="38" spans="1:7" x14ac:dyDescent="0.3">
      <c r="A38" s="162"/>
      <c r="B38" s="179" t="s">
        <v>777</v>
      </c>
      <c r="C38" s="46"/>
      <c r="D38" s="46"/>
      <c r="E38" s="46"/>
      <c r="F38" s="46"/>
      <c r="G38" s="69"/>
    </row>
    <row r="39" spans="1:7" x14ac:dyDescent="0.3">
      <c r="A39" s="162"/>
      <c r="B39" s="153"/>
      <c r="C39" s="46"/>
      <c r="D39" s="46"/>
      <c r="E39" s="46"/>
      <c r="F39" s="46"/>
      <c r="G39" s="69"/>
    </row>
    <row r="40" spans="1:7" x14ac:dyDescent="0.3">
      <c r="A40" s="162" t="s">
        <v>2865</v>
      </c>
      <c r="B40" s="153" t="s">
        <v>2860</v>
      </c>
      <c r="C40" s="117"/>
      <c r="D40" s="117"/>
      <c r="E40" s="117"/>
      <c r="F40" s="117"/>
      <c r="G40" s="69"/>
    </row>
    <row r="41" spans="1:7" x14ac:dyDescent="0.3">
      <c r="A41" s="162"/>
      <c r="B41" s="153"/>
      <c r="C41" s="46"/>
      <c r="D41" s="46"/>
      <c r="E41" s="46"/>
      <c r="F41" s="46"/>
      <c r="G41" s="69"/>
    </row>
    <row r="42" spans="1:7" ht="20.399999999999999" x14ac:dyDescent="0.3">
      <c r="A42" s="162" t="s">
        <v>2866</v>
      </c>
      <c r="B42" s="153" t="s">
        <v>2862</v>
      </c>
      <c r="C42" s="116">
        <f>C40*0.25</f>
        <v>0</v>
      </c>
      <c r="D42" s="116">
        <f>D40*0.25</f>
        <v>0</v>
      </c>
      <c r="E42" s="116">
        <f>E40*0.25</f>
        <v>0</v>
      </c>
      <c r="F42" s="116">
        <f>F40*0.25</f>
        <v>0</v>
      </c>
      <c r="G42" s="69"/>
    </row>
    <row r="43" spans="1:7" x14ac:dyDescent="0.3">
      <c r="A43" s="162"/>
      <c r="B43" s="153"/>
      <c r="C43" s="46"/>
      <c r="D43" s="46"/>
      <c r="E43" s="46"/>
      <c r="F43" s="46"/>
      <c r="G43" s="69"/>
    </row>
    <row r="44" spans="1:7" ht="20.399999999999999" x14ac:dyDescent="0.3">
      <c r="A44" s="162" t="s">
        <v>2868</v>
      </c>
      <c r="B44" s="153" t="s">
        <v>2864</v>
      </c>
      <c r="C44" s="192">
        <f>IF(Generales!C98="SI",5,0)</f>
        <v>0</v>
      </c>
      <c r="D44" s="192">
        <f>IF(Generales!C98="SI",5,0)</f>
        <v>0</v>
      </c>
      <c r="E44" s="192">
        <f>IF(Generales!C98="SI",5,0)</f>
        <v>0</v>
      </c>
      <c r="F44" s="192">
        <f>IF(Generales!C98="SI",5,0)</f>
        <v>0</v>
      </c>
      <c r="G44" s="69"/>
    </row>
    <row r="45" spans="1:7" x14ac:dyDescent="0.3">
      <c r="A45" s="162"/>
      <c r="B45" s="153"/>
      <c r="C45" s="53"/>
      <c r="D45" s="53"/>
      <c r="E45" s="53"/>
      <c r="F45" s="53"/>
      <c r="G45" s="69"/>
    </row>
    <row r="46" spans="1:7" ht="20.399999999999999" x14ac:dyDescent="0.3">
      <c r="A46" s="162" t="s">
        <v>2869</v>
      </c>
      <c r="B46" s="153" t="s">
        <v>5756</v>
      </c>
      <c r="C46" s="116">
        <f>C40-C42</f>
        <v>0</v>
      </c>
      <c r="D46" s="116">
        <f>D40-D42</f>
        <v>0</v>
      </c>
      <c r="E46" s="116">
        <f>E40-E42</f>
        <v>0</v>
      </c>
      <c r="F46" s="116">
        <f>F40-F42</f>
        <v>0</v>
      </c>
      <c r="G46" s="69"/>
    </row>
    <row r="47" spans="1:7" x14ac:dyDescent="0.3">
      <c r="A47" s="162"/>
      <c r="B47" s="153"/>
      <c r="C47" s="46"/>
      <c r="D47" s="46"/>
      <c r="E47" s="46"/>
      <c r="F47" s="46"/>
      <c r="G47" s="69"/>
    </row>
    <row r="48" spans="1:7" ht="20.399999999999999" x14ac:dyDescent="0.3">
      <c r="A48" s="162" t="s">
        <v>2871</v>
      </c>
      <c r="B48" s="153" t="s">
        <v>2867</v>
      </c>
      <c r="C48" s="116">
        <f>C40*0.25</f>
        <v>0</v>
      </c>
      <c r="D48" s="116">
        <f>D40*0.25</f>
        <v>0</v>
      </c>
      <c r="E48" s="116">
        <f>E40*0.25</f>
        <v>0</v>
      </c>
      <c r="F48" s="116">
        <f>F40*0.25</f>
        <v>0</v>
      </c>
      <c r="G48" s="69"/>
    </row>
    <row r="49" spans="1:7" x14ac:dyDescent="0.3">
      <c r="A49" s="162"/>
      <c r="B49" s="153" t="s">
        <v>2843</v>
      </c>
      <c r="C49" s="46"/>
      <c r="D49" s="46"/>
      <c r="E49" s="46"/>
      <c r="F49" s="46"/>
      <c r="G49" s="69"/>
    </row>
    <row r="50" spans="1:7" x14ac:dyDescent="0.3">
      <c r="A50" s="162" t="s">
        <v>2874</v>
      </c>
      <c r="B50" s="153" t="s">
        <v>2845</v>
      </c>
      <c r="C50" s="93"/>
      <c r="D50" s="93"/>
      <c r="E50" s="93"/>
      <c r="F50" s="93"/>
      <c r="G50" s="69"/>
    </row>
    <row r="51" spans="1:7" ht="20.399999999999999" x14ac:dyDescent="0.3">
      <c r="A51" s="162" t="s">
        <v>2875</v>
      </c>
      <c r="B51" s="153" t="s">
        <v>2870</v>
      </c>
      <c r="C51" s="116">
        <f>C48*C50</f>
        <v>0</v>
      </c>
      <c r="D51" s="116">
        <f>D48*D50</f>
        <v>0</v>
      </c>
      <c r="E51" s="116">
        <f>E48*E50</f>
        <v>0</v>
      </c>
      <c r="F51" s="116">
        <f>F48*F50</f>
        <v>0</v>
      </c>
      <c r="G51" s="69"/>
    </row>
    <row r="52" spans="1:7" x14ac:dyDescent="0.3">
      <c r="A52" s="162"/>
      <c r="B52" s="153"/>
      <c r="C52" s="46"/>
      <c r="D52" s="46"/>
      <c r="E52" s="46"/>
      <c r="F52" s="46"/>
      <c r="G52" s="69"/>
    </row>
    <row r="53" spans="1:7" ht="20.399999999999999" x14ac:dyDescent="0.3">
      <c r="A53" s="162" t="s">
        <v>2877</v>
      </c>
      <c r="B53" s="153" t="s">
        <v>2872</v>
      </c>
      <c r="C53" s="117">
        <f>C40*0.2</f>
        <v>0</v>
      </c>
      <c r="D53" s="117">
        <f>D40*0.2</f>
        <v>0</v>
      </c>
      <c r="E53" s="117">
        <f>E40*0.2</f>
        <v>0</v>
      </c>
      <c r="F53" s="117">
        <f>F40*0.2</f>
        <v>0</v>
      </c>
      <c r="G53" s="69"/>
    </row>
    <row r="54" spans="1:7" x14ac:dyDescent="0.3">
      <c r="A54" s="162"/>
      <c r="B54" s="153" t="s">
        <v>2873</v>
      </c>
      <c r="C54" s="53"/>
      <c r="D54" s="53"/>
      <c r="E54" s="53"/>
      <c r="F54" s="53"/>
      <c r="G54" s="69"/>
    </row>
    <row r="55" spans="1:7" x14ac:dyDescent="0.3">
      <c r="A55" s="162" t="s">
        <v>2879</v>
      </c>
      <c r="B55" s="153" t="s">
        <v>2845</v>
      </c>
      <c r="C55" s="90"/>
      <c r="D55" s="90"/>
      <c r="E55" s="90"/>
      <c r="F55" s="90"/>
      <c r="G55" s="69"/>
    </row>
    <row r="56" spans="1:7" ht="20.399999999999999" x14ac:dyDescent="0.3">
      <c r="A56" s="162" t="s">
        <v>2880</v>
      </c>
      <c r="B56" s="153" t="s">
        <v>2876</v>
      </c>
      <c r="C56" s="117">
        <f>C53*C55</f>
        <v>0</v>
      </c>
      <c r="D56" s="117">
        <f>D53*D55</f>
        <v>0</v>
      </c>
      <c r="E56" s="117">
        <f>E53*E55</f>
        <v>0</v>
      </c>
      <c r="F56" s="117">
        <f>F53*F55</f>
        <v>0</v>
      </c>
      <c r="G56" s="69"/>
    </row>
    <row r="57" spans="1:7" x14ac:dyDescent="0.3">
      <c r="A57" s="162"/>
      <c r="B57" s="153"/>
      <c r="C57" s="53"/>
      <c r="D57" s="53"/>
      <c r="E57" s="53"/>
      <c r="F57" s="53"/>
      <c r="G57" s="69"/>
    </row>
    <row r="58" spans="1:7" ht="20.399999999999999" x14ac:dyDescent="0.3">
      <c r="A58" s="162" t="s">
        <v>2882</v>
      </c>
      <c r="B58" s="153" t="s">
        <v>2878</v>
      </c>
      <c r="C58" s="116">
        <f>C40*0.15</f>
        <v>0</v>
      </c>
      <c r="D58" s="116">
        <f>D40*0.15</f>
        <v>0</v>
      </c>
      <c r="E58" s="116">
        <f>E40*0.15</f>
        <v>0</v>
      </c>
      <c r="F58" s="116">
        <f>F40*0.15</f>
        <v>0</v>
      </c>
      <c r="G58" s="69"/>
    </row>
    <row r="59" spans="1:7" x14ac:dyDescent="0.3">
      <c r="A59" s="162"/>
      <c r="B59" s="153" t="s">
        <v>2843</v>
      </c>
      <c r="C59" s="46"/>
      <c r="D59" s="46"/>
      <c r="E59" s="46"/>
      <c r="F59" s="46"/>
      <c r="G59" s="69"/>
    </row>
    <row r="60" spans="1:7" x14ac:dyDescent="0.3">
      <c r="A60" s="162" t="s">
        <v>2884</v>
      </c>
      <c r="B60" s="153" t="s">
        <v>2845</v>
      </c>
      <c r="C60" s="93"/>
      <c r="D60" s="93"/>
      <c r="E60" s="93"/>
      <c r="F60" s="93"/>
      <c r="G60" s="69"/>
    </row>
    <row r="61" spans="1:7" ht="20.399999999999999" x14ac:dyDescent="0.3">
      <c r="A61" s="162" t="s">
        <v>5536</v>
      </c>
      <c r="B61" s="153" t="s">
        <v>2881</v>
      </c>
      <c r="C61" s="116">
        <f>C58*C60</f>
        <v>0</v>
      </c>
      <c r="D61" s="116">
        <f>D58*D60</f>
        <v>0</v>
      </c>
      <c r="E61" s="116">
        <f>E58*E60</f>
        <v>0</v>
      </c>
      <c r="F61" s="116">
        <f>F58*F60</f>
        <v>0</v>
      </c>
      <c r="G61" s="69"/>
    </row>
    <row r="62" spans="1:7" x14ac:dyDescent="0.3">
      <c r="A62" s="162"/>
      <c r="B62" s="153"/>
      <c r="C62" s="46"/>
      <c r="D62" s="46"/>
      <c r="E62" s="46"/>
      <c r="F62" s="46"/>
      <c r="G62" s="69"/>
    </row>
    <row r="63" spans="1:7" ht="20.399999999999999" x14ac:dyDescent="0.3">
      <c r="A63" s="162" t="s">
        <v>5537</v>
      </c>
      <c r="B63" s="153" t="s">
        <v>5538</v>
      </c>
      <c r="C63" s="185">
        <f>C40*0.15</f>
        <v>0</v>
      </c>
      <c r="D63" s="185">
        <f>D40*0.15</f>
        <v>0</v>
      </c>
      <c r="E63" s="185">
        <f>E40*0.15</f>
        <v>0</v>
      </c>
      <c r="F63" s="185">
        <f>F40*0.15</f>
        <v>0</v>
      </c>
      <c r="G63" s="149"/>
    </row>
    <row r="64" spans="1:7" x14ac:dyDescent="0.3">
      <c r="A64" s="162"/>
      <c r="B64" s="153" t="s">
        <v>2843</v>
      </c>
      <c r="C64" s="160"/>
      <c r="D64" s="160"/>
      <c r="E64" s="160"/>
      <c r="F64" s="160"/>
      <c r="G64" s="149"/>
    </row>
    <row r="65" spans="1:7" x14ac:dyDescent="0.3">
      <c r="A65" s="162" t="s">
        <v>5539</v>
      </c>
      <c r="B65" s="153" t="s">
        <v>2845</v>
      </c>
      <c r="C65" s="188"/>
      <c r="D65" s="188"/>
      <c r="E65" s="188"/>
      <c r="F65" s="188"/>
      <c r="G65" s="149"/>
    </row>
    <row r="66" spans="1:7" ht="20.399999999999999" x14ac:dyDescent="0.3">
      <c r="A66" s="162" t="s">
        <v>5540</v>
      </c>
      <c r="B66" s="153" t="s">
        <v>5541</v>
      </c>
      <c r="C66" s="185">
        <f>C63*C65</f>
        <v>0</v>
      </c>
      <c r="D66" s="185">
        <f>D63*D65</f>
        <v>0</v>
      </c>
      <c r="E66" s="185">
        <f>E63*E65</f>
        <v>0</v>
      </c>
      <c r="F66" s="185">
        <f>F63*F65</f>
        <v>0</v>
      </c>
      <c r="G66" s="149"/>
    </row>
    <row r="67" spans="1:7" x14ac:dyDescent="0.3">
      <c r="A67" s="162"/>
      <c r="B67" s="153"/>
      <c r="C67" s="160"/>
      <c r="D67" s="160"/>
      <c r="E67" s="160"/>
      <c r="F67" s="160"/>
      <c r="G67" s="149"/>
    </row>
    <row r="68" spans="1:7" ht="20.399999999999999" x14ac:dyDescent="0.3">
      <c r="A68" s="162" t="s">
        <v>5542</v>
      </c>
      <c r="B68" s="153" t="s">
        <v>5756</v>
      </c>
      <c r="C68" s="117">
        <f>C40-C42-C48-C53</f>
        <v>0</v>
      </c>
      <c r="D68" s="117">
        <f>D40-D42-D48-D53</f>
        <v>0</v>
      </c>
      <c r="E68" s="117">
        <f>E40-E42-E48-E53</f>
        <v>0</v>
      </c>
      <c r="F68" s="117">
        <f>F40-F42-F48-F53</f>
        <v>0</v>
      </c>
      <c r="G68" s="69"/>
    </row>
    <row r="69" spans="1:7" x14ac:dyDescent="0.3">
      <c r="A69" s="162"/>
      <c r="B69" s="153"/>
      <c r="C69" s="46"/>
      <c r="D69" s="46"/>
      <c r="E69" s="46"/>
      <c r="F69" s="46"/>
      <c r="G69" s="69"/>
    </row>
    <row r="70" spans="1:7" ht="20.399999999999999" x14ac:dyDescent="0.3">
      <c r="A70" s="162"/>
      <c r="B70" s="153" t="s">
        <v>5543</v>
      </c>
      <c r="C70" s="46"/>
      <c r="D70" s="46"/>
      <c r="E70" s="46"/>
      <c r="F70" s="46"/>
      <c r="G70" s="69"/>
    </row>
    <row r="71" spans="1:7" x14ac:dyDescent="0.3">
      <c r="A71" s="162"/>
      <c r="B71" s="153"/>
      <c r="C71" s="46"/>
      <c r="D71" s="46"/>
      <c r="E71" s="46"/>
      <c r="F71" s="46"/>
      <c r="G71" s="69"/>
    </row>
    <row r="72" spans="1:7" x14ac:dyDescent="0.3">
      <c r="A72" s="162"/>
      <c r="B72" s="179" t="s">
        <v>2883</v>
      </c>
      <c r="C72" s="46"/>
      <c r="D72" s="46"/>
      <c r="E72" s="46"/>
      <c r="F72" s="46"/>
      <c r="G72" s="69"/>
    </row>
    <row r="73" spans="1:7" x14ac:dyDescent="0.3">
      <c r="A73" s="162"/>
      <c r="B73" s="153"/>
      <c r="C73" s="46"/>
      <c r="D73" s="46"/>
      <c r="E73" s="46"/>
      <c r="F73" s="46"/>
      <c r="G73" s="69"/>
    </row>
    <row r="74" spans="1:7" x14ac:dyDescent="0.3">
      <c r="A74" s="184" t="s">
        <v>5544</v>
      </c>
      <c r="B74" s="190" t="s">
        <v>5322</v>
      </c>
      <c r="C74" s="94"/>
      <c r="D74" s="61"/>
      <c r="E74" s="95"/>
      <c r="F74" s="95"/>
      <c r="G74" s="69"/>
    </row>
    <row r="75" spans="1:7" x14ac:dyDescent="0.3">
      <c r="A75" s="163"/>
      <c r="B75" s="160"/>
      <c r="C75" s="46"/>
      <c r="D75" s="46"/>
      <c r="E75" s="46"/>
      <c r="F75" s="46"/>
      <c r="G75" s="69"/>
    </row>
    <row r="76" spans="1:7" ht="8.1" customHeight="1" x14ac:dyDescent="0.3">
      <c r="A76" s="70" t="s">
        <v>0</v>
      </c>
      <c r="B76" s="152"/>
      <c r="C76" s="70"/>
      <c r="D76" s="70"/>
      <c r="E76" s="70"/>
      <c r="F76" s="70"/>
      <c r="G76" s="69"/>
    </row>
  </sheetData>
  <sheetProtection password="C9D6" sheet="1" objects="1" scenarios="1" formatCells="0" formatColumns="0" formatRows="0" autoFilter="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23"/>
  <sheetViews>
    <sheetView workbookViewId="0"/>
  </sheetViews>
  <sheetFormatPr defaultColWidth="11.5546875" defaultRowHeight="14.4" x14ac:dyDescent="0.3"/>
  <cols>
    <col min="1" max="1" width="14.33203125" style="107" customWidth="1"/>
    <col min="2" max="2" width="35.6640625" style="107" customWidth="1"/>
    <col min="3" max="5" width="30.6640625" style="107" customWidth="1"/>
    <col min="6" max="7" width="18.6640625" style="107" customWidth="1"/>
    <col min="8" max="8" width="30.6640625" style="107" customWidth="1"/>
    <col min="9" max="9" width="40.6640625" style="107" customWidth="1"/>
    <col min="10" max="11" width="18.6640625" style="107" customWidth="1"/>
    <col min="12" max="12" width="1.6640625" style="107" customWidth="1"/>
    <col min="13" max="16384" width="11.5546875" style="107"/>
  </cols>
  <sheetData>
    <row r="1" spans="1:12" ht="20.399999999999999" x14ac:dyDescent="0.3">
      <c r="A1" s="42" t="s">
        <v>0</v>
      </c>
      <c r="B1" s="127" t="s">
        <v>5621</v>
      </c>
      <c r="C1" s="42"/>
      <c r="D1" s="42"/>
      <c r="E1" s="42" t="s">
        <v>0</v>
      </c>
      <c r="F1" s="42" t="s">
        <v>0</v>
      </c>
      <c r="G1" s="42" t="s">
        <v>0</v>
      </c>
      <c r="H1" s="42" t="s">
        <v>0</v>
      </c>
      <c r="I1" s="42" t="s">
        <v>0</v>
      </c>
      <c r="J1" s="42" t="s">
        <v>0</v>
      </c>
      <c r="K1" s="42" t="s">
        <v>0</v>
      </c>
      <c r="L1" s="69" t="s">
        <v>0</v>
      </c>
    </row>
    <row r="2" spans="1:12" ht="81.599999999999994" x14ac:dyDescent="0.3">
      <c r="A2" s="121" t="s">
        <v>5597</v>
      </c>
      <c r="B2" s="121" t="s">
        <v>5598</v>
      </c>
      <c r="C2" s="44" t="s">
        <v>2945</v>
      </c>
      <c r="D2" s="44" t="s">
        <v>2946</v>
      </c>
      <c r="E2" s="44" t="s">
        <v>2947</v>
      </c>
      <c r="F2" s="44" t="s">
        <v>2948</v>
      </c>
      <c r="G2" s="44" t="s">
        <v>2949</v>
      </c>
      <c r="H2" s="44" t="s">
        <v>2950</v>
      </c>
      <c r="I2" s="96" t="s">
        <v>2951</v>
      </c>
      <c r="J2" s="44" t="s">
        <v>2952</v>
      </c>
      <c r="K2" s="44" t="s">
        <v>2953</v>
      </c>
      <c r="L2" s="69" t="s">
        <v>0</v>
      </c>
    </row>
    <row r="3" spans="1:12" x14ac:dyDescent="0.3">
      <c r="A3" s="163"/>
      <c r="B3" s="46" t="s">
        <v>0</v>
      </c>
      <c r="C3" s="137"/>
      <c r="D3" s="137"/>
      <c r="E3" s="137"/>
      <c r="F3" s="137"/>
      <c r="G3" s="137"/>
      <c r="H3" s="137"/>
      <c r="I3" s="137"/>
      <c r="J3" s="137"/>
      <c r="K3" s="137"/>
      <c r="L3" s="69"/>
    </row>
    <row r="4" spans="1:12" x14ac:dyDescent="0.3">
      <c r="A4" s="163"/>
      <c r="B4" s="138" t="s">
        <v>5626</v>
      </c>
      <c r="C4" s="177"/>
      <c r="D4" s="177"/>
      <c r="E4" s="177"/>
      <c r="F4" s="177"/>
      <c r="G4" s="177"/>
      <c r="H4" s="177"/>
      <c r="I4" s="137"/>
      <c r="J4" s="137"/>
      <c r="K4" s="137"/>
      <c r="L4" s="69"/>
    </row>
    <row r="5" spans="1:12" x14ac:dyDescent="0.3">
      <c r="A5" s="163"/>
      <c r="B5" s="47" t="s">
        <v>0</v>
      </c>
      <c r="C5" s="177"/>
      <c r="D5" s="177"/>
      <c r="E5" s="177"/>
      <c r="F5" s="177"/>
      <c r="G5" s="177"/>
      <c r="H5" s="177"/>
      <c r="I5" s="137"/>
      <c r="J5" s="137"/>
      <c r="K5" s="137"/>
      <c r="L5" s="69"/>
    </row>
    <row r="6" spans="1:12" ht="52.2" x14ac:dyDescent="0.3">
      <c r="A6" s="163"/>
      <c r="B6" s="71" t="s">
        <v>5649</v>
      </c>
      <c r="C6" s="83"/>
      <c r="D6" s="177"/>
      <c r="E6" s="177"/>
      <c r="F6" s="177"/>
      <c r="G6" s="177"/>
      <c r="H6" s="177"/>
      <c r="I6" s="137"/>
      <c r="J6" s="137"/>
      <c r="K6" s="137"/>
      <c r="L6" s="69"/>
    </row>
    <row r="7" spans="1:12" x14ac:dyDescent="0.3">
      <c r="A7" s="163"/>
      <c r="B7" s="47" t="s">
        <v>0</v>
      </c>
      <c r="C7" s="177"/>
      <c r="D7" s="177"/>
      <c r="E7" s="177"/>
      <c r="F7" s="177"/>
      <c r="G7" s="177"/>
      <c r="H7" s="177"/>
      <c r="I7" s="137"/>
      <c r="J7" s="137"/>
      <c r="K7" s="137"/>
      <c r="L7" s="69"/>
    </row>
    <row r="8" spans="1:12" x14ac:dyDescent="0.3">
      <c r="A8" s="163"/>
      <c r="B8" s="139" t="s">
        <v>603</v>
      </c>
      <c r="C8" s="177"/>
      <c r="D8" s="177"/>
      <c r="E8" s="177"/>
      <c r="F8" s="177"/>
      <c r="G8" s="177"/>
      <c r="H8" s="177"/>
      <c r="I8" s="137"/>
      <c r="J8" s="137"/>
      <c r="K8" s="137"/>
      <c r="L8" s="69"/>
    </row>
    <row r="9" spans="1:12" x14ac:dyDescent="0.3">
      <c r="A9" s="163"/>
      <c r="B9" s="47" t="s">
        <v>0</v>
      </c>
      <c r="C9" s="177"/>
      <c r="D9" s="177"/>
      <c r="E9" s="177"/>
      <c r="F9" s="177"/>
      <c r="G9" s="177"/>
      <c r="H9" s="177"/>
      <c r="I9" s="137"/>
      <c r="J9" s="137"/>
      <c r="K9" s="137"/>
      <c r="L9" s="69"/>
    </row>
    <row r="10" spans="1:12" ht="20.399999999999999" x14ac:dyDescent="0.3">
      <c r="A10" s="163"/>
      <c r="B10" s="138" t="s">
        <v>5650</v>
      </c>
      <c r="C10" s="177"/>
      <c r="D10" s="177"/>
      <c r="E10" s="177"/>
      <c r="F10" s="177"/>
      <c r="G10" s="177"/>
      <c r="H10" s="177"/>
      <c r="I10" s="137"/>
      <c r="J10" s="137"/>
      <c r="K10" s="137"/>
      <c r="L10" s="69"/>
    </row>
    <row r="11" spans="1:12" x14ac:dyDescent="0.3">
      <c r="A11" s="163"/>
      <c r="B11" s="160"/>
      <c r="C11" s="177"/>
      <c r="D11" s="177"/>
      <c r="E11" s="177"/>
      <c r="F11" s="177"/>
      <c r="G11" s="177"/>
      <c r="H11" s="177"/>
      <c r="I11" s="137"/>
      <c r="J11" s="137"/>
      <c r="K11" s="137"/>
      <c r="L11" s="69"/>
    </row>
    <row r="12" spans="1:12" x14ac:dyDescent="0.3">
      <c r="A12" s="184" t="s">
        <v>2954</v>
      </c>
      <c r="B12" s="190" t="s">
        <v>5322</v>
      </c>
      <c r="C12" s="94"/>
      <c r="D12" s="97"/>
      <c r="E12" s="97"/>
      <c r="F12" s="61"/>
      <c r="G12" s="61"/>
      <c r="H12" s="97"/>
      <c r="I12" s="94"/>
      <c r="J12" s="97"/>
      <c r="K12" s="97"/>
      <c r="L12" s="69"/>
    </row>
    <row r="13" spans="1:12" x14ac:dyDescent="0.3">
      <c r="A13" s="162"/>
      <c r="B13" s="153"/>
      <c r="C13" s="53"/>
      <c r="D13" s="53"/>
      <c r="E13" s="53"/>
      <c r="F13" s="53"/>
      <c r="G13" s="53"/>
      <c r="H13" s="53"/>
      <c r="I13" s="46"/>
      <c r="J13" s="46"/>
      <c r="K13" s="46"/>
      <c r="L13" s="69"/>
    </row>
    <row r="14" spans="1:12" x14ac:dyDescent="0.3">
      <c r="A14" s="162" t="s">
        <v>2955</v>
      </c>
      <c r="B14" s="153" t="s">
        <v>625</v>
      </c>
      <c r="C14" s="67"/>
      <c r="D14" s="67"/>
      <c r="E14" s="67"/>
      <c r="F14" s="54">
        <f>ROUND(SUM(F12:F13),0)</f>
        <v>0</v>
      </c>
      <c r="G14" s="54">
        <f>ROUND(SUM(G12:G13),0)</f>
        <v>0</v>
      </c>
      <c r="H14" s="67"/>
      <c r="I14" s="67"/>
      <c r="J14" s="67"/>
      <c r="K14" s="67"/>
      <c r="L14" s="69"/>
    </row>
    <row r="15" spans="1:12" x14ac:dyDescent="0.3">
      <c r="A15" s="162"/>
      <c r="B15" s="153"/>
      <c r="C15" s="53"/>
      <c r="D15" s="53"/>
      <c r="E15" s="53"/>
      <c r="F15" s="53"/>
      <c r="G15" s="53"/>
      <c r="H15" s="53"/>
      <c r="I15" s="46"/>
      <c r="J15" s="46"/>
      <c r="K15" s="46"/>
      <c r="L15" s="69"/>
    </row>
    <row r="16" spans="1:12" x14ac:dyDescent="0.3">
      <c r="A16" s="162"/>
      <c r="B16" s="179" t="s">
        <v>2956</v>
      </c>
      <c r="C16" s="53"/>
      <c r="D16" s="53"/>
      <c r="E16" s="53"/>
      <c r="F16" s="53"/>
      <c r="G16" s="53"/>
      <c r="H16" s="53"/>
      <c r="I16" s="46"/>
      <c r="J16" s="46"/>
      <c r="K16" s="46"/>
      <c r="L16" s="69"/>
    </row>
    <row r="17" spans="1:12" x14ac:dyDescent="0.3">
      <c r="A17" s="162"/>
      <c r="B17" s="153"/>
      <c r="C17" s="53"/>
      <c r="D17" s="53"/>
      <c r="E17" s="53"/>
      <c r="F17" s="53"/>
      <c r="G17" s="53"/>
      <c r="H17" s="53"/>
      <c r="I17" s="46"/>
      <c r="J17" s="46"/>
      <c r="K17" s="46"/>
      <c r="L17" s="69"/>
    </row>
    <row r="18" spans="1:12" ht="20.399999999999999" x14ac:dyDescent="0.3">
      <c r="A18" s="162"/>
      <c r="B18" s="153" t="s">
        <v>5545</v>
      </c>
      <c r="C18" s="53"/>
      <c r="D18" s="53"/>
      <c r="E18" s="53"/>
      <c r="F18" s="53"/>
      <c r="G18" s="53"/>
      <c r="H18" s="53"/>
      <c r="I18" s="46"/>
      <c r="J18" s="46"/>
      <c r="K18" s="46"/>
      <c r="L18" s="69"/>
    </row>
    <row r="19" spans="1:12" x14ac:dyDescent="0.3">
      <c r="A19" s="162"/>
      <c r="B19" s="153"/>
      <c r="C19" s="53"/>
      <c r="D19" s="53"/>
      <c r="E19" s="53"/>
      <c r="F19" s="53"/>
      <c r="G19" s="53"/>
      <c r="H19" s="53"/>
      <c r="I19" s="46"/>
      <c r="J19" s="46"/>
      <c r="K19" s="46"/>
      <c r="L19" s="69"/>
    </row>
    <row r="20" spans="1:12" x14ac:dyDescent="0.3">
      <c r="A20" s="184" t="s">
        <v>2957</v>
      </c>
      <c r="B20" s="190" t="s">
        <v>5322</v>
      </c>
      <c r="C20" s="94"/>
      <c r="D20" s="97"/>
      <c r="E20" s="97"/>
      <c r="F20" s="61"/>
      <c r="G20" s="61"/>
      <c r="H20" s="97"/>
      <c r="I20" s="94"/>
      <c r="J20" s="97"/>
      <c r="K20" s="97"/>
      <c r="L20" s="69"/>
    </row>
    <row r="21" spans="1:12" x14ac:dyDescent="0.3">
      <c r="A21" s="162"/>
      <c r="B21" s="153"/>
      <c r="C21" s="53"/>
      <c r="D21" s="53"/>
      <c r="E21" s="53"/>
      <c r="F21" s="53"/>
      <c r="G21" s="53"/>
      <c r="H21" s="53"/>
      <c r="I21" s="46"/>
      <c r="J21" s="46"/>
      <c r="K21" s="46"/>
      <c r="L21" s="69"/>
    </row>
    <row r="22" spans="1:12" x14ac:dyDescent="0.3">
      <c r="A22" s="162" t="s">
        <v>2958</v>
      </c>
      <c r="B22" s="153" t="s">
        <v>2959</v>
      </c>
      <c r="C22" s="67"/>
      <c r="D22" s="67"/>
      <c r="E22" s="67"/>
      <c r="F22" s="54">
        <f>ROUND(SUM(F20:F21),0)</f>
        <v>0</v>
      </c>
      <c r="G22" s="54">
        <f>ROUND(SUM(G20:G21),0)</f>
        <v>0</v>
      </c>
      <c r="H22" s="67"/>
      <c r="I22" s="67"/>
      <c r="J22" s="67"/>
      <c r="K22" s="67"/>
      <c r="L22" s="69"/>
    </row>
    <row r="23" spans="1:12" ht="8.1" customHeight="1" x14ac:dyDescent="0.3">
      <c r="A23" s="152"/>
      <c r="B23" s="152"/>
      <c r="C23" s="70"/>
      <c r="D23" s="70"/>
      <c r="E23" s="70"/>
      <c r="F23" s="70"/>
      <c r="G23" s="70"/>
      <c r="H23" s="70"/>
      <c r="I23" s="70"/>
      <c r="J23" s="70"/>
      <c r="K23" s="70"/>
      <c r="L23" s="69"/>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xr:uid="{00000000-0002-0000-1900-00000000000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xr:uid="{00000000-0002-0000-1900-000001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xr:uid="{00000000-0002-0000-1900-000002000000}">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xr:uid="{00000000-0002-0000-1900-00000300000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xr:uid="{00000000-0002-0000-1900-000004000000}">
      <formula1>CATALOGCOLUMNFILTERED41</formula1>
    </dataValidation>
  </dataValidations>
  <pageMargins left="0.7" right="0.7" top="0.75" bottom="0.75" header="0.3" footer="0.3"/>
  <pageSetup orientation="portrait" horizontalDpi="4294967295" verticalDpi="4294967295"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Y22"/>
  <sheetViews>
    <sheetView workbookViewId="0"/>
  </sheetViews>
  <sheetFormatPr defaultColWidth="11.5546875" defaultRowHeight="14.4" x14ac:dyDescent="0.3"/>
  <cols>
    <col min="1" max="1" width="14.33203125" style="107" customWidth="1"/>
    <col min="2" max="2" width="35.6640625" style="107" customWidth="1"/>
    <col min="3" max="3" width="30.6640625" style="107" customWidth="1"/>
    <col min="4" max="4" width="18.6640625" style="107" customWidth="1"/>
    <col min="5" max="5" width="30.6640625" style="107" customWidth="1"/>
    <col min="6" max="6" width="40.6640625" style="107" customWidth="1"/>
    <col min="7" max="7" width="18.6640625" style="107" customWidth="1"/>
    <col min="8" max="8" width="20.6640625" style="107" customWidth="1"/>
    <col min="9" max="10" width="30.6640625" style="107" customWidth="1"/>
    <col min="11" max="11" width="20.6640625" style="107" customWidth="1"/>
    <col min="12" max="18" width="18.6640625" style="107" customWidth="1"/>
    <col min="19" max="19" width="30.6640625" style="107" customWidth="1"/>
    <col min="20" max="20" width="40.6640625" style="107" customWidth="1"/>
    <col min="21" max="24" width="18.6640625" style="107" customWidth="1"/>
    <col min="25" max="25" width="1.6640625" style="107" customWidth="1"/>
    <col min="26" max="16384" width="11.5546875" style="107"/>
  </cols>
  <sheetData>
    <row r="1" spans="1:25" x14ac:dyDescent="0.3">
      <c r="A1" s="42" t="s">
        <v>0</v>
      </c>
      <c r="B1" s="127" t="s">
        <v>5622</v>
      </c>
      <c r="C1" s="42"/>
      <c r="D1" s="42"/>
      <c r="E1" s="42" t="s">
        <v>0</v>
      </c>
      <c r="F1" s="42" t="s">
        <v>0</v>
      </c>
      <c r="G1" s="42" t="s">
        <v>0</v>
      </c>
      <c r="H1" s="42" t="s">
        <v>0</v>
      </c>
      <c r="I1" s="42" t="s">
        <v>0</v>
      </c>
      <c r="J1" s="42" t="s">
        <v>0</v>
      </c>
      <c r="K1" s="42" t="s">
        <v>0</v>
      </c>
      <c r="L1" s="42" t="s">
        <v>0</v>
      </c>
      <c r="M1" s="42" t="s">
        <v>0</v>
      </c>
      <c r="N1" s="42" t="s">
        <v>0</v>
      </c>
      <c r="O1" s="42" t="s">
        <v>0</v>
      </c>
      <c r="P1" s="42" t="s">
        <v>0</v>
      </c>
      <c r="Q1" s="42" t="s">
        <v>0</v>
      </c>
      <c r="R1" s="42" t="s">
        <v>0</v>
      </c>
      <c r="S1" s="42" t="s">
        <v>0</v>
      </c>
      <c r="T1" s="42" t="s">
        <v>0</v>
      </c>
      <c r="U1" s="42" t="s">
        <v>0</v>
      </c>
      <c r="V1" s="42" t="s">
        <v>0</v>
      </c>
      <c r="W1" s="42" t="s">
        <v>0</v>
      </c>
      <c r="X1" s="42" t="s">
        <v>0</v>
      </c>
      <c r="Y1" s="69" t="s">
        <v>0</v>
      </c>
    </row>
    <row r="2" spans="1:25" ht="122.4" x14ac:dyDescent="0.3">
      <c r="A2" s="121" t="s">
        <v>5597</v>
      </c>
      <c r="B2" s="121" t="s">
        <v>5598</v>
      </c>
      <c r="C2" s="44" t="s">
        <v>2960</v>
      </c>
      <c r="D2" s="44" t="s">
        <v>5686</v>
      </c>
      <c r="E2" s="44" t="s">
        <v>2961</v>
      </c>
      <c r="F2" s="44" t="s">
        <v>2962</v>
      </c>
      <c r="G2" s="44" t="s">
        <v>2963</v>
      </c>
      <c r="H2" s="44" t="s">
        <v>2964</v>
      </c>
      <c r="I2" s="44" t="s">
        <v>2965</v>
      </c>
      <c r="J2" s="44" t="s">
        <v>2966</v>
      </c>
      <c r="K2" s="44" t="s">
        <v>2967</v>
      </c>
      <c r="L2" s="44" t="s">
        <v>2968</v>
      </c>
      <c r="M2" s="44" t="s">
        <v>2969</v>
      </c>
      <c r="N2" s="44" t="s">
        <v>2970</v>
      </c>
      <c r="O2" s="44" t="s">
        <v>2971</v>
      </c>
      <c r="P2" s="44" t="s">
        <v>2972</v>
      </c>
      <c r="Q2" s="44" t="s">
        <v>2973</v>
      </c>
      <c r="R2" s="44" t="s">
        <v>5687</v>
      </c>
      <c r="S2" s="44" t="s">
        <v>2974</v>
      </c>
      <c r="T2" s="44" t="s">
        <v>2975</v>
      </c>
      <c r="U2" s="44" t="s">
        <v>2976</v>
      </c>
      <c r="V2" s="44" t="s">
        <v>2977</v>
      </c>
      <c r="W2" s="44" t="s">
        <v>2978</v>
      </c>
      <c r="X2" s="44" t="s">
        <v>2979</v>
      </c>
      <c r="Y2" s="69" t="s">
        <v>0</v>
      </c>
    </row>
    <row r="3" spans="1:25" x14ac:dyDescent="0.3">
      <c r="A3" s="163"/>
      <c r="B3" s="46" t="s">
        <v>0</v>
      </c>
      <c r="C3" s="137"/>
      <c r="D3" s="137"/>
      <c r="E3" s="137"/>
      <c r="F3" s="137"/>
      <c r="G3" s="137"/>
      <c r="H3" s="137"/>
      <c r="I3" s="137"/>
      <c r="J3" s="137"/>
      <c r="K3" s="48"/>
      <c r="L3" s="48"/>
      <c r="M3" s="48"/>
      <c r="N3" s="48"/>
      <c r="O3" s="48"/>
      <c r="P3" s="48"/>
      <c r="Q3" s="48"/>
      <c r="R3" s="48"/>
      <c r="S3" s="48"/>
      <c r="T3" s="48"/>
      <c r="U3" s="137"/>
      <c r="V3" s="137"/>
      <c r="W3" s="137"/>
      <c r="X3" s="137"/>
      <c r="Y3" s="69"/>
    </row>
    <row r="4" spans="1:25" x14ac:dyDescent="0.3">
      <c r="A4" s="163"/>
      <c r="B4" s="138" t="s">
        <v>5626</v>
      </c>
      <c r="C4" s="177"/>
      <c r="D4" s="177"/>
      <c r="E4" s="177"/>
      <c r="F4" s="177"/>
      <c r="G4" s="177"/>
      <c r="H4" s="177"/>
      <c r="I4" s="177"/>
      <c r="J4" s="177"/>
      <c r="K4" s="177"/>
      <c r="L4" s="177"/>
      <c r="M4" s="177"/>
      <c r="N4" s="177"/>
      <c r="O4" s="177"/>
      <c r="P4" s="177"/>
      <c r="Q4" s="177"/>
      <c r="R4" s="177"/>
      <c r="S4" s="177"/>
      <c r="T4" s="177"/>
      <c r="U4" s="177"/>
      <c r="V4" s="177"/>
      <c r="W4" s="177"/>
      <c r="X4" s="177"/>
      <c r="Y4" s="69"/>
    </row>
    <row r="5" spans="1:25" x14ac:dyDescent="0.3">
      <c r="A5" s="163"/>
      <c r="B5" s="47" t="s">
        <v>0</v>
      </c>
      <c r="C5" s="177"/>
      <c r="D5" s="177"/>
      <c r="E5" s="177"/>
      <c r="F5" s="177"/>
      <c r="G5" s="177"/>
      <c r="H5" s="177"/>
      <c r="I5" s="177"/>
      <c r="J5" s="177"/>
      <c r="K5" s="177"/>
      <c r="L5" s="177"/>
      <c r="M5" s="177"/>
      <c r="N5" s="177"/>
      <c r="O5" s="177"/>
      <c r="P5" s="177"/>
      <c r="Q5" s="177"/>
      <c r="R5" s="177"/>
      <c r="S5" s="177"/>
      <c r="T5" s="177"/>
      <c r="U5" s="177"/>
      <c r="V5" s="177"/>
      <c r="W5" s="177"/>
      <c r="X5" s="177"/>
      <c r="Y5" s="69"/>
    </row>
    <row r="6" spans="1:25" ht="52.2" x14ac:dyDescent="0.3">
      <c r="A6" s="163"/>
      <c r="B6" s="71" t="s">
        <v>5651</v>
      </c>
      <c r="C6" s="83"/>
      <c r="D6" s="177"/>
      <c r="E6" s="177"/>
      <c r="F6" s="177"/>
      <c r="G6" s="177"/>
      <c r="H6" s="177"/>
      <c r="I6" s="177"/>
      <c r="J6" s="177"/>
      <c r="K6" s="177"/>
      <c r="L6" s="177"/>
      <c r="M6" s="177"/>
      <c r="N6" s="177"/>
      <c r="O6" s="177"/>
      <c r="P6" s="177"/>
      <c r="Q6" s="177"/>
      <c r="R6" s="177"/>
      <c r="S6" s="177"/>
      <c r="T6" s="177"/>
      <c r="U6" s="177"/>
      <c r="V6" s="177"/>
      <c r="W6" s="177"/>
      <c r="X6" s="177"/>
      <c r="Y6" s="69"/>
    </row>
    <row r="7" spans="1:25" x14ac:dyDescent="0.3">
      <c r="A7" s="163"/>
      <c r="B7" s="47" t="s">
        <v>0</v>
      </c>
      <c r="C7" s="177"/>
      <c r="D7" s="177"/>
      <c r="E7" s="177"/>
      <c r="F7" s="177"/>
      <c r="G7" s="177"/>
      <c r="H7" s="177"/>
      <c r="I7" s="177"/>
      <c r="J7" s="177"/>
      <c r="K7" s="177"/>
      <c r="L7" s="177"/>
      <c r="M7" s="177"/>
      <c r="N7" s="177"/>
      <c r="O7" s="177"/>
      <c r="P7" s="177"/>
      <c r="Q7" s="177"/>
      <c r="R7" s="177"/>
      <c r="S7" s="177"/>
      <c r="T7" s="177"/>
      <c r="U7" s="177"/>
      <c r="V7" s="177"/>
      <c r="W7" s="177"/>
      <c r="X7" s="177"/>
      <c r="Y7" s="69"/>
    </row>
    <row r="8" spans="1:25" ht="21.6" x14ac:dyDescent="0.3">
      <c r="A8" s="163"/>
      <c r="B8" s="49" t="s">
        <v>5652</v>
      </c>
      <c r="C8" s="177"/>
      <c r="D8" s="177"/>
      <c r="E8" s="177"/>
      <c r="F8" s="177"/>
      <c r="G8" s="177"/>
      <c r="H8" s="177"/>
      <c r="I8" s="177"/>
      <c r="J8" s="177"/>
      <c r="K8" s="177"/>
      <c r="L8" s="177"/>
      <c r="M8" s="177"/>
      <c r="N8" s="177"/>
      <c r="O8" s="177"/>
      <c r="P8" s="177"/>
      <c r="Q8" s="177"/>
      <c r="R8" s="177"/>
      <c r="S8" s="177"/>
      <c r="T8" s="177"/>
      <c r="U8" s="177"/>
      <c r="V8" s="177"/>
      <c r="W8" s="177"/>
      <c r="X8" s="177"/>
      <c r="Y8" s="69"/>
    </row>
    <row r="9" spans="1:25" x14ac:dyDescent="0.3">
      <c r="A9" s="163"/>
      <c r="B9" s="47" t="s">
        <v>0</v>
      </c>
      <c r="C9" s="137"/>
      <c r="D9" s="137"/>
      <c r="E9" s="137"/>
      <c r="F9" s="137"/>
      <c r="G9" s="137"/>
      <c r="H9" s="137"/>
      <c r="I9" s="137"/>
      <c r="J9" s="137"/>
      <c r="K9" s="137"/>
      <c r="L9" s="137"/>
      <c r="M9" s="137"/>
      <c r="N9" s="137"/>
      <c r="O9" s="137"/>
      <c r="P9" s="137"/>
      <c r="Q9" s="137"/>
      <c r="R9" s="137"/>
      <c r="S9" s="137"/>
      <c r="T9" s="137"/>
      <c r="U9" s="137"/>
      <c r="V9" s="137"/>
      <c r="W9" s="137"/>
      <c r="X9" s="137"/>
      <c r="Y9" s="69"/>
    </row>
    <row r="10" spans="1:25" x14ac:dyDescent="0.3">
      <c r="A10" s="163"/>
      <c r="B10" s="139" t="s">
        <v>5653</v>
      </c>
      <c r="C10" s="80"/>
      <c r="D10" s="80"/>
      <c r="E10" s="80"/>
      <c r="F10" s="80"/>
      <c r="G10" s="80"/>
      <c r="H10" s="80"/>
      <c r="I10" s="80"/>
      <c r="J10" s="80"/>
      <c r="K10" s="80"/>
      <c r="L10" s="80"/>
      <c r="M10" s="80"/>
      <c r="N10" s="80"/>
      <c r="O10" s="80"/>
      <c r="P10" s="80"/>
      <c r="Q10" s="80"/>
      <c r="R10" s="80"/>
      <c r="S10" s="80"/>
      <c r="T10" s="80"/>
      <c r="U10" s="80"/>
      <c r="V10" s="80"/>
      <c r="W10" s="80"/>
      <c r="X10" s="80"/>
      <c r="Y10" s="69"/>
    </row>
    <row r="11" spans="1:25" x14ac:dyDescent="0.3">
      <c r="A11" s="163"/>
      <c r="B11" s="160"/>
      <c r="C11" s="80"/>
      <c r="D11" s="80"/>
      <c r="E11" s="80"/>
      <c r="F11" s="80"/>
      <c r="G11" s="80"/>
      <c r="H11" s="80"/>
      <c r="I11" s="80"/>
      <c r="J11" s="80"/>
      <c r="K11" s="80"/>
      <c r="L11" s="80"/>
      <c r="M11" s="80"/>
      <c r="N11" s="80"/>
      <c r="O11" s="80"/>
      <c r="P11" s="80"/>
      <c r="Q11" s="80"/>
      <c r="R11" s="80"/>
      <c r="S11" s="80"/>
      <c r="T11" s="80"/>
      <c r="U11" s="80"/>
      <c r="V11" s="80"/>
      <c r="W11" s="80"/>
      <c r="X11" s="80"/>
      <c r="Y11" s="69"/>
    </row>
    <row r="12" spans="1:25" x14ac:dyDescent="0.3">
      <c r="A12" s="184" t="s">
        <v>2980</v>
      </c>
      <c r="B12" s="190" t="s">
        <v>5322</v>
      </c>
      <c r="C12" s="94"/>
      <c r="D12" s="61"/>
      <c r="E12" s="97"/>
      <c r="F12" s="94"/>
      <c r="G12" s="97"/>
      <c r="H12" s="94"/>
      <c r="I12" s="97"/>
      <c r="J12" s="97"/>
      <c r="K12" s="94"/>
      <c r="L12" s="87"/>
      <c r="M12" s="61"/>
      <c r="N12" s="87"/>
      <c r="O12" s="61"/>
      <c r="P12" s="94"/>
      <c r="Q12" s="94"/>
      <c r="R12" s="61"/>
      <c r="S12" s="97"/>
      <c r="T12" s="94"/>
      <c r="U12" s="97"/>
      <c r="V12" s="61"/>
      <c r="W12" s="97"/>
      <c r="X12" s="94"/>
      <c r="Y12" s="69"/>
    </row>
    <row r="13" spans="1:25" x14ac:dyDescent="0.3">
      <c r="A13" s="162"/>
      <c r="B13" s="153"/>
      <c r="C13" s="46"/>
      <c r="D13" s="53"/>
      <c r="E13" s="46"/>
      <c r="F13" s="46"/>
      <c r="G13" s="46"/>
      <c r="H13" s="46"/>
      <c r="I13" s="46"/>
      <c r="J13" s="46"/>
      <c r="K13" s="46"/>
      <c r="L13" s="46"/>
      <c r="M13" s="46"/>
      <c r="N13" s="46"/>
      <c r="O13" s="46"/>
      <c r="P13" s="46"/>
      <c r="Q13" s="46"/>
      <c r="R13" s="46"/>
      <c r="S13" s="46"/>
      <c r="T13" s="46"/>
      <c r="U13" s="46"/>
      <c r="V13" s="46"/>
      <c r="W13" s="46"/>
      <c r="X13" s="46"/>
      <c r="Y13" s="69"/>
    </row>
    <row r="14" spans="1:25" x14ac:dyDescent="0.3">
      <c r="A14" s="162" t="s">
        <v>2981</v>
      </c>
      <c r="B14" s="153" t="s">
        <v>2982</v>
      </c>
      <c r="C14" s="67"/>
      <c r="D14" s="54">
        <f>ROUND(SUM(D12:D13),0)</f>
        <v>0</v>
      </c>
      <c r="E14" s="67"/>
      <c r="F14" s="67"/>
      <c r="G14" s="67"/>
      <c r="H14" s="67"/>
      <c r="I14" s="67"/>
      <c r="J14" s="67"/>
      <c r="K14" s="67"/>
      <c r="L14" s="67"/>
      <c r="M14" s="98">
        <f>ROUND(SUM(M12:M13),0)</f>
        <v>0</v>
      </c>
      <c r="N14" s="67"/>
      <c r="O14" s="98">
        <f>ROUND(SUM(O12:O13),0)</f>
        <v>0</v>
      </c>
      <c r="P14" s="67"/>
      <c r="Q14" s="67"/>
      <c r="R14" s="98">
        <f>ROUND(SUM(R12:R13),0)</f>
        <v>0</v>
      </c>
      <c r="S14" s="67"/>
      <c r="T14" s="67"/>
      <c r="U14" s="67"/>
      <c r="V14" s="98">
        <f>ROUND(SUM(V12:V13),0)</f>
        <v>0</v>
      </c>
      <c r="W14" s="67"/>
      <c r="X14" s="67"/>
      <c r="Y14" s="69"/>
    </row>
    <row r="15" spans="1:25" x14ac:dyDescent="0.3">
      <c r="A15" s="162"/>
      <c r="B15" s="153"/>
      <c r="C15" s="46"/>
      <c r="D15" s="53"/>
      <c r="E15" s="46"/>
      <c r="F15" s="46"/>
      <c r="G15" s="46"/>
      <c r="H15" s="46"/>
      <c r="I15" s="46"/>
      <c r="J15" s="46"/>
      <c r="K15" s="46"/>
      <c r="L15" s="46"/>
      <c r="M15" s="46"/>
      <c r="N15" s="46"/>
      <c r="O15" s="46"/>
      <c r="P15" s="46"/>
      <c r="Q15" s="46"/>
      <c r="R15" s="46"/>
      <c r="S15" s="46"/>
      <c r="T15" s="46"/>
      <c r="U15" s="46"/>
      <c r="V15" s="46"/>
      <c r="W15" s="46"/>
      <c r="X15" s="46"/>
      <c r="Y15" s="69"/>
    </row>
    <row r="16" spans="1:25" x14ac:dyDescent="0.3">
      <c r="A16" s="162"/>
      <c r="B16" s="179" t="s">
        <v>2983</v>
      </c>
      <c r="C16" s="46"/>
      <c r="D16" s="53"/>
      <c r="E16" s="46"/>
      <c r="F16" s="46"/>
      <c r="G16" s="46"/>
      <c r="H16" s="46"/>
      <c r="I16" s="46"/>
      <c r="J16" s="46"/>
      <c r="K16" s="46"/>
      <c r="L16" s="46"/>
      <c r="M16" s="46"/>
      <c r="N16" s="46"/>
      <c r="O16" s="46"/>
      <c r="P16" s="46"/>
      <c r="Q16" s="46"/>
      <c r="R16" s="46"/>
      <c r="S16" s="46"/>
      <c r="T16" s="46"/>
      <c r="U16" s="46"/>
      <c r="V16" s="46"/>
      <c r="W16" s="46"/>
      <c r="X16" s="46"/>
      <c r="Y16" s="69"/>
    </row>
    <row r="17" spans="1:25" x14ac:dyDescent="0.3">
      <c r="A17" s="162"/>
      <c r="B17" s="153"/>
      <c r="C17" s="46"/>
      <c r="D17" s="53"/>
      <c r="E17" s="46"/>
      <c r="F17" s="46"/>
      <c r="G17" s="46"/>
      <c r="H17" s="46"/>
      <c r="I17" s="46"/>
      <c r="J17" s="46"/>
      <c r="K17" s="46"/>
      <c r="L17" s="46"/>
      <c r="M17" s="46"/>
      <c r="N17" s="46"/>
      <c r="O17" s="46"/>
      <c r="P17" s="46"/>
      <c r="Q17" s="46"/>
      <c r="R17" s="46"/>
      <c r="S17" s="46"/>
      <c r="T17" s="46"/>
      <c r="U17" s="46"/>
      <c r="V17" s="46"/>
      <c r="W17" s="46"/>
      <c r="X17" s="46"/>
      <c r="Y17" s="69"/>
    </row>
    <row r="18" spans="1:25" x14ac:dyDescent="0.3">
      <c r="A18" s="184" t="s">
        <v>2984</v>
      </c>
      <c r="B18" s="190" t="s">
        <v>5322</v>
      </c>
      <c r="C18" s="94"/>
      <c r="D18" s="61"/>
      <c r="E18" s="97"/>
      <c r="F18" s="94"/>
      <c r="G18" s="97"/>
      <c r="H18" s="94"/>
      <c r="I18" s="97"/>
      <c r="J18" s="97"/>
      <c r="K18" s="94"/>
      <c r="L18" s="87"/>
      <c r="M18" s="61"/>
      <c r="N18" s="87"/>
      <c r="O18" s="61"/>
      <c r="P18" s="94"/>
      <c r="Q18" s="94"/>
      <c r="R18" s="61"/>
      <c r="S18" s="97"/>
      <c r="T18" s="94"/>
      <c r="U18" s="97"/>
      <c r="V18" s="61"/>
      <c r="W18" s="97"/>
      <c r="X18" s="94"/>
      <c r="Y18" s="69"/>
    </row>
    <row r="19" spans="1:25" x14ac:dyDescent="0.3">
      <c r="A19" s="162"/>
      <c r="B19" s="153"/>
      <c r="C19" s="46"/>
      <c r="D19" s="53"/>
      <c r="E19" s="46"/>
      <c r="F19" s="46"/>
      <c r="G19" s="46"/>
      <c r="H19" s="46"/>
      <c r="I19" s="46"/>
      <c r="J19" s="46"/>
      <c r="K19" s="46"/>
      <c r="L19" s="46"/>
      <c r="M19" s="46"/>
      <c r="N19" s="46"/>
      <c r="O19" s="46"/>
      <c r="P19" s="46"/>
      <c r="Q19" s="46"/>
      <c r="R19" s="46"/>
      <c r="S19" s="46"/>
      <c r="T19" s="46"/>
      <c r="U19" s="46"/>
      <c r="V19" s="46"/>
      <c r="W19" s="46"/>
      <c r="X19" s="46"/>
      <c r="Y19" s="69"/>
    </row>
    <row r="20" spans="1:25" x14ac:dyDescent="0.3">
      <c r="A20" s="162" t="s">
        <v>2985</v>
      </c>
      <c r="B20" s="153" t="s">
        <v>2986</v>
      </c>
      <c r="C20" s="67"/>
      <c r="D20" s="54">
        <f>ROUND(SUM(D18:D19),0)</f>
        <v>0</v>
      </c>
      <c r="E20" s="67"/>
      <c r="F20" s="67"/>
      <c r="G20" s="67"/>
      <c r="H20" s="67"/>
      <c r="I20" s="67"/>
      <c r="J20" s="67"/>
      <c r="K20" s="67"/>
      <c r="L20" s="67"/>
      <c r="M20" s="98">
        <f>ROUND(SUM(M18:M19),0)</f>
        <v>0</v>
      </c>
      <c r="N20" s="67"/>
      <c r="O20" s="98">
        <f>ROUND(SUM(O18:O19),0)</f>
        <v>0</v>
      </c>
      <c r="P20" s="67"/>
      <c r="Q20" s="67"/>
      <c r="R20" s="98">
        <f>ROUND(SUM(R18:R19),0)</f>
        <v>0</v>
      </c>
      <c r="S20" s="67"/>
      <c r="T20" s="67"/>
      <c r="U20" s="67"/>
      <c r="V20" s="98">
        <f>ROUND(SUM(V18:V19),0)</f>
        <v>0</v>
      </c>
      <c r="W20" s="67"/>
      <c r="X20" s="67"/>
      <c r="Y20" s="69"/>
    </row>
    <row r="21" spans="1:25" x14ac:dyDescent="0.3">
      <c r="A21" s="163"/>
      <c r="B21" s="160"/>
      <c r="C21" s="46"/>
      <c r="D21" s="46"/>
      <c r="E21" s="46"/>
      <c r="F21" s="46"/>
      <c r="G21" s="46"/>
      <c r="H21" s="46"/>
      <c r="I21" s="46"/>
      <c r="J21" s="46"/>
      <c r="K21" s="46"/>
      <c r="L21" s="46"/>
      <c r="M21" s="46"/>
      <c r="N21" s="46"/>
      <c r="O21" s="46"/>
      <c r="P21" s="46"/>
      <c r="Q21" s="46"/>
      <c r="R21" s="46"/>
      <c r="S21" s="46"/>
      <c r="T21" s="46"/>
      <c r="U21" s="46"/>
      <c r="V21" s="46"/>
      <c r="W21" s="46"/>
      <c r="X21" s="46"/>
      <c r="Y21" s="69"/>
    </row>
    <row r="22" spans="1:25" ht="8.1" customHeight="1" x14ac:dyDescent="0.3">
      <c r="A22" s="152"/>
      <c r="B22" s="152"/>
      <c r="C22" s="70"/>
      <c r="D22" s="70"/>
      <c r="E22" s="70"/>
      <c r="F22" s="70"/>
      <c r="G22" s="70"/>
      <c r="H22" s="70"/>
      <c r="I22" s="70"/>
      <c r="J22" s="70"/>
      <c r="K22" s="70"/>
      <c r="L22" s="70"/>
      <c r="M22" s="70"/>
      <c r="N22" s="70"/>
      <c r="O22" s="70"/>
      <c r="P22" s="70"/>
      <c r="Q22" s="70"/>
      <c r="R22" s="70"/>
      <c r="S22" s="70"/>
      <c r="T22" s="70"/>
      <c r="U22" s="70"/>
      <c r="V22" s="70"/>
      <c r="W22" s="70"/>
      <c r="X22" s="70"/>
      <c r="Y22" s="69"/>
    </row>
  </sheetData>
  <sheetProtection password="C9D6" sheet="1" objects="1" scenario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xr:uid="{00000000-0002-0000-1A00-000000000000}">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xr:uid="{00000000-0002-0000-1A00-00000100000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xr:uid="{00000000-0002-0000-1A00-00000200000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xr:uid="{00000000-0002-0000-1A00-000003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xr:uid="{00000000-0002-0000-1A00-000004000000}">
      <formula1>CATALOGCOLUMNFILTERED146</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N33"/>
  <sheetViews>
    <sheetView workbookViewId="0"/>
  </sheetViews>
  <sheetFormatPr defaultColWidth="11.5546875" defaultRowHeight="14.4" x14ac:dyDescent="0.3"/>
  <cols>
    <col min="1" max="1" width="14.33203125" style="107" customWidth="1"/>
    <col min="2" max="2" width="35.6640625" style="107" customWidth="1"/>
    <col min="3" max="13" width="18.6640625" style="107" customWidth="1"/>
    <col min="14" max="14" width="1.6640625" style="107" customWidth="1"/>
    <col min="15" max="16384" width="11.5546875" style="107"/>
  </cols>
  <sheetData>
    <row r="1" spans="1:14" ht="20.399999999999999" x14ac:dyDescent="0.3">
      <c r="A1" s="42" t="s">
        <v>0</v>
      </c>
      <c r="B1" s="128" t="s">
        <v>5623</v>
      </c>
      <c r="C1" s="42"/>
      <c r="D1" s="42"/>
      <c r="E1" s="42" t="s">
        <v>0</v>
      </c>
      <c r="F1" s="42" t="s">
        <v>0</v>
      </c>
      <c r="G1" s="42" t="s">
        <v>0</v>
      </c>
      <c r="H1" s="42" t="s">
        <v>0</v>
      </c>
      <c r="I1" s="42" t="s">
        <v>0</v>
      </c>
      <c r="J1" s="42" t="s">
        <v>0</v>
      </c>
      <c r="K1" s="42" t="s">
        <v>0</v>
      </c>
      <c r="L1" s="42" t="s">
        <v>0</v>
      </c>
      <c r="M1" s="42" t="s">
        <v>0</v>
      </c>
      <c r="N1" s="69" t="s">
        <v>0</v>
      </c>
    </row>
    <row r="2" spans="1:14" x14ac:dyDescent="0.3">
      <c r="A2" s="121" t="s">
        <v>5597</v>
      </c>
      <c r="B2" s="121" t="s">
        <v>5598</v>
      </c>
      <c r="C2" s="44" t="s">
        <v>5660</v>
      </c>
      <c r="D2" s="44" t="s">
        <v>586</v>
      </c>
      <c r="E2" s="44" t="s">
        <v>587</v>
      </c>
      <c r="F2" s="44" t="s">
        <v>2987</v>
      </c>
      <c r="G2" s="44" t="s">
        <v>2988</v>
      </c>
      <c r="H2" s="44" t="s">
        <v>2989</v>
      </c>
      <c r="I2" s="44" t="s">
        <v>2990</v>
      </c>
      <c r="J2" s="44" t="s">
        <v>2991</v>
      </c>
      <c r="K2" s="44" t="s">
        <v>2992</v>
      </c>
      <c r="L2" s="44" t="s">
        <v>2993</v>
      </c>
      <c r="M2" s="44" t="s">
        <v>2994</v>
      </c>
      <c r="N2" s="69" t="s">
        <v>0</v>
      </c>
    </row>
    <row r="3" spans="1:14" x14ac:dyDescent="0.3">
      <c r="A3" s="163"/>
      <c r="B3" s="46" t="s">
        <v>0</v>
      </c>
      <c r="C3" s="137"/>
      <c r="D3" s="137"/>
      <c r="E3" s="137"/>
      <c r="F3" s="137"/>
      <c r="G3" s="137"/>
      <c r="H3" s="137"/>
      <c r="I3" s="137"/>
      <c r="J3" s="137"/>
      <c r="K3" s="137"/>
      <c r="L3" s="137"/>
      <c r="M3" s="137"/>
      <c r="N3" s="69"/>
    </row>
    <row r="4" spans="1:14" x14ac:dyDescent="0.3">
      <c r="A4" s="163"/>
      <c r="B4" s="18" t="s">
        <v>0</v>
      </c>
      <c r="C4" s="177"/>
      <c r="D4" s="177"/>
      <c r="E4" s="177"/>
      <c r="F4" s="177"/>
      <c r="G4" s="177"/>
      <c r="H4" s="177"/>
      <c r="I4" s="177"/>
      <c r="J4" s="177"/>
      <c r="K4" s="177"/>
      <c r="L4" s="177"/>
      <c r="M4" s="177"/>
      <c r="N4" s="69"/>
    </row>
    <row r="5" spans="1:14" x14ac:dyDescent="0.3">
      <c r="A5" s="163"/>
      <c r="B5" s="51" t="s">
        <v>5626</v>
      </c>
      <c r="C5" s="137"/>
      <c r="D5" s="137"/>
      <c r="E5" s="137"/>
      <c r="F5" s="137"/>
      <c r="G5" s="137"/>
      <c r="H5" s="137"/>
      <c r="I5" s="137"/>
      <c r="J5" s="137"/>
      <c r="K5" s="137"/>
      <c r="L5" s="137"/>
      <c r="M5" s="137"/>
      <c r="N5" s="69"/>
    </row>
    <row r="6" spans="1:14" x14ac:dyDescent="0.3">
      <c r="A6" s="163"/>
      <c r="B6" s="18" t="s">
        <v>0</v>
      </c>
      <c r="C6" s="137"/>
      <c r="D6" s="137"/>
      <c r="E6" s="137"/>
      <c r="F6" s="137"/>
      <c r="G6" s="137"/>
      <c r="H6" s="137"/>
      <c r="I6" s="137"/>
      <c r="J6" s="137"/>
      <c r="K6" s="137"/>
      <c r="L6" s="137"/>
      <c r="M6" s="137"/>
      <c r="N6" s="69"/>
    </row>
    <row r="7" spans="1:14" ht="51" x14ac:dyDescent="0.3">
      <c r="A7" s="163"/>
      <c r="B7" s="20" t="s">
        <v>5654</v>
      </c>
      <c r="C7" s="83"/>
      <c r="D7" s="137"/>
      <c r="E7" s="137"/>
      <c r="F7" s="137"/>
      <c r="G7" s="137"/>
      <c r="H7" s="137"/>
      <c r="I7" s="137"/>
      <c r="J7" s="137"/>
      <c r="K7" s="137"/>
      <c r="L7" s="137"/>
      <c r="M7" s="137"/>
      <c r="N7" s="69"/>
    </row>
    <row r="8" spans="1:14" x14ac:dyDescent="0.3">
      <c r="A8" s="163"/>
      <c r="B8" s="160"/>
      <c r="C8" s="137"/>
      <c r="D8" s="137"/>
      <c r="E8" s="137"/>
      <c r="F8" s="137"/>
      <c r="G8" s="137"/>
      <c r="H8" s="137"/>
      <c r="I8" s="137"/>
      <c r="J8" s="137"/>
      <c r="K8" s="137"/>
      <c r="L8" s="137"/>
      <c r="M8" s="137"/>
      <c r="N8" s="69"/>
    </row>
    <row r="9" spans="1:14" ht="20.399999999999999" x14ac:dyDescent="0.3">
      <c r="A9" s="162" t="s">
        <v>2995</v>
      </c>
      <c r="B9" s="153" t="s">
        <v>5546</v>
      </c>
      <c r="C9" s="160"/>
      <c r="D9" s="160"/>
      <c r="E9" s="160"/>
      <c r="F9" s="160"/>
      <c r="G9" s="160"/>
      <c r="H9" s="160"/>
      <c r="I9" s="160"/>
      <c r="J9" s="160"/>
      <c r="K9" s="160"/>
      <c r="L9" s="160"/>
      <c r="M9" s="160"/>
      <c r="N9" s="149"/>
    </row>
    <row r="10" spans="1:14" x14ac:dyDescent="0.3">
      <c r="A10" s="162" t="s">
        <v>2997</v>
      </c>
      <c r="B10" s="153" t="s">
        <v>5547</v>
      </c>
      <c r="C10" s="160"/>
      <c r="D10" s="160"/>
      <c r="E10" s="160"/>
      <c r="F10" s="160"/>
      <c r="G10" s="160"/>
      <c r="H10" s="160"/>
      <c r="I10" s="160"/>
      <c r="J10" s="160"/>
      <c r="K10" s="160"/>
      <c r="L10" s="160"/>
      <c r="M10" s="160"/>
      <c r="N10" s="149"/>
    </row>
    <row r="11" spans="1:14" ht="20.399999999999999" x14ac:dyDescent="0.3">
      <c r="A11" s="162" t="s">
        <v>2999</v>
      </c>
      <c r="B11" s="153" t="s">
        <v>5548</v>
      </c>
      <c r="C11" s="185"/>
      <c r="D11" s="185"/>
      <c r="E11" s="185"/>
      <c r="F11" s="185"/>
      <c r="G11" s="185"/>
      <c r="H11" s="185"/>
      <c r="I11" s="185"/>
      <c r="J11" s="185"/>
      <c r="K11" s="185"/>
      <c r="L11" s="185"/>
      <c r="M11" s="185"/>
      <c r="N11" s="149"/>
    </row>
    <row r="12" spans="1:14" ht="61.2" x14ac:dyDescent="0.3">
      <c r="A12" s="162"/>
      <c r="B12" s="153" t="s">
        <v>5549</v>
      </c>
      <c r="C12" s="160"/>
      <c r="D12" s="160"/>
      <c r="E12" s="160"/>
      <c r="F12" s="160"/>
      <c r="G12" s="160"/>
      <c r="H12" s="160"/>
      <c r="I12" s="160"/>
      <c r="J12" s="160"/>
      <c r="K12" s="160"/>
      <c r="L12" s="160"/>
      <c r="M12" s="160"/>
      <c r="N12" s="149"/>
    </row>
    <row r="13" spans="1:14" x14ac:dyDescent="0.3">
      <c r="A13" s="162"/>
      <c r="B13" s="153"/>
      <c r="C13" s="160"/>
      <c r="D13" s="160"/>
      <c r="E13" s="160"/>
      <c r="F13" s="160"/>
      <c r="G13" s="160"/>
      <c r="H13" s="160"/>
      <c r="I13" s="160"/>
      <c r="J13" s="160"/>
      <c r="K13" s="160"/>
      <c r="L13" s="160"/>
      <c r="M13" s="160"/>
      <c r="N13" s="149"/>
    </row>
    <row r="14" spans="1:14" x14ac:dyDescent="0.3">
      <c r="A14" s="162" t="s">
        <v>3001</v>
      </c>
      <c r="B14" s="153" t="s">
        <v>2996</v>
      </c>
      <c r="C14" s="116"/>
      <c r="D14" s="116"/>
      <c r="E14" s="116"/>
      <c r="F14" s="116"/>
      <c r="G14" s="116"/>
      <c r="H14" s="116"/>
      <c r="I14" s="116"/>
      <c r="J14" s="116"/>
      <c r="K14" s="116"/>
      <c r="L14" s="116"/>
      <c r="M14" s="116"/>
      <c r="N14" s="69"/>
    </row>
    <row r="15" spans="1:14" x14ac:dyDescent="0.3">
      <c r="A15" s="162"/>
      <c r="B15" s="153"/>
      <c r="C15" s="46"/>
      <c r="D15" s="46"/>
      <c r="E15" s="46"/>
      <c r="F15" s="46"/>
      <c r="G15" s="46"/>
      <c r="H15" s="46"/>
      <c r="I15" s="46"/>
      <c r="J15" s="46"/>
      <c r="K15" s="46"/>
      <c r="L15" s="46"/>
      <c r="M15" s="46"/>
      <c r="N15" s="69"/>
    </row>
    <row r="16" spans="1:14" ht="20.399999999999999" x14ac:dyDescent="0.3">
      <c r="A16" s="162" t="s">
        <v>3002</v>
      </c>
      <c r="B16" s="153" t="s">
        <v>2998</v>
      </c>
      <c r="C16" s="93"/>
      <c r="D16" s="93"/>
      <c r="E16" s="93"/>
      <c r="F16" s="93"/>
      <c r="G16" s="93"/>
      <c r="H16" s="93"/>
      <c r="I16" s="93"/>
      <c r="J16" s="93"/>
      <c r="K16" s="93"/>
      <c r="L16" s="93"/>
      <c r="M16" s="93"/>
      <c r="N16" s="69"/>
    </row>
    <row r="17" spans="1:14" ht="30.6" x14ac:dyDescent="0.3">
      <c r="A17" s="162" t="s">
        <v>3003</v>
      </c>
      <c r="B17" s="153" t="s">
        <v>3000</v>
      </c>
      <c r="C17" s="93"/>
      <c r="D17" s="93"/>
      <c r="E17" s="93"/>
      <c r="F17" s="93"/>
      <c r="G17" s="93"/>
      <c r="H17" s="93"/>
      <c r="I17" s="93"/>
      <c r="J17" s="93"/>
      <c r="K17" s="93"/>
      <c r="L17" s="93"/>
      <c r="M17" s="93"/>
      <c r="N17" s="69"/>
    </row>
    <row r="18" spans="1:14" x14ac:dyDescent="0.3">
      <c r="A18" s="162" t="s">
        <v>3005</v>
      </c>
      <c r="B18" s="153" t="s">
        <v>3008</v>
      </c>
      <c r="C18" s="93">
        <f t="shared" ref="C18:M18" si="0">IF(C17&gt;0,(IF(C17&gt;C16,1,TRUNC(C16/C17,4))),0)</f>
        <v>0</v>
      </c>
      <c r="D18" s="93">
        <f t="shared" si="0"/>
        <v>0</v>
      </c>
      <c r="E18" s="93">
        <f t="shared" si="0"/>
        <v>0</v>
      </c>
      <c r="F18" s="93">
        <f t="shared" si="0"/>
        <v>0</v>
      </c>
      <c r="G18" s="93">
        <f t="shared" si="0"/>
        <v>0</v>
      </c>
      <c r="H18" s="93">
        <f t="shared" si="0"/>
        <v>0</v>
      </c>
      <c r="I18" s="93">
        <f t="shared" si="0"/>
        <v>0</v>
      </c>
      <c r="J18" s="93">
        <f t="shared" si="0"/>
        <v>0</v>
      </c>
      <c r="K18" s="93">
        <f t="shared" si="0"/>
        <v>0</v>
      </c>
      <c r="L18" s="93">
        <f t="shared" si="0"/>
        <v>0</v>
      </c>
      <c r="M18" s="93">
        <f t="shared" si="0"/>
        <v>0</v>
      </c>
      <c r="N18" s="69"/>
    </row>
    <row r="19" spans="1:14" ht="20.399999999999999" x14ac:dyDescent="0.3">
      <c r="A19" s="162" t="s">
        <v>3007</v>
      </c>
      <c r="B19" s="153" t="s">
        <v>5550</v>
      </c>
      <c r="C19" s="117">
        <f t="shared" ref="C19:M19" si="1">ROUND(C14*C18,0)</f>
        <v>0</v>
      </c>
      <c r="D19" s="116">
        <f t="shared" si="1"/>
        <v>0</v>
      </c>
      <c r="E19" s="116">
        <f t="shared" si="1"/>
        <v>0</v>
      </c>
      <c r="F19" s="116">
        <f t="shared" si="1"/>
        <v>0</v>
      </c>
      <c r="G19" s="116">
        <f t="shared" si="1"/>
        <v>0</v>
      </c>
      <c r="H19" s="116">
        <f t="shared" si="1"/>
        <v>0</v>
      </c>
      <c r="I19" s="116">
        <f t="shared" si="1"/>
        <v>0</v>
      </c>
      <c r="J19" s="116">
        <f t="shared" si="1"/>
        <v>0</v>
      </c>
      <c r="K19" s="116">
        <f t="shared" si="1"/>
        <v>0</v>
      </c>
      <c r="L19" s="116">
        <f t="shared" si="1"/>
        <v>0</v>
      </c>
      <c r="M19" s="116">
        <f t="shared" si="1"/>
        <v>0</v>
      </c>
      <c r="N19" s="69"/>
    </row>
    <row r="20" spans="1:14" x14ac:dyDescent="0.3">
      <c r="A20" s="162"/>
      <c r="B20" s="153"/>
      <c r="C20" s="46"/>
      <c r="D20" s="46"/>
      <c r="E20" s="46"/>
      <c r="F20" s="46"/>
      <c r="G20" s="46"/>
      <c r="H20" s="46"/>
      <c r="I20" s="46"/>
      <c r="J20" s="46"/>
      <c r="K20" s="46"/>
      <c r="L20" s="46"/>
      <c r="M20" s="46"/>
      <c r="N20" s="69"/>
    </row>
    <row r="21" spans="1:14" ht="30.6" x14ac:dyDescent="0.3">
      <c r="A21" s="162" t="s">
        <v>3009</v>
      </c>
      <c r="B21" s="153" t="s">
        <v>3004</v>
      </c>
      <c r="C21" s="93"/>
      <c r="D21" s="93"/>
      <c r="E21" s="93"/>
      <c r="F21" s="93"/>
      <c r="G21" s="93"/>
      <c r="H21" s="93"/>
      <c r="I21" s="93"/>
      <c r="J21" s="93"/>
      <c r="K21" s="93"/>
      <c r="L21" s="93"/>
      <c r="M21" s="93"/>
      <c r="N21" s="69"/>
    </row>
    <row r="22" spans="1:14" ht="20.399999999999999" x14ac:dyDescent="0.3">
      <c r="A22" s="162" t="s">
        <v>3011</v>
      </c>
      <c r="B22" s="153" t="s">
        <v>3006</v>
      </c>
      <c r="C22" s="93"/>
      <c r="D22" s="93"/>
      <c r="E22" s="93"/>
      <c r="F22" s="93"/>
      <c r="G22" s="93"/>
      <c r="H22" s="93"/>
      <c r="I22" s="93"/>
      <c r="J22" s="93"/>
      <c r="K22" s="93"/>
      <c r="L22" s="93"/>
      <c r="M22" s="93"/>
      <c r="N22" s="69"/>
    </row>
    <row r="23" spans="1:14" x14ac:dyDescent="0.3">
      <c r="A23" s="162" t="s">
        <v>3012</v>
      </c>
      <c r="B23" s="153" t="s">
        <v>3008</v>
      </c>
      <c r="C23" s="93">
        <f t="shared" ref="C23:M23" si="2">IF(C22&gt;0,(IF(C22&gt;C21,1,TRUNC(C21/C22,4))),0)</f>
        <v>0</v>
      </c>
      <c r="D23" s="93">
        <f t="shared" si="2"/>
        <v>0</v>
      </c>
      <c r="E23" s="93">
        <f t="shared" si="2"/>
        <v>0</v>
      </c>
      <c r="F23" s="93">
        <f t="shared" si="2"/>
        <v>0</v>
      </c>
      <c r="G23" s="93">
        <f t="shared" si="2"/>
        <v>0</v>
      </c>
      <c r="H23" s="93">
        <f t="shared" si="2"/>
        <v>0</v>
      </c>
      <c r="I23" s="93">
        <f t="shared" si="2"/>
        <v>0</v>
      </c>
      <c r="J23" s="93">
        <f t="shared" si="2"/>
        <v>0</v>
      </c>
      <c r="K23" s="93">
        <f t="shared" si="2"/>
        <v>0</v>
      </c>
      <c r="L23" s="93">
        <f t="shared" si="2"/>
        <v>0</v>
      </c>
      <c r="M23" s="93">
        <f t="shared" si="2"/>
        <v>0</v>
      </c>
      <c r="N23" s="69"/>
    </row>
    <row r="24" spans="1:14" ht="20.399999999999999" x14ac:dyDescent="0.3">
      <c r="A24" s="162" t="s">
        <v>5551</v>
      </c>
      <c r="B24" s="153" t="s">
        <v>3010</v>
      </c>
      <c r="C24" s="99">
        <f t="shared" ref="C24:M24" si="3">ROUND(C19*C23,0)</f>
        <v>0</v>
      </c>
      <c r="D24" s="99">
        <f t="shared" si="3"/>
        <v>0</v>
      </c>
      <c r="E24" s="99">
        <f t="shared" si="3"/>
        <v>0</v>
      </c>
      <c r="F24" s="99">
        <f t="shared" si="3"/>
        <v>0</v>
      </c>
      <c r="G24" s="99">
        <f t="shared" si="3"/>
        <v>0</v>
      </c>
      <c r="H24" s="99">
        <f t="shared" si="3"/>
        <v>0</v>
      </c>
      <c r="I24" s="99">
        <f t="shared" si="3"/>
        <v>0</v>
      </c>
      <c r="J24" s="99">
        <f t="shared" si="3"/>
        <v>0</v>
      </c>
      <c r="K24" s="99">
        <f t="shared" si="3"/>
        <v>0</v>
      </c>
      <c r="L24" s="99">
        <f t="shared" si="3"/>
        <v>0</v>
      </c>
      <c r="M24" s="99">
        <f t="shared" si="3"/>
        <v>0</v>
      </c>
      <c r="N24" s="69"/>
    </row>
    <row r="25" spans="1:14" x14ac:dyDescent="0.3">
      <c r="A25" s="162"/>
      <c r="B25" s="153"/>
      <c r="C25" s="46"/>
      <c r="D25" s="46"/>
      <c r="E25" s="46"/>
      <c r="F25" s="46"/>
      <c r="G25" s="46"/>
      <c r="H25" s="46"/>
      <c r="I25" s="46"/>
      <c r="J25" s="46"/>
      <c r="K25" s="46"/>
      <c r="L25" s="46"/>
      <c r="M25" s="46"/>
      <c r="N25" s="69"/>
    </row>
    <row r="26" spans="1:14" ht="51" x14ac:dyDescent="0.3">
      <c r="A26" s="162"/>
      <c r="B26" s="153" t="s">
        <v>5552</v>
      </c>
      <c r="C26" s="46"/>
      <c r="D26" s="46"/>
      <c r="E26" s="46"/>
      <c r="F26" s="46"/>
      <c r="G26" s="46"/>
      <c r="H26" s="46"/>
      <c r="I26" s="46"/>
      <c r="J26" s="46"/>
      <c r="K26" s="46"/>
      <c r="L26" s="46"/>
      <c r="M26" s="46"/>
      <c r="N26" s="69"/>
    </row>
    <row r="27" spans="1:14" x14ac:dyDescent="0.3">
      <c r="A27" s="162"/>
      <c r="B27" s="153"/>
      <c r="C27" s="46"/>
      <c r="D27" s="46"/>
      <c r="E27" s="46"/>
      <c r="F27" s="46"/>
      <c r="G27" s="46"/>
      <c r="H27" s="46"/>
      <c r="I27" s="46"/>
      <c r="J27" s="46"/>
      <c r="K27" s="46"/>
      <c r="L27" s="46"/>
      <c r="M27" s="46"/>
      <c r="N27" s="69"/>
    </row>
    <row r="28" spans="1:14" ht="20.399999999999999" x14ac:dyDescent="0.3">
      <c r="A28" s="184" t="s">
        <v>5553</v>
      </c>
      <c r="B28" s="190" t="s">
        <v>5554</v>
      </c>
      <c r="C28" s="99"/>
      <c r="D28" s="99"/>
      <c r="E28" s="99"/>
      <c r="F28" s="99"/>
      <c r="G28" s="99"/>
      <c r="H28" s="99"/>
      <c r="I28" s="99"/>
      <c r="J28" s="99"/>
      <c r="K28" s="99"/>
      <c r="L28" s="99"/>
      <c r="M28" s="99"/>
      <c r="N28" s="69"/>
    </row>
    <row r="29" spans="1:14" x14ac:dyDescent="0.3">
      <c r="A29" s="162"/>
      <c r="B29" s="153"/>
      <c r="C29" s="46"/>
      <c r="D29" s="46"/>
      <c r="E29" s="46"/>
      <c r="F29" s="46"/>
      <c r="G29" s="46"/>
      <c r="H29" s="46"/>
      <c r="I29" s="46"/>
      <c r="J29" s="46"/>
      <c r="K29" s="46"/>
      <c r="L29" s="46"/>
      <c r="M29" s="46"/>
      <c r="N29" s="69"/>
    </row>
    <row r="30" spans="1:14" ht="71.400000000000006" x14ac:dyDescent="0.3">
      <c r="A30" s="162"/>
      <c r="B30" s="153" t="s">
        <v>5555</v>
      </c>
      <c r="C30" s="46"/>
      <c r="D30" s="46"/>
      <c r="E30" s="46"/>
      <c r="F30" s="46"/>
      <c r="G30" s="46"/>
      <c r="H30" s="46"/>
      <c r="I30" s="46"/>
      <c r="J30" s="46"/>
      <c r="K30" s="46"/>
      <c r="L30" s="46"/>
      <c r="M30" s="46"/>
      <c r="N30" s="69"/>
    </row>
    <row r="31" spans="1:14" x14ac:dyDescent="0.3">
      <c r="A31" s="162"/>
      <c r="B31" s="153"/>
      <c r="C31" s="46"/>
      <c r="D31" s="46"/>
      <c r="E31" s="46"/>
      <c r="F31" s="46"/>
      <c r="G31" s="46"/>
      <c r="H31" s="46"/>
      <c r="I31" s="46"/>
      <c r="J31" s="46"/>
      <c r="K31" s="46"/>
      <c r="L31" s="46"/>
      <c r="M31" s="46"/>
      <c r="N31" s="69"/>
    </row>
    <row r="32" spans="1:14" ht="20.399999999999999" x14ac:dyDescent="0.3">
      <c r="A32" s="162" t="s">
        <v>5556</v>
      </c>
      <c r="B32" s="153" t="s">
        <v>3013</v>
      </c>
      <c r="C32" s="117"/>
      <c r="D32" s="116"/>
      <c r="E32" s="116"/>
      <c r="F32" s="116"/>
      <c r="G32" s="116"/>
      <c r="H32" s="116"/>
      <c r="I32" s="116"/>
      <c r="J32" s="116"/>
      <c r="K32" s="116"/>
      <c r="L32" s="116"/>
      <c r="M32" s="116"/>
      <c r="N32" s="69"/>
    </row>
    <row r="33" spans="1:14" ht="8.1" customHeight="1" x14ac:dyDescent="0.3">
      <c r="A33" s="70" t="s">
        <v>0</v>
      </c>
      <c r="B33" s="152"/>
      <c r="C33" s="70"/>
      <c r="D33" s="70"/>
      <c r="E33" s="70"/>
      <c r="F33" s="70"/>
      <c r="G33" s="70"/>
      <c r="H33" s="70"/>
      <c r="I33" s="70"/>
      <c r="J33" s="70"/>
      <c r="K33" s="70"/>
      <c r="L33" s="70"/>
      <c r="M33" s="70"/>
      <c r="N33" s="69"/>
    </row>
  </sheetData>
  <sheetProtection password="C9D6" sheet="1" objects="1" scenarios="1" formatCells="0" formatColumns="0" formatRows="0" autoFilter="0"/>
  <dataValidations count="1">
    <dataValidation type="list" allowBlank="1" showInputMessage="1" showErrorMessage="1" sqref="C9:M9" xr:uid="{00000000-0002-0000-1B00-000000000000}">
      <formula1>CATALOGCOLUMNFILTERED7</formula1>
    </dataValidation>
  </dataValidations>
  <pageMargins left="0.7" right="0.7" top="0.75" bottom="0.75" header="0.3" footer="0.3"/>
  <pageSetup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E78"/>
  <sheetViews>
    <sheetView workbookViewId="0"/>
  </sheetViews>
  <sheetFormatPr defaultColWidth="11.5546875" defaultRowHeight="14.4" x14ac:dyDescent="0.3"/>
  <cols>
    <col min="1" max="1" width="14.33203125" style="107" customWidth="1"/>
    <col min="2" max="2" width="45.88671875" style="107" customWidth="1"/>
    <col min="3" max="3" width="20.6640625" style="107" customWidth="1"/>
    <col min="4" max="4" width="40.6640625" style="107" customWidth="1"/>
    <col min="5" max="5" width="1.6640625" style="107" customWidth="1"/>
    <col min="6" max="16384" width="11.5546875" style="107"/>
  </cols>
  <sheetData>
    <row r="1" spans="1:5" ht="21.6" x14ac:dyDescent="0.3">
      <c r="A1" s="40" t="s">
        <v>0</v>
      </c>
      <c r="B1" s="89" t="s">
        <v>5624</v>
      </c>
      <c r="C1" s="40"/>
      <c r="D1" s="40"/>
      <c r="E1" s="69"/>
    </row>
    <row r="2" spans="1:5" x14ac:dyDescent="0.3">
      <c r="A2" s="126" t="s">
        <v>5597</v>
      </c>
      <c r="B2" s="126" t="s">
        <v>5598</v>
      </c>
      <c r="C2" s="100" t="s">
        <v>2689</v>
      </c>
      <c r="D2" s="100" t="s">
        <v>3014</v>
      </c>
      <c r="E2" s="69"/>
    </row>
    <row r="3" spans="1:5" x14ac:dyDescent="0.3">
      <c r="A3" s="178"/>
      <c r="B3" s="46" t="s">
        <v>0</v>
      </c>
      <c r="C3" s="49"/>
      <c r="D3" s="49"/>
      <c r="E3" s="69"/>
    </row>
    <row r="4" spans="1:5" x14ac:dyDescent="0.3">
      <c r="A4" s="178"/>
      <c r="B4" s="47" t="s">
        <v>0</v>
      </c>
      <c r="C4" s="49"/>
      <c r="D4" s="49"/>
      <c r="E4" s="69"/>
    </row>
    <row r="5" spans="1:5" ht="61.2" x14ac:dyDescent="0.3">
      <c r="A5" s="178"/>
      <c r="B5" s="140" t="s">
        <v>5655</v>
      </c>
      <c r="C5" s="49"/>
      <c r="D5" s="49"/>
      <c r="E5" s="69"/>
    </row>
    <row r="6" spans="1:5" x14ac:dyDescent="0.3">
      <c r="A6" s="178"/>
      <c r="B6" s="141"/>
      <c r="C6" s="49"/>
      <c r="D6" s="49"/>
      <c r="E6" s="69"/>
    </row>
    <row r="7" spans="1:5" ht="153" x14ac:dyDescent="0.3">
      <c r="A7" s="178"/>
      <c r="B7" s="141" t="s">
        <v>5656</v>
      </c>
      <c r="C7" s="49"/>
      <c r="D7" s="49"/>
      <c r="E7" s="69"/>
    </row>
    <row r="8" spans="1:5" x14ac:dyDescent="0.3">
      <c r="A8" s="178"/>
      <c r="B8" s="141"/>
      <c r="C8" s="49"/>
      <c r="D8" s="49"/>
      <c r="E8" s="69"/>
    </row>
    <row r="9" spans="1:5" ht="20.399999999999999" x14ac:dyDescent="0.3">
      <c r="A9" s="178"/>
      <c r="B9" s="181" t="s">
        <v>5657</v>
      </c>
      <c r="C9" s="49"/>
      <c r="D9" s="49"/>
      <c r="E9" s="69"/>
    </row>
    <row r="10" spans="1:5" x14ac:dyDescent="0.3">
      <c r="A10" s="178"/>
      <c r="B10" s="170"/>
      <c r="C10" s="49"/>
      <c r="D10" s="49"/>
      <c r="E10" s="69"/>
    </row>
    <row r="11" spans="1:5" ht="20.399999999999999" x14ac:dyDescent="0.3">
      <c r="A11" s="162" t="s">
        <v>3015</v>
      </c>
      <c r="B11" s="153" t="s">
        <v>3016</v>
      </c>
      <c r="C11" s="101"/>
      <c r="D11" s="102"/>
      <c r="E11" s="69"/>
    </row>
    <row r="12" spans="1:5" x14ac:dyDescent="0.3">
      <c r="A12" s="162"/>
      <c r="B12" s="153"/>
      <c r="C12" s="46"/>
      <c r="D12" s="46"/>
      <c r="E12" s="69"/>
    </row>
    <row r="13" spans="1:5" ht="30.6" x14ac:dyDescent="0.3">
      <c r="A13" s="162" t="s">
        <v>3017</v>
      </c>
      <c r="B13" s="153" t="s">
        <v>3018</v>
      </c>
      <c r="C13" s="101"/>
      <c r="D13" s="102"/>
      <c r="E13" s="69"/>
    </row>
    <row r="14" spans="1:5" ht="40.799999999999997" x14ac:dyDescent="0.3">
      <c r="A14" s="162" t="s">
        <v>3019</v>
      </c>
      <c r="B14" s="153" t="s">
        <v>3020</v>
      </c>
      <c r="C14" s="101"/>
      <c r="D14" s="102"/>
      <c r="E14" s="69"/>
    </row>
    <row r="15" spans="1:5" ht="30.6" x14ac:dyDescent="0.3">
      <c r="A15" s="162"/>
      <c r="B15" s="153" t="s">
        <v>3021</v>
      </c>
      <c r="C15" s="46"/>
      <c r="D15" s="46"/>
      <c r="E15" s="69"/>
    </row>
    <row r="16" spans="1:5" x14ac:dyDescent="0.3">
      <c r="A16" s="162"/>
      <c r="B16" s="153"/>
      <c r="C16" s="46"/>
      <c r="D16" s="46"/>
      <c r="E16" s="69"/>
    </row>
    <row r="17" spans="1:5" ht="30.6" x14ac:dyDescent="0.3">
      <c r="A17" s="162" t="s">
        <v>3022</v>
      </c>
      <c r="B17" s="153" t="s">
        <v>3023</v>
      </c>
      <c r="C17" s="101"/>
      <c r="D17" s="102"/>
      <c r="E17" s="69"/>
    </row>
    <row r="18" spans="1:5" ht="30.6" x14ac:dyDescent="0.3">
      <c r="A18" s="162" t="s">
        <v>3024</v>
      </c>
      <c r="B18" s="153" t="s">
        <v>3025</v>
      </c>
      <c r="C18" s="101"/>
      <c r="D18" s="102"/>
      <c r="E18" s="69"/>
    </row>
    <row r="19" spans="1:5" x14ac:dyDescent="0.3">
      <c r="A19" s="162"/>
      <c r="B19" s="153"/>
      <c r="C19" s="46"/>
      <c r="D19" s="46"/>
      <c r="E19" s="69"/>
    </row>
    <row r="20" spans="1:5" ht="30.6" x14ac:dyDescent="0.3">
      <c r="A20" s="162"/>
      <c r="B20" s="153" t="s">
        <v>3026</v>
      </c>
      <c r="C20" s="46"/>
      <c r="D20" s="46"/>
      <c r="E20" s="69"/>
    </row>
    <row r="21" spans="1:5" ht="20.399999999999999" x14ac:dyDescent="0.3">
      <c r="A21" s="162" t="s">
        <v>3027</v>
      </c>
      <c r="B21" s="153" t="s">
        <v>3028</v>
      </c>
      <c r="C21" s="101"/>
      <c r="D21" s="102"/>
      <c r="E21" s="69"/>
    </row>
    <row r="22" spans="1:5" ht="20.399999999999999" x14ac:dyDescent="0.3">
      <c r="A22" s="162" t="s">
        <v>3029</v>
      </c>
      <c r="B22" s="153" t="s">
        <v>3030</v>
      </c>
      <c r="C22" s="101"/>
      <c r="D22" s="102"/>
      <c r="E22" s="69"/>
    </row>
    <row r="23" spans="1:5" ht="20.399999999999999" x14ac:dyDescent="0.3">
      <c r="A23" s="162" t="s">
        <v>3031</v>
      </c>
      <c r="B23" s="153" t="s">
        <v>3032</v>
      </c>
      <c r="C23" s="101"/>
      <c r="D23" s="102"/>
      <c r="E23" s="69"/>
    </row>
    <row r="24" spans="1:5" ht="20.399999999999999" x14ac:dyDescent="0.3">
      <c r="A24" s="162" t="s">
        <v>3033</v>
      </c>
      <c r="B24" s="153" t="s">
        <v>3034</v>
      </c>
      <c r="C24" s="101"/>
      <c r="D24" s="102"/>
      <c r="E24" s="69"/>
    </row>
    <row r="25" spans="1:5" ht="20.399999999999999" x14ac:dyDescent="0.3">
      <c r="A25" s="162" t="s">
        <v>3035</v>
      </c>
      <c r="B25" s="153" t="s">
        <v>3036</v>
      </c>
      <c r="C25" s="101"/>
      <c r="D25" s="102"/>
      <c r="E25" s="69"/>
    </row>
    <row r="26" spans="1:5" ht="20.399999999999999" x14ac:dyDescent="0.3">
      <c r="A26" s="162" t="s">
        <v>3037</v>
      </c>
      <c r="B26" s="153" t="s">
        <v>3038</v>
      </c>
      <c r="C26" s="101"/>
      <c r="D26" s="102"/>
      <c r="E26" s="69"/>
    </row>
    <row r="27" spans="1:5" ht="20.399999999999999" x14ac:dyDescent="0.3">
      <c r="A27" s="162" t="s">
        <v>3039</v>
      </c>
      <c r="B27" s="153" t="s">
        <v>3040</v>
      </c>
      <c r="C27" s="101"/>
      <c r="D27" s="102"/>
      <c r="E27" s="69"/>
    </row>
    <row r="28" spans="1:5" ht="20.399999999999999" x14ac:dyDescent="0.3">
      <c r="A28" s="162" t="s">
        <v>3041</v>
      </c>
      <c r="B28" s="153" t="s">
        <v>3042</v>
      </c>
      <c r="C28" s="101"/>
      <c r="D28" s="102"/>
      <c r="E28" s="69"/>
    </row>
    <row r="29" spans="1:5" ht="20.399999999999999" x14ac:dyDescent="0.3">
      <c r="A29" s="162" t="s">
        <v>3043</v>
      </c>
      <c r="B29" s="153" t="s">
        <v>3044</v>
      </c>
      <c r="C29" s="101"/>
      <c r="D29" s="102"/>
      <c r="E29" s="69"/>
    </row>
    <row r="30" spans="1:5" ht="51" x14ac:dyDescent="0.3">
      <c r="A30" s="162" t="s">
        <v>3045</v>
      </c>
      <c r="B30" s="153" t="s">
        <v>3046</v>
      </c>
      <c r="C30" s="101"/>
      <c r="D30" s="102"/>
      <c r="E30" s="69"/>
    </row>
    <row r="31" spans="1:5" ht="40.799999999999997" x14ac:dyDescent="0.3">
      <c r="A31" s="162" t="s">
        <v>3047</v>
      </c>
      <c r="B31" s="153" t="s">
        <v>3048</v>
      </c>
      <c r="C31" s="101"/>
      <c r="D31" s="102"/>
      <c r="E31" s="69"/>
    </row>
    <row r="32" spans="1:5" x14ac:dyDescent="0.3">
      <c r="A32" s="162"/>
      <c r="B32" s="153"/>
      <c r="C32" s="46"/>
      <c r="D32" s="46"/>
      <c r="E32" s="69"/>
    </row>
    <row r="33" spans="1:5" ht="51" x14ac:dyDescent="0.3">
      <c r="A33" s="162"/>
      <c r="B33" s="153" t="s">
        <v>3049</v>
      </c>
      <c r="C33" s="46"/>
      <c r="D33" s="46"/>
      <c r="E33" s="69"/>
    </row>
    <row r="34" spans="1:5" x14ac:dyDescent="0.3">
      <c r="A34" s="162"/>
      <c r="B34" s="153"/>
      <c r="C34" s="46"/>
      <c r="D34" s="46"/>
      <c r="E34" s="69"/>
    </row>
    <row r="35" spans="1:5" ht="20.399999999999999" x14ac:dyDescent="0.3">
      <c r="A35" s="162" t="s">
        <v>3050</v>
      </c>
      <c r="B35" s="153" t="s">
        <v>3051</v>
      </c>
      <c r="C35" s="101"/>
      <c r="D35" s="102"/>
      <c r="E35" s="69"/>
    </row>
    <row r="36" spans="1:5" x14ac:dyDescent="0.3">
      <c r="A36" s="162"/>
      <c r="B36" s="153"/>
      <c r="C36" s="46"/>
      <c r="D36" s="46"/>
      <c r="E36" s="69"/>
    </row>
    <row r="37" spans="1:5" x14ac:dyDescent="0.3">
      <c r="A37" s="162"/>
      <c r="B37" s="153" t="s">
        <v>3052</v>
      </c>
      <c r="C37" s="46"/>
      <c r="D37" s="46"/>
      <c r="E37" s="69"/>
    </row>
    <row r="38" spans="1:5" ht="20.399999999999999" x14ac:dyDescent="0.3">
      <c r="A38" s="162" t="s">
        <v>3053</v>
      </c>
      <c r="B38" s="153" t="s">
        <v>3054</v>
      </c>
      <c r="C38" s="101"/>
      <c r="D38" s="102"/>
      <c r="E38" s="69"/>
    </row>
    <row r="39" spans="1:5" x14ac:dyDescent="0.3">
      <c r="A39" s="162" t="s">
        <v>3055</v>
      </c>
      <c r="B39" s="153" t="s">
        <v>3056</v>
      </c>
      <c r="C39" s="101"/>
      <c r="D39" s="102"/>
      <c r="E39" s="69"/>
    </row>
    <row r="40" spans="1:5" x14ac:dyDescent="0.3">
      <c r="A40" s="162" t="s">
        <v>3057</v>
      </c>
      <c r="B40" s="153" t="s">
        <v>3058</v>
      </c>
      <c r="C40" s="101"/>
      <c r="D40" s="102"/>
      <c r="E40" s="69"/>
    </row>
    <row r="41" spans="1:5" ht="20.399999999999999" x14ac:dyDescent="0.3">
      <c r="A41" s="162" t="s">
        <v>3059</v>
      </c>
      <c r="B41" s="153" t="s">
        <v>3060</v>
      </c>
      <c r="C41" s="101"/>
      <c r="D41" s="102"/>
      <c r="E41" s="69"/>
    </row>
    <row r="42" spans="1:5" x14ac:dyDescent="0.3">
      <c r="A42" s="162"/>
      <c r="B42" s="153"/>
      <c r="C42" s="46"/>
      <c r="D42" s="46"/>
      <c r="E42" s="69"/>
    </row>
    <row r="43" spans="1:5" x14ac:dyDescent="0.3">
      <c r="A43" s="162"/>
      <c r="B43" s="153" t="s">
        <v>320</v>
      </c>
      <c r="C43" s="46"/>
      <c r="D43" s="46"/>
      <c r="E43" s="69"/>
    </row>
    <row r="44" spans="1:5" x14ac:dyDescent="0.3">
      <c r="A44" s="162"/>
      <c r="B44" s="153"/>
      <c r="C44" s="46"/>
      <c r="D44" s="46"/>
      <c r="E44" s="69"/>
    </row>
    <row r="45" spans="1:5" x14ac:dyDescent="0.3">
      <c r="A45" s="162"/>
      <c r="B45" s="153" t="s">
        <v>3061</v>
      </c>
      <c r="C45" s="46"/>
      <c r="D45" s="46"/>
      <c r="E45" s="69"/>
    </row>
    <row r="46" spans="1:5" ht="40.799999999999997" x14ac:dyDescent="0.3">
      <c r="A46" s="162" t="s">
        <v>3062</v>
      </c>
      <c r="B46" s="153" t="s">
        <v>3063</v>
      </c>
      <c r="C46" s="101"/>
      <c r="D46" s="102"/>
      <c r="E46" s="69"/>
    </row>
    <row r="47" spans="1:5" x14ac:dyDescent="0.3">
      <c r="A47" s="162"/>
      <c r="B47" s="153"/>
      <c r="C47" s="46"/>
      <c r="D47" s="46"/>
      <c r="E47" s="69"/>
    </row>
    <row r="48" spans="1:5" ht="30.6" x14ac:dyDescent="0.3">
      <c r="A48" s="162" t="s">
        <v>3064</v>
      </c>
      <c r="B48" s="153" t="s">
        <v>3065</v>
      </c>
      <c r="C48" s="101"/>
      <c r="D48" s="102"/>
      <c r="E48" s="69"/>
    </row>
    <row r="49" spans="1:5" x14ac:dyDescent="0.3">
      <c r="A49" s="162"/>
      <c r="B49" s="153"/>
      <c r="C49" s="46"/>
      <c r="D49" s="46"/>
      <c r="E49" s="69"/>
    </row>
    <row r="50" spans="1:5" x14ac:dyDescent="0.3">
      <c r="A50" s="162"/>
      <c r="B50" s="153" t="s">
        <v>373</v>
      </c>
      <c r="C50" s="46"/>
      <c r="D50" s="46"/>
      <c r="E50" s="69"/>
    </row>
    <row r="51" spans="1:5" x14ac:dyDescent="0.3">
      <c r="A51" s="162"/>
      <c r="B51" s="153"/>
      <c r="C51" s="46"/>
      <c r="D51" s="46"/>
      <c r="E51" s="69"/>
    </row>
    <row r="52" spans="1:5" ht="51" x14ac:dyDescent="0.3">
      <c r="A52" s="162" t="s">
        <v>3066</v>
      </c>
      <c r="B52" s="153" t="s">
        <v>3067</v>
      </c>
      <c r="C52" s="101"/>
      <c r="D52" s="102"/>
      <c r="E52" s="69"/>
    </row>
    <row r="53" spans="1:5" ht="30.6" x14ac:dyDescent="0.3">
      <c r="A53" s="162" t="s">
        <v>3068</v>
      </c>
      <c r="B53" s="153" t="s">
        <v>3065</v>
      </c>
      <c r="C53" s="101"/>
      <c r="D53" s="102"/>
      <c r="E53" s="69"/>
    </row>
    <row r="54" spans="1:5" x14ac:dyDescent="0.3">
      <c r="A54" s="162"/>
      <c r="B54" s="153"/>
      <c r="C54" s="46"/>
      <c r="D54" s="46"/>
      <c r="E54" s="69"/>
    </row>
    <row r="55" spans="1:5" x14ac:dyDescent="0.3">
      <c r="A55" s="162"/>
      <c r="B55" s="153" t="s">
        <v>3069</v>
      </c>
      <c r="C55" s="46"/>
      <c r="D55" s="46"/>
      <c r="E55" s="69"/>
    </row>
    <row r="56" spans="1:5" ht="40.799999999999997" x14ac:dyDescent="0.3">
      <c r="A56" s="162" t="s">
        <v>3070</v>
      </c>
      <c r="B56" s="153" t="s">
        <v>3071</v>
      </c>
      <c r="C56" s="101"/>
      <c r="D56" s="102"/>
      <c r="E56" s="69"/>
    </row>
    <row r="57" spans="1:5" ht="51" x14ac:dyDescent="0.3">
      <c r="A57" s="162" t="s">
        <v>3072</v>
      </c>
      <c r="B57" s="153" t="s">
        <v>3073</v>
      </c>
      <c r="C57" s="101"/>
      <c r="D57" s="102"/>
      <c r="E57" s="69"/>
    </row>
    <row r="58" spans="1:5" ht="30.6" x14ac:dyDescent="0.3">
      <c r="A58" s="162" t="s">
        <v>3074</v>
      </c>
      <c r="B58" s="153" t="s">
        <v>3075</v>
      </c>
      <c r="C58" s="101"/>
      <c r="D58" s="102"/>
      <c r="E58" s="69"/>
    </row>
    <row r="59" spans="1:5" ht="30.6" x14ac:dyDescent="0.3">
      <c r="A59" s="162" t="s">
        <v>3076</v>
      </c>
      <c r="B59" s="153" t="s">
        <v>3077</v>
      </c>
      <c r="C59" s="101"/>
      <c r="D59" s="102"/>
      <c r="E59" s="69"/>
    </row>
    <row r="60" spans="1:5" ht="30.6" x14ac:dyDescent="0.3">
      <c r="A60" s="162" t="s">
        <v>3078</v>
      </c>
      <c r="B60" s="153" t="s">
        <v>3079</v>
      </c>
      <c r="C60" s="101"/>
      <c r="D60" s="102"/>
      <c r="E60" s="69"/>
    </row>
    <row r="61" spans="1:5" x14ac:dyDescent="0.3">
      <c r="A61" s="162"/>
      <c r="B61" s="153"/>
      <c r="C61" s="46"/>
      <c r="D61" s="46"/>
      <c r="E61" s="69"/>
    </row>
    <row r="62" spans="1:5" x14ac:dyDescent="0.3">
      <c r="A62" s="162"/>
      <c r="B62" s="153" t="s">
        <v>3080</v>
      </c>
      <c r="C62" s="46"/>
      <c r="D62" s="46"/>
      <c r="E62" s="69"/>
    </row>
    <row r="63" spans="1:5" x14ac:dyDescent="0.3">
      <c r="A63" s="162"/>
      <c r="B63" s="153"/>
      <c r="C63" s="46"/>
      <c r="D63" s="46"/>
      <c r="E63" s="69"/>
    </row>
    <row r="64" spans="1:5" ht="51" x14ac:dyDescent="0.3">
      <c r="A64" s="162" t="s">
        <v>3081</v>
      </c>
      <c r="B64" s="153" t="s">
        <v>3082</v>
      </c>
      <c r="C64" s="101"/>
      <c r="D64" s="102"/>
      <c r="E64" s="69"/>
    </row>
    <row r="65" spans="1:5" x14ac:dyDescent="0.3">
      <c r="A65" s="162"/>
      <c r="B65" s="153"/>
      <c r="C65" s="46"/>
      <c r="D65" s="46"/>
      <c r="E65" s="69"/>
    </row>
    <row r="66" spans="1:5" x14ac:dyDescent="0.3">
      <c r="A66" s="162"/>
      <c r="B66" s="153" t="s">
        <v>543</v>
      </c>
      <c r="C66" s="46"/>
      <c r="D66" s="46"/>
      <c r="E66" s="69"/>
    </row>
    <row r="67" spans="1:5" x14ac:dyDescent="0.3">
      <c r="A67" s="162"/>
      <c r="B67" s="153"/>
      <c r="C67" s="46"/>
      <c r="D67" s="46"/>
      <c r="E67" s="69"/>
    </row>
    <row r="68" spans="1:5" x14ac:dyDescent="0.3">
      <c r="A68" s="162"/>
      <c r="B68" s="153" t="s">
        <v>3083</v>
      </c>
      <c r="C68" s="46"/>
      <c r="D68" s="46"/>
      <c r="E68" s="69"/>
    </row>
    <row r="69" spans="1:5" x14ac:dyDescent="0.3">
      <c r="A69" s="162"/>
      <c r="B69" s="153"/>
      <c r="C69" s="46"/>
      <c r="D69" s="46"/>
      <c r="E69" s="69"/>
    </row>
    <row r="70" spans="1:5" ht="40.799999999999997" x14ac:dyDescent="0.3">
      <c r="A70" s="162" t="s">
        <v>3084</v>
      </c>
      <c r="B70" s="153" t="s">
        <v>5557</v>
      </c>
      <c r="C70" s="101"/>
      <c r="D70" s="102"/>
      <c r="E70" s="69"/>
    </row>
    <row r="71" spans="1:5" ht="30.6" x14ac:dyDescent="0.3">
      <c r="A71" s="162" t="s">
        <v>3085</v>
      </c>
      <c r="B71" s="153" t="s">
        <v>3086</v>
      </c>
      <c r="C71" s="101"/>
      <c r="D71" s="102"/>
      <c r="E71" s="69"/>
    </row>
    <row r="72" spans="1:5" x14ac:dyDescent="0.3">
      <c r="A72" s="162"/>
      <c r="B72" s="153"/>
      <c r="C72" s="46"/>
      <c r="D72" s="46"/>
      <c r="E72" s="69"/>
    </row>
    <row r="73" spans="1:5" x14ac:dyDescent="0.3">
      <c r="A73" s="162"/>
      <c r="B73" s="153" t="s">
        <v>555</v>
      </c>
      <c r="C73" s="46"/>
      <c r="D73" s="46"/>
      <c r="E73" s="69"/>
    </row>
    <row r="74" spans="1:5" ht="20.399999999999999" x14ac:dyDescent="0.3">
      <c r="A74" s="162"/>
      <c r="B74" s="153" t="s">
        <v>3087</v>
      </c>
      <c r="C74" s="46"/>
      <c r="D74" s="46"/>
      <c r="E74" s="69"/>
    </row>
    <row r="75" spans="1:5" x14ac:dyDescent="0.3">
      <c r="A75" s="162"/>
      <c r="B75" s="153"/>
      <c r="C75" s="46"/>
      <c r="D75" s="46"/>
      <c r="E75" s="69"/>
    </row>
    <row r="76" spans="1:5" ht="51" x14ac:dyDescent="0.3">
      <c r="A76" s="162" t="s">
        <v>3088</v>
      </c>
      <c r="B76" s="153" t="s">
        <v>5558</v>
      </c>
      <c r="C76" s="101"/>
      <c r="D76" s="102"/>
      <c r="E76" s="69"/>
    </row>
    <row r="77" spans="1:5" ht="30.6" x14ac:dyDescent="0.3">
      <c r="A77" s="162" t="s">
        <v>3089</v>
      </c>
      <c r="B77" s="153" t="s">
        <v>3086</v>
      </c>
      <c r="C77" s="101"/>
      <c r="D77" s="102"/>
      <c r="E77" s="69"/>
    </row>
    <row r="78" spans="1:5" ht="8.1" customHeight="1" x14ac:dyDescent="0.3">
      <c r="A78" s="70" t="s">
        <v>0</v>
      </c>
      <c r="B78" s="152"/>
      <c r="C78" s="70"/>
      <c r="D78" s="70"/>
      <c r="E78" s="69"/>
    </row>
  </sheetData>
  <sheetProtection password="C9D6" sheet="1" objects="1" scenario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xr:uid="{00000000-0002-0000-1C00-000000000000}">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xr:uid="{00000000-0002-0000-1C00-000001000000}">
      <formula1>CATALOGCOLUMNFILTERED7</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D111"/>
  <sheetViews>
    <sheetView workbookViewId="0"/>
  </sheetViews>
  <sheetFormatPr defaultColWidth="11.5546875" defaultRowHeight="14.4" x14ac:dyDescent="0.3"/>
  <cols>
    <col min="1" max="1" width="14.33203125" style="107" customWidth="1"/>
    <col min="2" max="2" width="44.5546875" style="107" customWidth="1"/>
    <col min="3" max="3" width="20.6640625" style="107" customWidth="1"/>
    <col min="4" max="4" width="1.6640625" style="107" customWidth="1"/>
    <col min="5" max="16384" width="11.5546875" style="107"/>
  </cols>
  <sheetData>
    <row r="1" spans="1:4" ht="31.8" x14ac:dyDescent="0.3">
      <c r="A1" s="42" t="s">
        <v>0</v>
      </c>
      <c r="B1" s="89" t="s">
        <v>5625</v>
      </c>
      <c r="C1" s="42" t="s">
        <v>0</v>
      </c>
      <c r="D1" s="69" t="s">
        <v>0</v>
      </c>
    </row>
    <row r="2" spans="1:4" x14ac:dyDescent="0.3">
      <c r="A2" s="78" t="s">
        <v>5597</v>
      </c>
      <c r="B2" s="78" t="s">
        <v>5598</v>
      </c>
      <c r="C2" s="89" t="s">
        <v>2689</v>
      </c>
      <c r="D2" s="69" t="s">
        <v>0</v>
      </c>
    </row>
    <row r="3" spans="1:4" x14ac:dyDescent="0.3">
      <c r="A3" s="163"/>
      <c r="B3" s="46" t="s">
        <v>0</v>
      </c>
      <c r="C3" s="50"/>
      <c r="D3" s="69"/>
    </row>
    <row r="4" spans="1:4" x14ac:dyDescent="0.3">
      <c r="A4" s="163"/>
      <c r="B4" s="27" t="s">
        <v>0</v>
      </c>
      <c r="C4" s="50"/>
      <c r="D4" s="69"/>
    </row>
    <row r="5" spans="1:4" ht="61.2" x14ac:dyDescent="0.3">
      <c r="A5" s="163"/>
      <c r="B5" s="142" t="s">
        <v>5655</v>
      </c>
      <c r="C5" s="27"/>
      <c r="D5" s="69"/>
    </row>
    <row r="6" spans="1:4" x14ac:dyDescent="0.3">
      <c r="A6" s="163"/>
      <c r="B6" s="18" t="s">
        <v>0</v>
      </c>
      <c r="C6" s="27"/>
      <c r="D6" s="69"/>
    </row>
    <row r="7" spans="1:4" ht="153" x14ac:dyDescent="0.3">
      <c r="A7" s="163"/>
      <c r="B7" s="108" t="s">
        <v>5656</v>
      </c>
      <c r="C7" s="27"/>
      <c r="D7" s="69"/>
    </row>
    <row r="8" spans="1:4" x14ac:dyDescent="0.3">
      <c r="A8" s="163"/>
      <c r="B8" s="18" t="s">
        <v>0</v>
      </c>
      <c r="C8" s="27"/>
      <c r="D8" s="69"/>
    </row>
    <row r="9" spans="1:4" x14ac:dyDescent="0.3">
      <c r="A9" s="163"/>
      <c r="B9" s="18" t="s">
        <v>0</v>
      </c>
      <c r="C9" s="27"/>
      <c r="D9" s="69"/>
    </row>
    <row r="10" spans="1:4" ht="51" x14ac:dyDescent="0.3">
      <c r="A10" s="163"/>
      <c r="B10" s="18" t="s">
        <v>5658</v>
      </c>
      <c r="C10" s="27"/>
      <c r="D10" s="69"/>
    </row>
    <row r="11" spans="1:4" x14ac:dyDescent="0.3">
      <c r="A11" s="163"/>
      <c r="B11" s="18" t="s">
        <v>0</v>
      </c>
      <c r="C11" s="27"/>
      <c r="D11" s="69"/>
    </row>
    <row r="12" spans="1:4" ht="20.399999999999999" x14ac:dyDescent="0.3">
      <c r="A12" s="163"/>
      <c r="B12" s="136" t="s">
        <v>5659</v>
      </c>
      <c r="C12" s="27"/>
      <c r="D12" s="69"/>
    </row>
    <row r="13" spans="1:4" x14ac:dyDescent="0.3">
      <c r="A13" s="163"/>
      <c r="B13" s="160"/>
      <c r="C13" s="27"/>
      <c r="D13" s="69"/>
    </row>
    <row r="14" spans="1:4" ht="30.6" x14ac:dyDescent="0.3">
      <c r="A14" s="162" t="s">
        <v>3090</v>
      </c>
      <c r="B14" s="153" t="s">
        <v>3091</v>
      </c>
      <c r="C14" s="110"/>
      <c r="D14" s="69"/>
    </row>
    <row r="15" spans="1:4" ht="20.399999999999999" x14ac:dyDescent="0.3">
      <c r="A15" s="162" t="s">
        <v>3092</v>
      </c>
      <c r="B15" s="153" t="s">
        <v>3093</v>
      </c>
      <c r="C15" s="110"/>
      <c r="D15" s="69"/>
    </row>
    <row r="16" spans="1:4" x14ac:dyDescent="0.3">
      <c r="A16" s="162"/>
      <c r="B16" s="153"/>
      <c r="C16" s="27"/>
      <c r="D16" s="69"/>
    </row>
    <row r="17" spans="1:4" ht="61.2" x14ac:dyDescent="0.3">
      <c r="A17" s="162" t="s">
        <v>3094</v>
      </c>
      <c r="B17" s="153" t="s">
        <v>5559</v>
      </c>
      <c r="C17" s="110"/>
      <c r="D17" s="69"/>
    </row>
    <row r="18" spans="1:4" ht="30.6" x14ac:dyDescent="0.3">
      <c r="A18" s="162" t="s">
        <v>3095</v>
      </c>
      <c r="B18" s="153" t="s">
        <v>3096</v>
      </c>
      <c r="C18" s="110"/>
      <c r="D18" s="69"/>
    </row>
    <row r="19" spans="1:4" x14ac:dyDescent="0.3">
      <c r="A19" s="162"/>
      <c r="B19" s="153"/>
      <c r="C19" s="27"/>
      <c r="D19" s="69"/>
    </row>
    <row r="20" spans="1:4" ht="51" x14ac:dyDescent="0.3">
      <c r="A20" s="162"/>
      <c r="B20" s="153" t="s">
        <v>5560</v>
      </c>
      <c r="C20" s="27"/>
      <c r="D20" s="69"/>
    </row>
    <row r="21" spans="1:4" x14ac:dyDescent="0.3">
      <c r="A21" s="162"/>
      <c r="B21" s="153"/>
      <c r="C21" s="27"/>
      <c r="D21" s="69"/>
    </row>
    <row r="22" spans="1:4" ht="20.399999999999999" x14ac:dyDescent="0.3">
      <c r="A22" s="162" t="s">
        <v>3097</v>
      </c>
      <c r="B22" s="153" t="s">
        <v>3098</v>
      </c>
      <c r="C22" s="110"/>
      <c r="D22" s="69"/>
    </row>
    <row r="23" spans="1:4" ht="40.799999999999997" x14ac:dyDescent="0.3">
      <c r="A23" s="162" t="s">
        <v>3099</v>
      </c>
      <c r="B23" s="153" t="s">
        <v>3100</v>
      </c>
      <c r="C23" s="110"/>
      <c r="D23" s="69"/>
    </row>
    <row r="24" spans="1:4" ht="40.799999999999997" x14ac:dyDescent="0.3">
      <c r="A24" s="162" t="s">
        <v>3101</v>
      </c>
      <c r="B24" s="153" t="s">
        <v>3102</v>
      </c>
      <c r="C24" s="110"/>
      <c r="D24" s="69"/>
    </row>
    <row r="25" spans="1:4" ht="30.6" x14ac:dyDescent="0.3">
      <c r="A25" s="162" t="s">
        <v>3103</v>
      </c>
      <c r="B25" s="153" t="s">
        <v>3104</v>
      </c>
      <c r="C25" s="110"/>
      <c r="D25" s="69"/>
    </row>
    <row r="26" spans="1:4" x14ac:dyDescent="0.3">
      <c r="A26" s="162"/>
      <c r="B26" s="153"/>
      <c r="C26" s="27"/>
      <c r="D26" s="69"/>
    </row>
    <row r="27" spans="1:4" ht="51" x14ac:dyDescent="0.3">
      <c r="A27" s="162"/>
      <c r="B27" s="153" t="s">
        <v>5561</v>
      </c>
      <c r="C27" s="27"/>
      <c r="D27" s="69"/>
    </row>
    <row r="28" spans="1:4" ht="40.799999999999997" x14ac:dyDescent="0.3">
      <c r="A28" s="162"/>
      <c r="B28" s="153" t="s">
        <v>3105</v>
      </c>
      <c r="C28" s="27"/>
      <c r="D28" s="69"/>
    </row>
    <row r="29" spans="1:4" x14ac:dyDescent="0.3">
      <c r="A29" s="162"/>
      <c r="B29" s="153"/>
      <c r="C29" s="27"/>
      <c r="D29" s="69"/>
    </row>
    <row r="30" spans="1:4" ht="30.6" x14ac:dyDescent="0.3">
      <c r="A30" s="162" t="s">
        <v>3106</v>
      </c>
      <c r="B30" s="153" t="s">
        <v>3107</v>
      </c>
      <c r="C30" s="110"/>
      <c r="D30" s="69"/>
    </row>
    <row r="31" spans="1:4" ht="40.799999999999997" x14ac:dyDescent="0.3">
      <c r="A31" s="162" t="s">
        <v>3108</v>
      </c>
      <c r="B31" s="153" t="s">
        <v>5562</v>
      </c>
      <c r="C31" s="110"/>
      <c r="D31" s="69"/>
    </row>
    <row r="32" spans="1:4" ht="20.399999999999999" x14ac:dyDescent="0.3">
      <c r="A32" s="162" t="s">
        <v>3109</v>
      </c>
      <c r="B32" s="153" t="s">
        <v>3110</v>
      </c>
      <c r="C32" s="110"/>
      <c r="D32" s="69"/>
    </row>
    <row r="33" spans="1:4" ht="20.399999999999999" x14ac:dyDescent="0.3">
      <c r="A33" s="162" t="s">
        <v>3111</v>
      </c>
      <c r="B33" s="153" t="s">
        <v>3112</v>
      </c>
      <c r="C33" s="110"/>
      <c r="D33" s="69"/>
    </row>
    <row r="34" spans="1:4" ht="20.399999999999999" x14ac:dyDescent="0.3">
      <c r="A34" s="162" t="s">
        <v>3113</v>
      </c>
      <c r="B34" s="153" t="s">
        <v>3114</v>
      </c>
      <c r="C34" s="110"/>
      <c r="D34" s="69"/>
    </row>
    <row r="35" spans="1:4" ht="20.399999999999999" x14ac:dyDescent="0.3">
      <c r="A35" s="162" t="s">
        <v>3115</v>
      </c>
      <c r="B35" s="153" t="s">
        <v>5563</v>
      </c>
      <c r="C35" s="110"/>
      <c r="D35" s="69"/>
    </row>
    <row r="36" spans="1:4" ht="40.799999999999997" x14ac:dyDescent="0.3">
      <c r="A36" s="162" t="s">
        <v>3116</v>
      </c>
      <c r="B36" s="153" t="s">
        <v>3117</v>
      </c>
      <c r="C36" s="110"/>
      <c r="D36" s="69"/>
    </row>
    <row r="37" spans="1:4" ht="20.399999999999999" x14ac:dyDescent="0.3">
      <c r="A37" s="162" t="s">
        <v>3118</v>
      </c>
      <c r="B37" s="153" t="s">
        <v>3119</v>
      </c>
      <c r="C37" s="110"/>
      <c r="D37" s="69"/>
    </row>
    <row r="38" spans="1:4" ht="30.6" x14ac:dyDescent="0.3">
      <c r="A38" s="162" t="s">
        <v>3120</v>
      </c>
      <c r="B38" s="153" t="s">
        <v>3121</v>
      </c>
      <c r="C38" s="110"/>
      <c r="D38" s="69"/>
    </row>
    <row r="39" spans="1:4" ht="40.799999999999997" x14ac:dyDescent="0.3">
      <c r="A39" s="162" t="s">
        <v>3122</v>
      </c>
      <c r="B39" s="153" t="s">
        <v>3123</v>
      </c>
      <c r="C39" s="110"/>
      <c r="D39" s="69"/>
    </row>
    <row r="40" spans="1:4" ht="40.799999999999997" x14ac:dyDescent="0.3">
      <c r="A40" s="162" t="s">
        <v>3124</v>
      </c>
      <c r="B40" s="153" t="s">
        <v>3125</v>
      </c>
      <c r="C40" s="110"/>
      <c r="D40" s="69"/>
    </row>
    <row r="41" spans="1:4" ht="30.6" x14ac:dyDescent="0.3">
      <c r="A41" s="162" t="s">
        <v>3126</v>
      </c>
      <c r="B41" s="153" t="s">
        <v>5564</v>
      </c>
      <c r="C41" s="110"/>
      <c r="D41" s="69"/>
    </row>
    <row r="42" spans="1:4" x14ac:dyDescent="0.3">
      <c r="A42" s="162"/>
      <c r="B42" s="153"/>
      <c r="C42" s="27"/>
      <c r="D42" s="69"/>
    </row>
    <row r="43" spans="1:4" ht="81.599999999999994" x14ac:dyDescent="0.3">
      <c r="A43" s="162" t="s">
        <v>3127</v>
      </c>
      <c r="B43" s="153" t="s">
        <v>3128</v>
      </c>
      <c r="C43" s="110"/>
      <c r="D43" s="69"/>
    </row>
    <row r="44" spans="1:4" ht="30.6" x14ac:dyDescent="0.3">
      <c r="A44" s="162" t="s">
        <v>3129</v>
      </c>
      <c r="B44" s="153" t="s">
        <v>3130</v>
      </c>
      <c r="C44" s="110"/>
      <c r="D44" s="69"/>
    </row>
    <row r="45" spans="1:4" ht="30.6" x14ac:dyDescent="0.3">
      <c r="A45" s="162" t="s">
        <v>3131</v>
      </c>
      <c r="B45" s="153" t="s">
        <v>3132</v>
      </c>
      <c r="C45" s="110"/>
      <c r="D45" s="69"/>
    </row>
    <row r="46" spans="1:4" ht="61.2" x14ac:dyDescent="0.3">
      <c r="A46" s="162" t="s">
        <v>3133</v>
      </c>
      <c r="B46" s="153" t="s">
        <v>5565</v>
      </c>
      <c r="C46" s="110"/>
      <c r="D46" s="69"/>
    </row>
    <row r="47" spans="1:4" ht="40.799999999999997" x14ac:dyDescent="0.3">
      <c r="A47" s="162" t="s">
        <v>3134</v>
      </c>
      <c r="B47" s="153" t="s">
        <v>5566</v>
      </c>
      <c r="C47" s="110"/>
      <c r="D47" s="69"/>
    </row>
    <row r="48" spans="1:4" x14ac:dyDescent="0.3">
      <c r="A48" s="163"/>
      <c r="B48" s="160"/>
      <c r="C48" s="27"/>
      <c r="D48" s="69"/>
    </row>
    <row r="49" spans="1:4" ht="40.799999999999997" x14ac:dyDescent="0.3">
      <c r="A49" s="162" t="s">
        <v>3135</v>
      </c>
      <c r="B49" s="153" t="s">
        <v>5567</v>
      </c>
      <c r="C49" s="110"/>
      <c r="D49" s="69"/>
    </row>
    <row r="50" spans="1:4" x14ac:dyDescent="0.3">
      <c r="A50" s="163"/>
      <c r="B50" s="160"/>
      <c r="C50" s="27"/>
      <c r="D50" s="69"/>
    </row>
    <row r="51" spans="1:4" ht="30.6" x14ac:dyDescent="0.3">
      <c r="A51" s="162"/>
      <c r="B51" s="179" t="s">
        <v>3136</v>
      </c>
      <c r="C51" s="27"/>
      <c r="D51" s="69"/>
    </row>
    <row r="52" spans="1:4" x14ac:dyDescent="0.3">
      <c r="A52" s="163"/>
      <c r="B52" s="160"/>
      <c r="C52" s="27"/>
      <c r="D52" s="69"/>
    </row>
    <row r="53" spans="1:4" ht="51" x14ac:dyDescent="0.3">
      <c r="A53" s="162" t="s">
        <v>3137</v>
      </c>
      <c r="B53" s="153" t="s">
        <v>5757</v>
      </c>
      <c r="C53" s="110"/>
      <c r="D53" s="69"/>
    </row>
    <row r="54" spans="1:4" ht="51" x14ac:dyDescent="0.3">
      <c r="A54" s="162" t="s">
        <v>3138</v>
      </c>
      <c r="B54" s="153" t="s">
        <v>3139</v>
      </c>
      <c r="C54" s="110"/>
      <c r="D54" s="69"/>
    </row>
    <row r="55" spans="1:4" ht="91.8" x14ac:dyDescent="0.3">
      <c r="A55" s="162" t="s">
        <v>3140</v>
      </c>
      <c r="B55" s="153" t="s">
        <v>5568</v>
      </c>
      <c r="C55" s="110"/>
      <c r="D55" s="69"/>
    </row>
    <row r="56" spans="1:4" ht="40.799999999999997" x14ac:dyDescent="0.3">
      <c r="A56" s="162" t="s">
        <v>3141</v>
      </c>
      <c r="B56" s="153" t="s">
        <v>3142</v>
      </c>
      <c r="C56" s="110"/>
      <c r="D56" s="69"/>
    </row>
    <row r="57" spans="1:4" x14ac:dyDescent="0.3">
      <c r="A57" s="162"/>
      <c r="B57" s="153"/>
      <c r="C57" s="27"/>
      <c r="D57" s="69"/>
    </row>
    <row r="58" spans="1:4" x14ac:dyDescent="0.3">
      <c r="A58" s="162"/>
      <c r="B58" s="153" t="s">
        <v>3143</v>
      </c>
      <c r="C58" s="27"/>
      <c r="D58" s="69"/>
    </row>
    <row r="59" spans="1:4" ht="30.6" x14ac:dyDescent="0.3">
      <c r="A59" s="162" t="s">
        <v>3144</v>
      </c>
      <c r="B59" s="153" t="s">
        <v>3145</v>
      </c>
      <c r="C59" s="110"/>
      <c r="D59" s="69"/>
    </row>
    <row r="60" spans="1:4" ht="40.799999999999997" x14ac:dyDescent="0.3">
      <c r="A60" s="162" t="s">
        <v>3146</v>
      </c>
      <c r="B60" s="153" t="s">
        <v>3147</v>
      </c>
      <c r="C60" s="110"/>
      <c r="D60" s="69"/>
    </row>
    <row r="61" spans="1:4" ht="20.399999999999999" x14ac:dyDescent="0.3">
      <c r="A61" s="162" t="s">
        <v>3148</v>
      </c>
      <c r="B61" s="153" t="s">
        <v>3149</v>
      </c>
      <c r="C61" s="110"/>
      <c r="D61" s="69"/>
    </row>
    <row r="62" spans="1:4" x14ac:dyDescent="0.3">
      <c r="A62" s="162"/>
      <c r="B62" s="153"/>
      <c r="C62" s="27"/>
      <c r="D62" s="69"/>
    </row>
    <row r="63" spans="1:4" ht="30.6" x14ac:dyDescent="0.3">
      <c r="A63" s="162"/>
      <c r="B63" s="153" t="s">
        <v>5569</v>
      </c>
      <c r="C63" s="160"/>
      <c r="D63" s="149"/>
    </row>
    <row r="64" spans="1:4" x14ac:dyDescent="0.3">
      <c r="A64" s="162"/>
      <c r="B64" s="153"/>
      <c r="C64" s="160"/>
      <c r="D64" s="149"/>
    </row>
    <row r="65" spans="1:4" ht="40.799999999999997" x14ac:dyDescent="0.3">
      <c r="A65" s="162" t="s">
        <v>3151</v>
      </c>
      <c r="B65" s="153" t="s">
        <v>5570</v>
      </c>
      <c r="C65" s="110"/>
      <c r="D65" s="149"/>
    </row>
    <row r="66" spans="1:4" ht="40.799999999999997" x14ac:dyDescent="0.3">
      <c r="A66" s="162" t="s">
        <v>3153</v>
      </c>
      <c r="B66" s="153" t="s">
        <v>5571</v>
      </c>
      <c r="C66" s="110"/>
      <c r="D66" s="149"/>
    </row>
    <row r="67" spans="1:4" ht="40.799999999999997" x14ac:dyDescent="0.3">
      <c r="A67" s="162" t="s">
        <v>3155</v>
      </c>
      <c r="B67" s="153" t="s">
        <v>5572</v>
      </c>
      <c r="C67" s="110"/>
      <c r="D67" s="149"/>
    </row>
    <row r="68" spans="1:4" ht="71.400000000000006" x14ac:dyDescent="0.3">
      <c r="A68" s="162" t="s">
        <v>3157</v>
      </c>
      <c r="B68" s="153" t="s">
        <v>5573</v>
      </c>
      <c r="C68" s="110"/>
      <c r="D68" s="149"/>
    </row>
    <row r="69" spans="1:4" x14ac:dyDescent="0.3">
      <c r="A69" s="162"/>
      <c r="B69" s="153"/>
      <c r="C69" s="160"/>
      <c r="D69" s="149"/>
    </row>
    <row r="70" spans="1:4" ht="30.6" x14ac:dyDescent="0.3">
      <c r="A70" s="162"/>
      <c r="B70" s="153" t="s">
        <v>3150</v>
      </c>
      <c r="C70" s="27"/>
      <c r="D70" s="69"/>
    </row>
    <row r="71" spans="1:4" x14ac:dyDescent="0.3">
      <c r="A71" s="162"/>
      <c r="B71" s="153"/>
      <c r="C71" s="27"/>
      <c r="D71" s="69"/>
    </row>
    <row r="72" spans="1:4" ht="71.400000000000006" x14ac:dyDescent="0.3">
      <c r="A72" s="162" t="s">
        <v>3158</v>
      </c>
      <c r="B72" s="153" t="s">
        <v>3152</v>
      </c>
      <c r="C72" s="110"/>
      <c r="D72" s="69"/>
    </row>
    <row r="73" spans="1:4" ht="40.799999999999997" x14ac:dyDescent="0.3">
      <c r="A73" s="162" t="s">
        <v>3159</v>
      </c>
      <c r="B73" s="153" t="s">
        <v>3154</v>
      </c>
      <c r="C73" s="110"/>
      <c r="D73" s="69"/>
    </row>
    <row r="74" spans="1:4" ht="40.799999999999997" x14ac:dyDescent="0.3">
      <c r="A74" s="162" t="s">
        <v>3161</v>
      </c>
      <c r="B74" s="153" t="s">
        <v>3156</v>
      </c>
      <c r="C74" s="110"/>
      <c r="D74" s="69"/>
    </row>
    <row r="75" spans="1:4" ht="30.6" x14ac:dyDescent="0.3">
      <c r="A75" s="162" t="s">
        <v>3163</v>
      </c>
      <c r="B75" s="153" t="s">
        <v>5574</v>
      </c>
      <c r="C75" s="110"/>
      <c r="D75" s="69"/>
    </row>
    <row r="76" spans="1:4" ht="51" x14ac:dyDescent="0.3">
      <c r="A76" s="162" t="s">
        <v>3165</v>
      </c>
      <c r="B76" s="153" t="s">
        <v>5575</v>
      </c>
      <c r="C76" s="110"/>
      <c r="D76" s="69"/>
    </row>
    <row r="77" spans="1:4" ht="40.799999999999997" x14ac:dyDescent="0.3">
      <c r="A77" s="162" t="s">
        <v>3166</v>
      </c>
      <c r="B77" s="153" t="s">
        <v>5576</v>
      </c>
      <c r="C77" s="110"/>
      <c r="D77" s="69"/>
    </row>
    <row r="78" spans="1:4" x14ac:dyDescent="0.3">
      <c r="A78" s="162"/>
      <c r="B78" s="153"/>
      <c r="C78" s="27"/>
      <c r="D78" s="69"/>
    </row>
    <row r="79" spans="1:4" x14ac:dyDescent="0.3">
      <c r="A79" s="162"/>
      <c r="B79" s="153" t="s">
        <v>2497</v>
      </c>
      <c r="C79" s="160"/>
      <c r="D79" s="149"/>
    </row>
    <row r="80" spans="1:4" x14ac:dyDescent="0.3">
      <c r="A80" s="162"/>
      <c r="B80" s="153"/>
      <c r="C80" s="160"/>
      <c r="D80" s="149"/>
    </row>
    <row r="81" spans="1:4" ht="51" x14ac:dyDescent="0.3">
      <c r="A81" s="162" t="s">
        <v>3168</v>
      </c>
      <c r="B81" s="153" t="s">
        <v>5577</v>
      </c>
      <c r="C81" s="110"/>
      <c r="D81" s="149"/>
    </row>
    <row r="82" spans="1:4" x14ac:dyDescent="0.3">
      <c r="A82" s="162"/>
      <c r="B82" s="153"/>
      <c r="C82" s="160"/>
      <c r="D82" s="149"/>
    </row>
    <row r="83" spans="1:4" ht="20.399999999999999" x14ac:dyDescent="0.3">
      <c r="A83" s="162"/>
      <c r="B83" s="153" t="s">
        <v>3160</v>
      </c>
      <c r="C83" s="27"/>
      <c r="D83" s="69"/>
    </row>
    <row r="84" spans="1:4" x14ac:dyDescent="0.3">
      <c r="A84" s="162"/>
      <c r="B84" s="153"/>
      <c r="C84" s="27"/>
      <c r="D84" s="69"/>
    </row>
    <row r="85" spans="1:4" ht="71.400000000000006" x14ac:dyDescent="0.3">
      <c r="A85" s="162" t="s">
        <v>3169</v>
      </c>
      <c r="B85" s="153" t="s">
        <v>5578</v>
      </c>
      <c r="C85" s="110"/>
      <c r="D85" s="69"/>
    </row>
    <row r="86" spans="1:4" x14ac:dyDescent="0.3">
      <c r="A86" s="162"/>
      <c r="B86" s="153"/>
      <c r="C86" s="27"/>
      <c r="D86" s="69"/>
    </row>
    <row r="87" spans="1:4" ht="30.6" x14ac:dyDescent="0.3">
      <c r="A87" s="162"/>
      <c r="B87" s="153" t="s">
        <v>3162</v>
      </c>
      <c r="C87" s="27"/>
      <c r="D87" s="69"/>
    </row>
    <row r="88" spans="1:4" x14ac:dyDescent="0.3">
      <c r="A88" s="162"/>
      <c r="B88" s="153"/>
      <c r="C88" s="27"/>
      <c r="D88" s="69"/>
    </row>
    <row r="89" spans="1:4" ht="81.599999999999994" x14ac:dyDescent="0.3">
      <c r="A89" s="162" t="s">
        <v>3171</v>
      </c>
      <c r="B89" s="153" t="s">
        <v>3164</v>
      </c>
      <c r="C89" s="110"/>
      <c r="D89" s="69"/>
    </row>
    <row r="90" spans="1:4" ht="40.799999999999997" x14ac:dyDescent="0.3">
      <c r="A90" s="162" t="s">
        <v>3174</v>
      </c>
      <c r="B90" s="153" t="s">
        <v>5758</v>
      </c>
      <c r="C90" s="110"/>
      <c r="D90" s="69"/>
    </row>
    <row r="91" spans="1:4" ht="30.6" x14ac:dyDescent="0.3">
      <c r="A91" s="162" t="s">
        <v>3176</v>
      </c>
      <c r="B91" s="153" t="s">
        <v>3167</v>
      </c>
      <c r="C91" s="110"/>
      <c r="D91" s="69"/>
    </row>
    <row r="92" spans="1:4" x14ac:dyDescent="0.3">
      <c r="A92" s="162"/>
      <c r="B92" s="153"/>
      <c r="C92" s="27"/>
      <c r="D92" s="69"/>
    </row>
    <row r="93" spans="1:4" ht="20.399999999999999" x14ac:dyDescent="0.3">
      <c r="A93" s="162"/>
      <c r="B93" s="179" t="s">
        <v>5579</v>
      </c>
      <c r="C93" s="27"/>
      <c r="D93" s="69"/>
    </row>
    <row r="94" spans="1:4" x14ac:dyDescent="0.3">
      <c r="A94" s="162"/>
      <c r="B94" s="153"/>
      <c r="C94" s="27"/>
      <c r="D94" s="69"/>
    </row>
    <row r="95" spans="1:4" ht="51" x14ac:dyDescent="0.3">
      <c r="A95" s="162" t="s">
        <v>3178</v>
      </c>
      <c r="B95" s="153" t="s">
        <v>5759</v>
      </c>
      <c r="C95" s="110"/>
      <c r="D95" s="69"/>
    </row>
    <row r="96" spans="1:4" ht="40.799999999999997" x14ac:dyDescent="0.3">
      <c r="A96" s="162" t="s">
        <v>3180</v>
      </c>
      <c r="B96" s="153" t="s">
        <v>3170</v>
      </c>
      <c r="C96" s="110"/>
      <c r="D96" s="69"/>
    </row>
    <row r="97" spans="1:4" ht="20.399999999999999" x14ac:dyDescent="0.3">
      <c r="A97" s="162" t="s">
        <v>3181</v>
      </c>
      <c r="B97" s="153" t="s">
        <v>3172</v>
      </c>
      <c r="C97" s="110"/>
      <c r="D97" s="69"/>
    </row>
    <row r="98" spans="1:4" ht="40.799999999999997" x14ac:dyDescent="0.3">
      <c r="A98" s="162"/>
      <c r="B98" s="153" t="s">
        <v>3173</v>
      </c>
      <c r="C98" s="27"/>
      <c r="D98" s="69"/>
    </row>
    <row r="99" spans="1:4" x14ac:dyDescent="0.3">
      <c r="A99" s="162" t="s">
        <v>3182</v>
      </c>
      <c r="B99" s="153" t="s">
        <v>3175</v>
      </c>
      <c r="C99" s="110"/>
      <c r="D99" s="69"/>
    </row>
    <row r="100" spans="1:4" x14ac:dyDescent="0.3">
      <c r="A100" s="162" t="s">
        <v>3183</v>
      </c>
      <c r="B100" s="153" t="s">
        <v>3177</v>
      </c>
      <c r="C100" s="110"/>
      <c r="D100" s="69"/>
    </row>
    <row r="101" spans="1:4" ht="30.6" x14ac:dyDescent="0.3">
      <c r="A101" s="162" t="s">
        <v>3185</v>
      </c>
      <c r="B101" s="153" t="s">
        <v>3179</v>
      </c>
      <c r="C101" s="110"/>
      <c r="D101" s="69"/>
    </row>
    <row r="102" spans="1:4" ht="40.799999999999997" x14ac:dyDescent="0.3">
      <c r="A102" s="162" t="s">
        <v>3187</v>
      </c>
      <c r="B102" s="153" t="s">
        <v>5760</v>
      </c>
      <c r="C102" s="110"/>
      <c r="D102" s="69"/>
    </row>
    <row r="103" spans="1:4" x14ac:dyDescent="0.3">
      <c r="A103" s="162" t="s">
        <v>5580</v>
      </c>
      <c r="B103" s="153" t="s">
        <v>2663</v>
      </c>
      <c r="C103" s="110"/>
      <c r="D103" s="69"/>
    </row>
    <row r="104" spans="1:4" x14ac:dyDescent="0.3">
      <c r="A104" s="162"/>
      <c r="B104" s="153"/>
      <c r="C104" s="27"/>
      <c r="D104" s="69"/>
    </row>
    <row r="105" spans="1:4" ht="51" x14ac:dyDescent="0.3">
      <c r="A105" s="162" t="s">
        <v>5581</v>
      </c>
      <c r="B105" s="153" t="s">
        <v>5582</v>
      </c>
      <c r="C105" s="110"/>
      <c r="D105" s="69"/>
    </row>
    <row r="106" spans="1:4" x14ac:dyDescent="0.3">
      <c r="A106" s="162"/>
      <c r="B106" s="153"/>
      <c r="C106" s="27"/>
      <c r="D106" s="69"/>
    </row>
    <row r="107" spans="1:4" ht="40.799999999999997" x14ac:dyDescent="0.3">
      <c r="A107" s="162" t="s">
        <v>5583</v>
      </c>
      <c r="B107" s="153" t="s">
        <v>3184</v>
      </c>
      <c r="C107" s="110"/>
      <c r="D107" s="69"/>
    </row>
    <row r="108" spans="1:4" ht="51" x14ac:dyDescent="0.3">
      <c r="A108" s="162" t="s">
        <v>5584</v>
      </c>
      <c r="B108" s="153" t="s">
        <v>3186</v>
      </c>
      <c r="C108" s="110"/>
      <c r="D108" s="69"/>
    </row>
    <row r="109" spans="1:4" ht="51" x14ac:dyDescent="0.3">
      <c r="A109" s="162" t="s">
        <v>5585</v>
      </c>
      <c r="B109" s="153" t="s">
        <v>5761</v>
      </c>
      <c r="C109" s="110"/>
      <c r="D109" s="69"/>
    </row>
    <row r="110" spans="1:4" x14ac:dyDescent="0.3">
      <c r="A110" s="163"/>
      <c r="B110" s="160"/>
      <c r="C110" s="27"/>
      <c r="D110" s="69"/>
    </row>
    <row r="111" spans="1:4" ht="8.1" customHeight="1" x14ac:dyDescent="0.3">
      <c r="A111" s="70" t="s">
        <v>0</v>
      </c>
      <c r="B111" s="152"/>
      <c r="C111" s="70"/>
      <c r="D111" s="69"/>
    </row>
  </sheetData>
  <sheetProtection password="C9D6" sheet="1" objects="1" scenarios="1"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xr:uid="{00000000-0002-0000-1D00-00000000000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xr:uid="{00000000-0002-0000-1D00-000001000000}">
      <formula1>CATALOGCOLUMNFILTERED12</formula1>
    </dataValidation>
  </dataValidation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B1:EV247"/>
  <sheetViews>
    <sheetView zoomScale="70" zoomScaleNormal="70" workbookViewId="0"/>
  </sheetViews>
  <sheetFormatPr defaultColWidth="9.109375" defaultRowHeight="14.4" x14ac:dyDescent="0.3"/>
  <cols>
    <col min="1" max="1" width="36" style="2" bestFit="1" customWidth="1"/>
    <col min="2" max="2" width="136.5546875" style="2" customWidth="1"/>
    <col min="3" max="3" width="77" style="2" customWidth="1"/>
    <col min="4" max="4" width="11.109375" style="2" bestFit="1" customWidth="1"/>
    <col min="5" max="5" width="9.109375" style="2"/>
    <col min="6" max="6" width="32.109375" style="2" customWidth="1"/>
    <col min="7" max="7" width="9.109375" style="2"/>
    <col min="9" max="9" width="9.109375" style="2"/>
    <col min="11" max="12" width="9.109375" style="2"/>
    <col min="14" max="14" width="9.109375" style="2"/>
    <col min="16" max="16" width="9.109375" style="2"/>
    <col min="38" max="38" width="9.109375" style="2"/>
    <col min="40" max="40" width="9.109375" style="2"/>
    <col min="133" max="141" width="9.109375" style="2"/>
    <col min="142" max="142" width="65.44140625" style="2" customWidth="1"/>
    <col min="143" max="146" width="9.109375" style="2"/>
    <col min="148" max="150" width="9.109375" style="2"/>
    <col min="151" max="151" width="9.109375" style="2" customWidth="1"/>
    <col min="152" max="16384" width="9.109375" style="2"/>
  </cols>
  <sheetData>
    <row r="1" spans="2:152" x14ac:dyDescent="0.3">
      <c r="B1" s="2" t="s">
        <v>3188</v>
      </c>
      <c r="C1" s="4" t="s">
        <v>3189</v>
      </c>
      <c r="F1" s="2" t="s">
        <v>3190</v>
      </c>
      <c r="G1" s="2" t="s">
        <v>3191</v>
      </c>
      <c r="I1" s="2" t="s">
        <v>3192</v>
      </c>
      <c r="K1" s="2" t="s">
        <v>3193</v>
      </c>
      <c r="L1" s="2" t="s">
        <v>3194</v>
      </c>
      <c r="N1" s="2" t="s">
        <v>3195</v>
      </c>
      <c r="P1" s="2" t="s">
        <v>3196</v>
      </c>
      <c r="AL1" s="2" t="s">
        <v>3197</v>
      </c>
      <c r="AM1" t="s">
        <v>3198</v>
      </c>
      <c r="AN1" s="2" t="s">
        <v>3199</v>
      </c>
      <c r="AO1" t="s">
        <v>5771</v>
      </c>
      <c r="AP1" t="s">
        <v>3200</v>
      </c>
      <c r="AQ1" t="s">
        <v>3201</v>
      </c>
      <c r="AR1" t="s">
        <v>3202</v>
      </c>
      <c r="AS1" t="s">
        <v>3203</v>
      </c>
      <c r="AT1" t="s">
        <v>3204</v>
      </c>
      <c r="BB1" t="s">
        <v>3205</v>
      </c>
      <c r="BC1" t="s">
        <v>3206</v>
      </c>
      <c r="BD1" t="s">
        <v>3207</v>
      </c>
      <c r="BE1" t="s">
        <v>3208</v>
      </c>
      <c r="BF1" t="s">
        <v>3209</v>
      </c>
      <c r="BG1" t="s">
        <v>3210</v>
      </c>
      <c r="BH1" t="s">
        <v>3211</v>
      </c>
      <c r="BI1" t="s">
        <v>3212</v>
      </c>
      <c r="BJ1" t="s">
        <v>3213</v>
      </c>
      <c r="BK1" t="s">
        <v>3214</v>
      </c>
      <c r="BL1" t="s">
        <v>3215</v>
      </c>
      <c r="BM1" t="s">
        <v>3216</v>
      </c>
      <c r="BN1" t="s">
        <v>3217</v>
      </c>
      <c r="BO1" t="s">
        <v>3218</v>
      </c>
      <c r="BP1" t="s">
        <v>3219</v>
      </c>
      <c r="BQ1" t="s">
        <v>3220</v>
      </c>
      <c r="BR1" t="s">
        <v>3518</v>
      </c>
      <c r="BS1" t="s">
        <v>3222</v>
      </c>
      <c r="BT1" t="s">
        <v>3223</v>
      </c>
      <c r="BU1" t="s">
        <v>3224</v>
      </c>
      <c r="BV1" t="s">
        <v>3225</v>
      </c>
      <c r="BW1" t="s">
        <v>3226</v>
      </c>
      <c r="BX1" t="s">
        <v>3227</v>
      </c>
      <c r="BY1" t="s">
        <v>3228</v>
      </c>
      <c r="BZ1" t="s">
        <v>3229</v>
      </c>
      <c r="CA1" t="s">
        <v>3230</v>
      </c>
      <c r="CB1" t="s">
        <v>3231</v>
      </c>
      <c r="CC1" t="s">
        <v>3232</v>
      </c>
      <c r="CD1" t="s">
        <v>3233</v>
      </c>
      <c r="CE1" t="s">
        <v>3234</v>
      </c>
      <c r="CF1" t="s">
        <v>3235</v>
      </c>
      <c r="CG1" t="s">
        <v>3236</v>
      </c>
      <c r="CH1" t="s">
        <v>3237</v>
      </c>
      <c r="CI1" t="s">
        <v>3238</v>
      </c>
      <c r="CJ1" t="s">
        <v>3239</v>
      </c>
      <c r="CK1" t="s">
        <v>3240</v>
      </c>
      <c r="CL1" t="s">
        <v>3241</v>
      </c>
      <c r="CM1" t="s">
        <v>3242</v>
      </c>
      <c r="CN1" t="s">
        <v>3243</v>
      </c>
      <c r="CO1" t="s">
        <v>3244</v>
      </c>
      <c r="CP1" t="s">
        <v>3245</v>
      </c>
      <c r="CQ1" t="s">
        <v>3246</v>
      </c>
      <c r="CR1" t="s">
        <v>3247</v>
      </c>
      <c r="CS1" t="s">
        <v>3248</v>
      </c>
      <c r="CT1" t="s">
        <v>3249</v>
      </c>
      <c r="CU1" t="s">
        <v>3250</v>
      </c>
      <c r="CV1" t="s">
        <v>3251</v>
      </c>
      <c r="CW1" t="s">
        <v>3252</v>
      </c>
      <c r="CX1" t="s">
        <v>3253</v>
      </c>
      <c r="CY1" t="s">
        <v>3254</v>
      </c>
      <c r="CZ1" t="s">
        <v>3255</v>
      </c>
      <c r="DA1" t="s">
        <v>3256</v>
      </c>
      <c r="DB1" t="s">
        <v>3257</v>
      </c>
      <c r="DC1" t="s">
        <v>3258</v>
      </c>
      <c r="DE1" t="s">
        <v>3259</v>
      </c>
      <c r="DF1" t="s">
        <v>3260</v>
      </c>
      <c r="DG1" t="s">
        <v>3261</v>
      </c>
      <c r="DH1" t="s">
        <v>3262</v>
      </c>
      <c r="DI1" t="s">
        <v>3263</v>
      </c>
      <c r="DJ1" t="s">
        <v>3264</v>
      </c>
      <c r="DK1" t="s">
        <v>3265</v>
      </c>
      <c r="DL1" t="s">
        <v>3266</v>
      </c>
      <c r="DM1" t="s">
        <v>3267</v>
      </c>
      <c r="DN1" t="s">
        <v>3268</v>
      </c>
      <c r="DO1" t="s">
        <v>3269</v>
      </c>
      <c r="DP1" t="s">
        <v>3270</v>
      </c>
      <c r="DQ1" t="s">
        <v>3271</v>
      </c>
      <c r="DR1" t="s">
        <v>3272</v>
      </c>
      <c r="DS1" t="s">
        <v>3273</v>
      </c>
      <c r="DT1" t="s">
        <v>4300</v>
      </c>
      <c r="DU1" t="s">
        <v>3275</v>
      </c>
      <c r="DV1" t="s">
        <v>3276</v>
      </c>
      <c r="DW1" t="s">
        <v>3277</v>
      </c>
      <c r="DX1" t="s">
        <v>3278</v>
      </c>
      <c r="DY1" t="s">
        <v>3279</v>
      </c>
      <c r="EC1" s="2" t="s">
        <v>3280</v>
      </c>
      <c r="ED1" s="2" t="s">
        <v>3281</v>
      </c>
      <c r="EE1" s="2" t="s">
        <v>3282</v>
      </c>
      <c r="EF1" s="2" t="s">
        <v>3283</v>
      </c>
      <c r="EG1" s="2" t="s">
        <v>3284</v>
      </c>
      <c r="EH1" s="2" t="s">
        <v>3285</v>
      </c>
      <c r="EI1" s="2" t="s">
        <v>3286</v>
      </c>
      <c r="EJ1" s="2" t="s">
        <v>3287</v>
      </c>
      <c r="EK1" s="2" t="s">
        <v>3190</v>
      </c>
      <c r="EL1" s="2" t="s">
        <v>3288</v>
      </c>
      <c r="EM1" s="2" t="s">
        <v>3289</v>
      </c>
      <c r="EN1" s="2" t="s">
        <v>3290</v>
      </c>
      <c r="EO1" s="2" t="s">
        <v>3291</v>
      </c>
      <c r="EP1" s="2" t="s">
        <v>3292</v>
      </c>
      <c r="ER1" s="2" t="s">
        <v>3205</v>
      </c>
      <c r="ES1" s="2" t="s">
        <v>5189</v>
      </c>
      <c r="EU1" s="2" t="s">
        <v>4852</v>
      </c>
      <c r="EV1" s="2" t="s">
        <v>5271</v>
      </c>
    </row>
    <row r="2" spans="2:152" x14ac:dyDescent="0.3">
      <c r="B2" s="2" t="s">
        <v>3293</v>
      </c>
      <c r="C2" s="2" t="s">
        <v>3294</v>
      </c>
      <c r="F2" s="2" t="s">
        <v>3295</v>
      </c>
      <c r="G2" s="2" t="s">
        <v>3194</v>
      </c>
      <c r="I2" s="2" t="s">
        <v>3296</v>
      </c>
      <c r="K2" s="2" t="s">
        <v>3297</v>
      </c>
      <c r="L2" s="2" t="s">
        <v>3191</v>
      </c>
      <c r="N2" s="2" t="s">
        <v>3298</v>
      </c>
      <c r="P2" s="2" t="s">
        <v>3299</v>
      </c>
      <c r="AL2" s="2" t="s">
        <v>3300</v>
      </c>
      <c r="AM2" t="s">
        <v>3301</v>
      </c>
      <c r="AN2" s="2" t="s">
        <v>3302</v>
      </c>
      <c r="AO2" t="s">
        <v>5772</v>
      </c>
      <c r="AP2" t="s">
        <v>3303</v>
      </c>
      <c r="AQ2" t="s">
        <v>3304</v>
      </c>
      <c r="AR2" t="s">
        <v>3305</v>
      </c>
      <c r="AS2" t="s">
        <v>3306</v>
      </c>
      <c r="AT2" t="s">
        <v>3307</v>
      </c>
      <c r="BB2" t="s">
        <v>3308</v>
      </c>
      <c r="BC2" t="s">
        <v>3309</v>
      </c>
      <c r="BD2" t="s">
        <v>3310</v>
      </c>
      <c r="BE2" t="s">
        <v>3311</v>
      </c>
      <c r="BF2" t="s">
        <v>3312</v>
      </c>
      <c r="BG2" t="s">
        <v>3313</v>
      </c>
      <c r="BH2" t="s">
        <v>3314</v>
      </c>
      <c r="BI2" t="s">
        <v>3315</v>
      </c>
      <c r="BJ2" t="s">
        <v>3316</v>
      </c>
      <c r="BK2" t="s">
        <v>3317</v>
      </c>
      <c r="BL2" t="s">
        <v>3318</v>
      </c>
      <c r="BM2" t="s">
        <v>3319</v>
      </c>
      <c r="BN2" t="s">
        <v>3320</v>
      </c>
      <c r="BO2" t="s">
        <v>3321</v>
      </c>
      <c r="BP2" t="s">
        <v>3322</v>
      </c>
      <c r="BQ2" t="s">
        <v>3323</v>
      </c>
      <c r="BR2" t="s">
        <v>3611</v>
      </c>
      <c r="BS2" t="s">
        <v>3324</v>
      </c>
      <c r="BT2" t="s">
        <v>3325</v>
      </c>
      <c r="BU2" t="s">
        <v>3326</v>
      </c>
      <c r="BV2" t="s">
        <v>3327</v>
      </c>
      <c r="BW2" t="s">
        <v>3328</v>
      </c>
      <c r="BX2" t="s">
        <v>3329</v>
      </c>
      <c r="BY2" t="s">
        <v>3330</v>
      </c>
      <c r="BZ2" t="s">
        <v>3331</v>
      </c>
      <c r="CA2" t="s">
        <v>3332</v>
      </c>
      <c r="CB2" t="s">
        <v>3333</v>
      </c>
      <c r="CC2" t="s">
        <v>3334</v>
      </c>
      <c r="CD2" t="s">
        <v>3335</v>
      </c>
      <c r="CE2" t="s">
        <v>3336</v>
      </c>
      <c r="CF2" t="s">
        <v>3337</v>
      </c>
      <c r="CG2" t="s">
        <v>3338</v>
      </c>
      <c r="CH2" t="s">
        <v>3339</v>
      </c>
      <c r="CI2" t="s">
        <v>3340</v>
      </c>
      <c r="CJ2" t="s">
        <v>3341</v>
      </c>
      <c r="CK2" t="s">
        <v>3342</v>
      </c>
      <c r="CL2" t="s">
        <v>3343</v>
      </c>
      <c r="CM2" t="s">
        <v>3344</v>
      </c>
      <c r="CN2" t="s">
        <v>3345</v>
      </c>
      <c r="CO2" t="s">
        <v>3346</v>
      </c>
      <c r="CP2" t="s">
        <v>3347</v>
      </c>
      <c r="CQ2" t="s">
        <v>3348</v>
      </c>
      <c r="CR2" t="s">
        <v>3349</v>
      </c>
      <c r="CS2" t="s">
        <v>3350</v>
      </c>
      <c r="CT2" t="s">
        <v>3351</v>
      </c>
      <c r="CU2" t="s">
        <v>3352</v>
      </c>
      <c r="CV2" t="s">
        <v>3353</v>
      </c>
      <c r="CW2" t="s">
        <v>3354</v>
      </c>
      <c r="CX2" t="s">
        <v>3355</v>
      </c>
      <c r="CY2" t="s">
        <v>3356</v>
      </c>
      <c r="CZ2" t="s">
        <v>3357</v>
      </c>
      <c r="DA2" t="s">
        <v>3358</v>
      </c>
      <c r="DB2" t="s">
        <v>3359</v>
      </c>
      <c r="DC2" t="s">
        <v>3360</v>
      </c>
      <c r="DE2" t="s">
        <v>3361</v>
      </c>
      <c r="DF2" t="s">
        <v>3362</v>
      </c>
      <c r="DG2" t="s">
        <v>3363</v>
      </c>
      <c r="DH2" t="s">
        <v>3364</v>
      </c>
      <c r="DI2" t="s">
        <v>3365</v>
      </c>
      <c r="DJ2" t="s">
        <v>3366</v>
      </c>
      <c r="DK2" t="s">
        <v>3367</v>
      </c>
      <c r="DL2" t="s">
        <v>3368</v>
      </c>
      <c r="DM2" t="s">
        <v>3369</v>
      </c>
      <c r="DN2" t="s">
        <v>3370</v>
      </c>
      <c r="DO2" t="s">
        <v>3371</v>
      </c>
      <c r="DP2" t="s">
        <v>3372</v>
      </c>
      <c r="DQ2" t="s">
        <v>3373</v>
      </c>
      <c r="DR2" t="s">
        <v>3374</v>
      </c>
      <c r="DS2" t="s">
        <v>3375</v>
      </c>
      <c r="DT2" t="s">
        <v>4625</v>
      </c>
      <c r="DU2" t="s">
        <v>3377</v>
      </c>
      <c r="DW2" t="s">
        <v>3378</v>
      </c>
      <c r="DX2" t="s">
        <v>3379</v>
      </c>
      <c r="DY2" t="s">
        <v>3380</v>
      </c>
      <c r="ED2" s="2" t="s">
        <v>3381</v>
      </c>
      <c r="EE2" s="2" t="s">
        <v>3382</v>
      </c>
      <c r="EF2" s="2" t="s">
        <v>3383</v>
      </c>
      <c r="EG2" s="2" t="s">
        <v>3384</v>
      </c>
      <c r="EH2" s="2" t="s">
        <v>3385</v>
      </c>
      <c r="EI2" s="2" t="s">
        <v>3386</v>
      </c>
      <c r="EJ2" s="2" t="s">
        <v>3387</v>
      </c>
      <c r="EK2" s="2" t="s">
        <v>3295</v>
      </c>
      <c r="EL2" s="2" t="s">
        <v>3388</v>
      </c>
      <c r="EM2" s="2" t="s">
        <v>3389</v>
      </c>
      <c r="EN2" s="2" t="s">
        <v>3390</v>
      </c>
      <c r="EO2" s="2" t="s">
        <v>3391</v>
      </c>
      <c r="EP2" s="2" t="s">
        <v>3392</v>
      </c>
      <c r="ER2" s="2" t="s">
        <v>3308</v>
      </c>
      <c r="ES2" s="2" t="s">
        <v>5190</v>
      </c>
      <c r="EU2" s="2" t="s">
        <v>4867</v>
      </c>
      <c r="EV2" s="2" t="s">
        <v>5272</v>
      </c>
    </row>
    <row r="3" spans="2:152" x14ac:dyDescent="0.3">
      <c r="B3" s="2" t="s">
        <v>3393</v>
      </c>
      <c r="C3" s="2" t="s">
        <v>3394</v>
      </c>
      <c r="F3" s="2" t="s">
        <v>3395</v>
      </c>
      <c r="I3" s="2" t="s">
        <v>3396</v>
      </c>
      <c r="K3" s="2" t="s">
        <v>3397</v>
      </c>
      <c r="L3" s="2" t="s">
        <v>3398</v>
      </c>
      <c r="N3" s="2" t="s">
        <v>3399</v>
      </c>
      <c r="P3" s="2" t="s">
        <v>3400</v>
      </c>
      <c r="AL3" s="2" t="s">
        <v>3401</v>
      </c>
      <c r="AO3" t="s">
        <v>5773</v>
      </c>
      <c r="AP3" t="s">
        <v>3402</v>
      </c>
      <c r="AQ3" t="s">
        <v>3403</v>
      </c>
      <c r="AR3" t="s">
        <v>3404</v>
      </c>
      <c r="AS3" t="s">
        <v>3405</v>
      </c>
      <c r="AT3" t="s">
        <v>3406</v>
      </c>
      <c r="BB3" t="s">
        <v>3407</v>
      </c>
      <c r="BC3" t="s">
        <v>3408</v>
      </c>
      <c r="BD3" t="s">
        <v>3409</v>
      </c>
      <c r="BE3" t="s">
        <v>3410</v>
      </c>
      <c r="BF3" t="s">
        <v>3411</v>
      </c>
      <c r="BG3" t="s">
        <v>3412</v>
      </c>
      <c r="BH3" t="s">
        <v>3413</v>
      </c>
      <c r="BI3" t="s">
        <v>3414</v>
      </c>
      <c r="BJ3" t="s">
        <v>3415</v>
      </c>
      <c r="BK3" t="s">
        <v>3416</v>
      </c>
      <c r="BL3" t="s">
        <v>3417</v>
      </c>
      <c r="BM3" t="s">
        <v>3418</v>
      </c>
      <c r="BN3" t="s">
        <v>3419</v>
      </c>
      <c r="BO3" t="s">
        <v>3420</v>
      </c>
      <c r="BP3" t="s">
        <v>3421</v>
      </c>
      <c r="BQ3" t="s">
        <v>3422</v>
      </c>
      <c r="BR3" t="s">
        <v>4208</v>
      </c>
      <c r="BS3" t="s">
        <v>3424</v>
      </c>
      <c r="BT3" t="s">
        <v>3425</v>
      </c>
      <c r="BU3" t="s">
        <v>3426</v>
      </c>
      <c r="BV3" t="s">
        <v>3427</v>
      </c>
      <c r="BW3" t="s">
        <v>3428</v>
      </c>
      <c r="BX3" t="s">
        <v>3429</v>
      </c>
      <c r="BY3" t="s">
        <v>3430</v>
      </c>
      <c r="BZ3" t="s">
        <v>3431</v>
      </c>
      <c r="CA3" t="s">
        <v>3432</v>
      </c>
      <c r="CB3" t="s">
        <v>3433</v>
      </c>
      <c r="CC3" t="s">
        <v>3434</v>
      </c>
      <c r="CD3" t="s">
        <v>3435</v>
      </c>
      <c r="CE3" t="s">
        <v>3436</v>
      </c>
      <c r="CF3" t="s">
        <v>3437</v>
      </c>
      <c r="CG3" t="s">
        <v>3438</v>
      </c>
      <c r="CH3" t="s">
        <v>3439</v>
      </c>
      <c r="CI3" t="s">
        <v>3440</v>
      </c>
      <c r="CJ3" t="s">
        <v>3441</v>
      </c>
      <c r="CK3" t="s">
        <v>3442</v>
      </c>
      <c r="CL3" t="s">
        <v>3443</v>
      </c>
      <c r="CM3" t="s">
        <v>3444</v>
      </c>
      <c r="CN3" t="s">
        <v>3445</v>
      </c>
      <c r="CO3" t="s">
        <v>3446</v>
      </c>
      <c r="CP3" t="s">
        <v>3447</v>
      </c>
      <c r="CQ3" t="s">
        <v>3448</v>
      </c>
      <c r="CR3" t="s">
        <v>3449</v>
      </c>
      <c r="CS3" t="s">
        <v>3450</v>
      </c>
      <c r="CT3" t="s">
        <v>3451</v>
      </c>
      <c r="CU3" t="s">
        <v>3452</v>
      </c>
      <c r="CV3" t="s">
        <v>3453</v>
      </c>
      <c r="CW3" t="s">
        <v>3454</v>
      </c>
      <c r="CX3" t="s">
        <v>3455</v>
      </c>
      <c r="CY3" t="s">
        <v>3456</v>
      </c>
      <c r="CZ3" t="s">
        <v>3457</v>
      </c>
      <c r="DA3" t="s">
        <v>3458</v>
      </c>
      <c r="DB3" t="s">
        <v>3459</v>
      </c>
      <c r="DC3" t="s">
        <v>3460</v>
      </c>
      <c r="DE3" t="s">
        <v>3461</v>
      </c>
      <c r="DF3" t="s">
        <v>3462</v>
      </c>
      <c r="DG3" t="s">
        <v>3463</v>
      </c>
      <c r="DH3" t="s">
        <v>3464</v>
      </c>
      <c r="DI3" t="s">
        <v>3465</v>
      </c>
      <c r="DJ3" t="s">
        <v>3466</v>
      </c>
      <c r="DK3" t="s">
        <v>3467</v>
      </c>
      <c r="DL3" t="s">
        <v>3468</v>
      </c>
      <c r="DM3" t="s">
        <v>3469</v>
      </c>
      <c r="DN3" t="s">
        <v>3470</v>
      </c>
      <c r="DO3" t="s">
        <v>3471</v>
      </c>
      <c r="DP3" t="s">
        <v>3472</v>
      </c>
      <c r="DQ3" t="s">
        <v>3473</v>
      </c>
      <c r="DR3" t="s">
        <v>3474</v>
      </c>
      <c r="DS3" t="s">
        <v>3475</v>
      </c>
      <c r="DT3" t="s">
        <v>6023</v>
      </c>
      <c r="DW3" t="s">
        <v>3477</v>
      </c>
      <c r="DX3" t="s">
        <v>3478</v>
      </c>
      <c r="DY3" t="s">
        <v>3479</v>
      </c>
      <c r="EE3" s="2" t="s">
        <v>3480</v>
      </c>
      <c r="EF3" s="2" t="s">
        <v>3481</v>
      </c>
      <c r="EG3" s="2" t="s">
        <v>3482</v>
      </c>
      <c r="EI3" s="2" t="s">
        <v>3483</v>
      </c>
      <c r="EJ3" s="2" t="s">
        <v>3484</v>
      </c>
      <c r="EK3" s="2" t="s">
        <v>3395</v>
      </c>
      <c r="EL3" s="2" t="s">
        <v>3485</v>
      </c>
      <c r="EM3" s="2" t="s">
        <v>3486</v>
      </c>
      <c r="EN3" s="2" t="s">
        <v>3487</v>
      </c>
      <c r="EO3" s="2" t="s">
        <v>3488</v>
      </c>
      <c r="EP3" s="2" t="s">
        <v>3489</v>
      </c>
      <c r="ER3" s="2" t="s">
        <v>3407</v>
      </c>
      <c r="ES3" s="2" t="s">
        <v>5191</v>
      </c>
      <c r="EU3" s="2" t="s">
        <v>3190</v>
      </c>
      <c r="EV3" s="2" t="s">
        <v>5273</v>
      </c>
    </row>
    <row r="4" spans="2:152" x14ac:dyDescent="0.3">
      <c r="B4" s="2" t="s">
        <v>3490</v>
      </c>
      <c r="C4" s="2" t="s">
        <v>3491</v>
      </c>
      <c r="F4" s="2" t="s">
        <v>3492</v>
      </c>
      <c r="K4" s="2" t="s">
        <v>3493</v>
      </c>
      <c r="N4" s="2" t="s">
        <v>3494</v>
      </c>
      <c r="P4" s="2" t="s">
        <v>3495</v>
      </c>
      <c r="AL4" s="2" t="s">
        <v>3496</v>
      </c>
      <c r="AO4" t="s">
        <v>5774</v>
      </c>
      <c r="AP4" t="s">
        <v>3497</v>
      </c>
      <c r="AQ4" t="s">
        <v>3498</v>
      </c>
      <c r="AR4" t="s">
        <v>3499</v>
      </c>
      <c r="AS4" t="s">
        <v>3500</v>
      </c>
      <c r="AT4" t="s">
        <v>3501</v>
      </c>
      <c r="BB4" t="s">
        <v>3502</v>
      </c>
      <c r="BC4" t="s">
        <v>3503</v>
      </c>
      <c r="BD4" t="s">
        <v>3504</v>
      </c>
      <c r="BE4" t="s">
        <v>3505</v>
      </c>
      <c r="BF4" t="s">
        <v>3506</v>
      </c>
      <c r="BG4" t="s">
        <v>3507</v>
      </c>
      <c r="BH4" t="s">
        <v>3508</v>
      </c>
      <c r="BI4" t="s">
        <v>3509</v>
      </c>
      <c r="BJ4" t="s">
        <v>3510</v>
      </c>
      <c r="BK4" t="s">
        <v>3511</v>
      </c>
      <c r="BL4" t="s">
        <v>3512</v>
      </c>
      <c r="BM4" t="s">
        <v>3513</v>
      </c>
      <c r="BN4" t="s">
        <v>3514</v>
      </c>
      <c r="BO4" t="s">
        <v>3515</v>
      </c>
      <c r="BP4" t="s">
        <v>3516</v>
      </c>
      <c r="BQ4" t="s">
        <v>3517</v>
      </c>
      <c r="BR4" t="s">
        <v>4267</v>
      </c>
      <c r="BS4" t="s">
        <v>3519</v>
      </c>
      <c r="BT4" t="s">
        <v>3520</v>
      </c>
      <c r="BU4" t="s">
        <v>3521</v>
      </c>
      <c r="BV4" t="s">
        <v>3522</v>
      </c>
      <c r="BW4" t="s">
        <v>3523</v>
      </c>
      <c r="BX4" t="s">
        <v>3524</v>
      </c>
      <c r="BY4" t="s">
        <v>3525</v>
      </c>
      <c r="BZ4" t="s">
        <v>3526</v>
      </c>
      <c r="CA4" t="s">
        <v>3527</v>
      </c>
      <c r="CB4" t="s">
        <v>3528</v>
      </c>
      <c r="CC4" t="s">
        <v>3529</v>
      </c>
      <c r="CD4" t="s">
        <v>3530</v>
      </c>
      <c r="CE4" t="s">
        <v>3531</v>
      </c>
      <c r="CF4" t="s">
        <v>3532</v>
      </c>
      <c r="CG4" t="s">
        <v>3533</v>
      </c>
      <c r="CH4" t="s">
        <v>3534</v>
      </c>
      <c r="CI4" t="s">
        <v>3535</v>
      </c>
      <c r="CJ4" t="s">
        <v>3536</v>
      </c>
      <c r="CK4" t="s">
        <v>3537</v>
      </c>
      <c r="CL4" t="s">
        <v>3538</v>
      </c>
      <c r="CM4" t="s">
        <v>3539</v>
      </c>
      <c r="CN4" t="s">
        <v>3540</v>
      </c>
      <c r="CO4" t="s">
        <v>3541</v>
      </c>
      <c r="CP4" t="s">
        <v>3542</v>
      </c>
      <c r="CQ4" t="s">
        <v>3543</v>
      </c>
      <c r="CR4" t="s">
        <v>3544</v>
      </c>
      <c r="CS4" t="s">
        <v>3545</v>
      </c>
      <c r="CT4" t="s">
        <v>3546</v>
      </c>
      <c r="CU4" t="s">
        <v>3547</v>
      </c>
      <c r="CV4" t="s">
        <v>3548</v>
      </c>
      <c r="CW4" t="s">
        <v>3549</v>
      </c>
      <c r="CX4" t="s">
        <v>3550</v>
      </c>
      <c r="CY4" t="s">
        <v>3551</v>
      </c>
      <c r="CZ4" t="s">
        <v>3552</v>
      </c>
      <c r="DA4" t="s">
        <v>3553</v>
      </c>
      <c r="DB4" t="s">
        <v>3554</v>
      </c>
      <c r="DC4" t="s">
        <v>3555</v>
      </c>
      <c r="DE4" t="s">
        <v>3556</v>
      </c>
      <c r="DF4" t="s">
        <v>3557</v>
      </c>
      <c r="DG4" t="s">
        <v>3558</v>
      </c>
      <c r="DH4" t="s">
        <v>3559</v>
      </c>
      <c r="DI4" t="s">
        <v>3560</v>
      </c>
      <c r="DJ4" t="s">
        <v>3561</v>
      </c>
      <c r="DK4" t="s">
        <v>3562</v>
      </c>
      <c r="DL4" t="s">
        <v>3563</v>
      </c>
      <c r="DM4" t="s">
        <v>3564</v>
      </c>
      <c r="DN4" t="s">
        <v>3565</v>
      </c>
      <c r="DO4" t="s">
        <v>3566</v>
      </c>
      <c r="DP4" t="s">
        <v>3567</v>
      </c>
      <c r="DQ4" t="s">
        <v>3568</v>
      </c>
      <c r="DR4" t="s">
        <v>3569</v>
      </c>
      <c r="DS4" t="s">
        <v>3570</v>
      </c>
      <c r="DT4" t="s">
        <v>3979</v>
      </c>
      <c r="DW4" t="s">
        <v>3572</v>
      </c>
      <c r="DX4" t="s">
        <v>3573</v>
      </c>
      <c r="DY4" t="s">
        <v>3574</v>
      </c>
      <c r="EE4" s="2" t="s">
        <v>3575</v>
      </c>
      <c r="EF4" s="2" t="s">
        <v>3576</v>
      </c>
      <c r="EG4" s="2" t="s">
        <v>3577</v>
      </c>
      <c r="EI4" s="2" t="s">
        <v>3578</v>
      </c>
      <c r="EK4" s="2" t="s">
        <v>3492</v>
      </c>
      <c r="EL4" s="2" t="s">
        <v>3579</v>
      </c>
      <c r="EM4" s="2" t="s">
        <v>3580</v>
      </c>
      <c r="EN4" s="2" t="s">
        <v>3581</v>
      </c>
      <c r="EO4" s="2" t="s">
        <v>3582</v>
      </c>
      <c r="EP4" s="2" t="s">
        <v>3583</v>
      </c>
      <c r="ER4" s="2" t="s">
        <v>3502</v>
      </c>
      <c r="ES4" s="2" t="s">
        <v>5192</v>
      </c>
      <c r="EU4" s="2" t="s">
        <v>3295</v>
      </c>
      <c r="EV4" s="2" t="s">
        <v>5274</v>
      </c>
    </row>
    <row r="5" spans="2:152" x14ac:dyDescent="0.3">
      <c r="B5" s="2" t="s">
        <v>3584</v>
      </c>
      <c r="C5" s="2" t="s">
        <v>3585</v>
      </c>
      <c r="F5" s="2" t="s">
        <v>3586</v>
      </c>
      <c r="K5" s="2" t="s">
        <v>3587</v>
      </c>
      <c r="N5" s="2" t="s">
        <v>3588</v>
      </c>
      <c r="P5" s="2" t="s">
        <v>3589</v>
      </c>
      <c r="AL5" s="2" t="s">
        <v>3590</v>
      </c>
      <c r="AO5" t="s">
        <v>5775</v>
      </c>
      <c r="AP5" t="s">
        <v>3591</v>
      </c>
      <c r="AQ5" t="s">
        <v>3592</v>
      </c>
      <c r="AR5" t="s">
        <v>3593</v>
      </c>
      <c r="AS5" t="s">
        <v>3594</v>
      </c>
      <c r="AT5" t="s">
        <v>3595</v>
      </c>
      <c r="BB5" t="s">
        <v>3596</v>
      </c>
      <c r="BC5" t="s">
        <v>3597</v>
      </c>
      <c r="BD5" t="s">
        <v>3598</v>
      </c>
      <c r="BF5" t="s">
        <v>3599</v>
      </c>
      <c r="BG5" t="s">
        <v>3600</v>
      </c>
      <c r="BH5" t="s">
        <v>3601</v>
      </c>
      <c r="BI5" t="s">
        <v>3602</v>
      </c>
      <c r="BJ5" t="s">
        <v>3603</v>
      </c>
      <c r="BK5" t="s">
        <v>3604</v>
      </c>
      <c r="BL5" t="s">
        <v>3605</v>
      </c>
      <c r="BM5" t="s">
        <v>3606</v>
      </c>
      <c r="BN5" t="s">
        <v>3607</v>
      </c>
      <c r="BO5" t="s">
        <v>3608</v>
      </c>
      <c r="BP5" t="s">
        <v>3609</v>
      </c>
      <c r="BQ5" t="s">
        <v>3610</v>
      </c>
      <c r="BR5" t="s">
        <v>4143</v>
      </c>
      <c r="BS5" t="s">
        <v>3612</v>
      </c>
      <c r="BT5" t="s">
        <v>3613</v>
      </c>
      <c r="BU5" t="s">
        <v>3614</v>
      </c>
      <c r="BV5" t="s">
        <v>3615</v>
      </c>
      <c r="BW5" t="s">
        <v>3616</v>
      </c>
      <c r="BX5" t="s">
        <v>3617</v>
      </c>
      <c r="BY5" t="s">
        <v>3618</v>
      </c>
      <c r="BZ5" t="s">
        <v>3619</v>
      </c>
      <c r="CA5" t="s">
        <v>3620</v>
      </c>
      <c r="CB5" t="s">
        <v>3621</v>
      </c>
      <c r="CC5" t="s">
        <v>3622</v>
      </c>
      <c r="CE5" t="s">
        <v>3623</v>
      </c>
      <c r="CF5" t="s">
        <v>3624</v>
      </c>
      <c r="CG5" t="s">
        <v>3625</v>
      </c>
      <c r="CH5" t="s">
        <v>3626</v>
      </c>
      <c r="CI5" t="s">
        <v>3627</v>
      </c>
      <c r="CJ5" t="s">
        <v>3628</v>
      </c>
      <c r="CK5" t="s">
        <v>3629</v>
      </c>
      <c r="CL5" t="s">
        <v>3630</v>
      </c>
      <c r="CM5" t="s">
        <v>3631</v>
      </c>
      <c r="CN5" t="s">
        <v>3632</v>
      </c>
      <c r="CO5" t="s">
        <v>3633</v>
      </c>
      <c r="CP5" t="s">
        <v>3634</v>
      </c>
      <c r="CQ5" t="s">
        <v>3635</v>
      </c>
      <c r="CR5" t="s">
        <v>3636</v>
      </c>
      <c r="CT5" t="s">
        <v>3637</v>
      </c>
      <c r="CU5" t="s">
        <v>3638</v>
      </c>
      <c r="CV5" t="s">
        <v>3639</v>
      </c>
      <c r="CW5" t="s">
        <v>3640</v>
      </c>
      <c r="CX5" t="s">
        <v>3641</v>
      </c>
      <c r="CY5" t="s">
        <v>3642</v>
      </c>
      <c r="CZ5" t="s">
        <v>3643</v>
      </c>
      <c r="DA5" t="s">
        <v>3644</v>
      </c>
      <c r="DB5" t="s">
        <v>3645</v>
      </c>
      <c r="DC5" t="s">
        <v>3646</v>
      </c>
      <c r="DE5" t="s">
        <v>3647</v>
      </c>
      <c r="DF5" t="s">
        <v>3648</v>
      </c>
      <c r="DG5" t="s">
        <v>3649</v>
      </c>
      <c r="DH5" t="s">
        <v>3650</v>
      </c>
      <c r="DI5" t="s">
        <v>3651</v>
      </c>
      <c r="DJ5" t="s">
        <v>3652</v>
      </c>
      <c r="DK5" t="s">
        <v>3653</v>
      </c>
      <c r="DL5" t="s">
        <v>3654</v>
      </c>
      <c r="DM5" t="s">
        <v>3655</v>
      </c>
      <c r="DN5" t="s">
        <v>3656</v>
      </c>
      <c r="DO5" t="s">
        <v>3657</v>
      </c>
      <c r="DP5" t="s">
        <v>3658</v>
      </c>
      <c r="DQ5" t="s">
        <v>3659</v>
      </c>
      <c r="DR5" t="s">
        <v>3660</v>
      </c>
      <c r="DS5" t="s">
        <v>3661</v>
      </c>
      <c r="DT5" t="s">
        <v>3831</v>
      </c>
      <c r="DW5" t="s">
        <v>3663</v>
      </c>
      <c r="DX5" t="s">
        <v>3664</v>
      </c>
      <c r="DY5" t="s">
        <v>3665</v>
      </c>
      <c r="EE5" s="2" t="s">
        <v>3666</v>
      </c>
      <c r="EF5" s="2" t="s">
        <v>3667</v>
      </c>
      <c r="EI5" s="2" t="s">
        <v>3668</v>
      </c>
      <c r="EK5" s="2" t="s">
        <v>3669</v>
      </c>
      <c r="EL5" s="2" t="s">
        <v>3670</v>
      </c>
      <c r="EM5" s="2" t="s">
        <v>3671</v>
      </c>
      <c r="EN5" s="2" t="s">
        <v>3672</v>
      </c>
      <c r="EO5" s="2" t="s">
        <v>3673</v>
      </c>
      <c r="EP5" s="2" t="s">
        <v>3674</v>
      </c>
      <c r="ER5" s="2" t="s">
        <v>3596</v>
      </c>
      <c r="ES5" s="2" t="s">
        <v>5193</v>
      </c>
      <c r="EU5" s="2" t="s">
        <v>3395</v>
      </c>
      <c r="EV5" s="2" t="s">
        <v>5275</v>
      </c>
    </row>
    <row r="6" spans="2:152" x14ac:dyDescent="0.3">
      <c r="B6" s="2" t="s">
        <v>3675</v>
      </c>
      <c r="C6" s="2" t="s">
        <v>3676</v>
      </c>
      <c r="F6" s="2" t="s">
        <v>3677</v>
      </c>
      <c r="K6" s="2" t="s">
        <v>3678</v>
      </c>
      <c r="N6" s="2" t="s">
        <v>3679</v>
      </c>
      <c r="P6" s="2" t="s">
        <v>3680</v>
      </c>
      <c r="AL6" s="2" t="s">
        <v>3681</v>
      </c>
      <c r="AO6" t="s">
        <v>5776</v>
      </c>
      <c r="AP6" t="s">
        <v>3682</v>
      </c>
      <c r="AQ6" t="s">
        <v>3683</v>
      </c>
      <c r="AR6" t="s">
        <v>3684</v>
      </c>
      <c r="AS6" t="s">
        <v>3685</v>
      </c>
      <c r="AT6" t="s">
        <v>3686</v>
      </c>
      <c r="BB6" t="s">
        <v>3687</v>
      </c>
      <c r="BC6" t="s">
        <v>3688</v>
      </c>
      <c r="BD6" t="s">
        <v>3689</v>
      </c>
      <c r="BG6" t="s">
        <v>3690</v>
      </c>
      <c r="BH6" t="s">
        <v>3691</v>
      </c>
      <c r="BI6" t="s">
        <v>3692</v>
      </c>
      <c r="BJ6" t="s">
        <v>3693</v>
      </c>
      <c r="BK6" t="s">
        <v>3694</v>
      </c>
      <c r="BL6" t="s">
        <v>3695</v>
      </c>
      <c r="BM6" t="s">
        <v>3696</v>
      </c>
      <c r="BN6" t="s">
        <v>3697</v>
      </c>
      <c r="BO6" t="s">
        <v>3698</v>
      </c>
      <c r="BP6" t="s">
        <v>3699</v>
      </c>
      <c r="BQ6" t="s">
        <v>3700</v>
      </c>
      <c r="BR6" t="s">
        <v>3784</v>
      </c>
      <c r="BS6" t="s">
        <v>3702</v>
      </c>
      <c r="BT6" t="s">
        <v>3703</v>
      </c>
      <c r="BU6" t="s">
        <v>3704</v>
      </c>
      <c r="BV6" t="s">
        <v>3705</v>
      </c>
      <c r="BW6" t="s">
        <v>3706</v>
      </c>
      <c r="BX6" t="s">
        <v>3707</v>
      </c>
      <c r="BY6" t="s">
        <v>3708</v>
      </c>
      <c r="BZ6" t="s">
        <v>3709</v>
      </c>
      <c r="CA6" t="s">
        <v>3710</v>
      </c>
      <c r="CB6" t="s">
        <v>3711</v>
      </c>
      <c r="CC6" t="s">
        <v>3712</v>
      </c>
      <c r="CE6" t="s">
        <v>3713</v>
      </c>
      <c r="CF6" t="s">
        <v>3714</v>
      </c>
      <c r="CG6" t="s">
        <v>3715</v>
      </c>
      <c r="CH6" t="s">
        <v>3716</v>
      </c>
      <c r="CI6" t="s">
        <v>3717</v>
      </c>
      <c r="CJ6" t="s">
        <v>3718</v>
      </c>
      <c r="CL6" t="s">
        <v>3719</v>
      </c>
      <c r="CM6" t="s">
        <v>3720</v>
      </c>
      <c r="CN6" t="s">
        <v>3721</v>
      </c>
      <c r="CO6" t="s">
        <v>3722</v>
      </c>
      <c r="CP6" t="s">
        <v>3723</v>
      </c>
      <c r="CQ6" t="s">
        <v>3724</v>
      </c>
      <c r="CR6" t="s">
        <v>3725</v>
      </c>
      <c r="CT6" t="s">
        <v>3726</v>
      </c>
      <c r="CU6" t="s">
        <v>3727</v>
      </c>
      <c r="CV6" t="s">
        <v>3728</v>
      </c>
      <c r="CW6" t="s">
        <v>3729</v>
      </c>
      <c r="CX6" t="s">
        <v>3730</v>
      </c>
      <c r="CZ6" t="s">
        <v>3731</v>
      </c>
      <c r="DA6" t="s">
        <v>3732</v>
      </c>
      <c r="DB6" t="s">
        <v>3733</v>
      </c>
      <c r="DC6" t="s">
        <v>3734</v>
      </c>
      <c r="DE6" t="s">
        <v>3735</v>
      </c>
      <c r="DF6" t="s">
        <v>3736</v>
      </c>
      <c r="DG6" t="s">
        <v>3737</v>
      </c>
      <c r="DH6" t="s">
        <v>3738</v>
      </c>
      <c r="DI6" t="s">
        <v>3739</v>
      </c>
      <c r="DJ6" t="s">
        <v>3740</v>
      </c>
      <c r="DK6" t="s">
        <v>3741</v>
      </c>
      <c r="DL6" t="s">
        <v>3742</v>
      </c>
      <c r="DM6" t="s">
        <v>3743</v>
      </c>
      <c r="DN6" t="s">
        <v>3744</v>
      </c>
      <c r="DO6" t="s">
        <v>3745</v>
      </c>
      <c r="DP6" t="s">
        <v>3746</v>
      </c>
      <c r="DQ6" t="s">
        <v>3747</v>
      </c>
      <c r="DR6" t="s">
        <v>3748</v>
      </c>
      <c r="DS6" t="s">
        <v>3749</v>
      </c>
      <c r="DT6" t="s">
        <v>3908</v>
      </c>
      <c r="DW6" t="s">
        <v>3751</v>
      </c>
      <c r="DX6" t="s">
        <v>3752</v>
      </c>
      <c r="DY6" t="s">
        <v>3753</v>
      </c>
      <c r="EF6" s="2" t="s">
        <v>3754</v>
      </c>
      <c r="EI6" s="2" t="s">
        <v>3755</v>
      </c>
      <c r="EK6" s="2" t="s">
        <v>3677</v>
      </c>
      <c r="EL6" s="2" t="s">
        <v>3756</v>
      </c>
      <c r="EM6" s="2" t="s">
        <v>3757</v>
      </c>
      <c r="EN6" s="2" t="s">
        <v>3758</v>
      </c>
      <c r="EP6" s="2" t="s">
        <v>3759</v>
      </c>
      <c r="ER6" s="2" t="s">
        <v>3687</v>
      </c>
      <c r="ES6" s="2" t="s">
        <v>5194</v>
      </c>
      <c r="EU6" s="2" t="s">
        <v>3492</v>
      </c>
      <c r="EV6" s="2" t="s">
        <v>5276</v>
      </c>
    </row>
    <row r="7" spans="2:152" x14ac:dyDescent="0.3">
      <c r="B7" s="2" t="s">
        <v>3760</v>
      </c>
      <c r="C7" s="2" t="s">
        <v>3761</v>
      </c>
      <c r="F7" s="2" t="s">
        <v>3762</v>
      </c>
      <c r="N7" s="2" t="s">
        <v>3763</v>
      </c>
      <c r="P7" s="2" t="s">
        <v>3764</v>
      </c>
      <c r="AL7" s="2" t="s">
        <v>3765</v>
      </c>
      <c r="AO7" t="s">
        <v>5777</v>
      </c>
      <c r="AQ7" t="s">
        <v>3766</v>
      </c>
      <c r="AR7" t="s">
        <v>3767</v>
      </c>
      <c r="AS7" t="s">
        <v>3768</v>
      </c>
      <c r="AT7" t="s">
        <v>3769</v>
      </c>
      <c r="BB7" t="s">
        <v>3770</v>
      </c>
      <c r="BC7" t="s">
        <v>3771</v>
      </c>
      <c r="BD7" t="s">
        <v>3772</v>
      </c>
      <c r="BG7" t="s">
        <v>3773</v>
      </c>
      <c r="BH7" t="s">
        <v>3774</v>
      </c>
      <c r="BI7" t="s">
        <v>3775</v>
      </c>
      <c r="BJ7" t="s">
        <v>3776</v>
      </c>
      <c r="BK7" t="s">
        <v>3777</v>
      </c>
      <c r="BL7" t="s">
        <v>3778</v>
      </c>
      <c r="BM7" t="s">
        <v>3779</v>
      </c>
      <c r="BN7" t="s">
        <v>3780</v>
      </c>
      <c r="BO7" t="s">
        <v>3781</v>
      </c>
      <c r="BP7" t="s">
        <v>3782</v>
      </c>
      <c r="BQ7" t="s">
        <v>3783</v>
      </c>
      <c r="BR7" t="s">
        <v>4505</v>
      </c>
      <c r="BS7" t="s">
        <v>3785</v>
      </c>
      <c r="BT7" t="s">
        <v>3786</v>
      </c>
      <c r="BU7" t="s">
        <v>3787</v>
      </c>
      <c r="BV7" t="s">
        <v>3788</v>
      </c>
      <c r="BW7" t="s">
        <v>3789</v>
      </c>
      <c r="BX7" t="s">
        <v>3790</v>
      </c>
      <c r="BY7" t="s">
        <v>3791</v>
      </c>
      <c r="BZ7" t="s">
        <v>3792</v>
      </c>
      <c r="CA7" t="s">
        <v>3793</v>
      </c>
      <c r="CB7" t="s">
        <v>3794</v>
      </c>
      <c r="CC7" t="s">
        <v>3795</v>
      </c>
      <c r="CE7" t="s">
        <v>3796</v>
      </c>
      <c r="CF7" t="s">
        <v>3797</v>
      </c>
      <c r="CG7" t="s">
        <v>3798</v>
      </c>
      <c r="CH7" t="s">
        <v>3799</v>
      </c>
      <c r="CI7" t="s">
        <v>3800</v>
      </c>
      <c r="CJ7" t="s">
        <v>3801</v>
      </c>
      <c r="CL7" t="s">
        <v>3802</v>
      </c>
      <c r="CM7" t="s">
        <v>3803</v>
      </c>
      <c r="CN7" t="s">
        <v>3804</v>
      </c>
      <c r="CO7" t="s">
        <v>3805</v>
      </c>
      <c r="CP7" t="s">
        <v>3806</v>
      </c>
      <c r="CQ7" t="s">
        <v>3807</v>
      </c>
      <c r="CR7" t="s">
        <v>3808</v>
      </c>
      <c r="CT7" t="s">
        <v>3809</v>
      </c>
      <c r="CU7" t="s">
        <v>3810</v>
      </c>
      <c r="CV7" t="s">
        <v>3811</v>
      </c>
      <c r="CW7" t="s">
        <v>3812</v>
      </c>
      <c r="CX7" t="s">
        <v>3813</v>
      </c>
      <c r="CZ7" t="s">
        <v>3814</v>
      </c>
      <c r="DA7" t="s">
        <v>3815</v>
      </c>
      <c r="DB7" t="s">
        <v>3816</v>
      </c>
      <c r="DC7" t="s">
        <v>3817</v>
      </c>
      <c r="DE7" t="s">
        <v>3818</v>
      </c>
      <c r="DF7" t="s">
        <v>3819</v>
      </c>
      <c r="DG7" t="s">
        <v>3820</v>
      </c>
      <c r="DH7" t="s">
        <v>3821</v>
      </c>
      <c r="DI7" t="s">
        <v>3822</v>
      </c>
      <c r="DJ7" t="s">
        <v>3823</v>
      </c>
      <c r="DK7" t="s">
        <v>3824</v>
      </c>
      <c r="DM7" t="s">
        <v>3825</v>
      </c>
      <c r="DN7" t="s">
        <v>3826</v>
      </c>
      <c r="DO7" t="s">
        <v>3827</v>
      </c>
      <c r="DQ7" t="s">
        <v>3828</v>
      </c>
      <c r="DR7" t="s">
        <v>3829</v>
      </c>
      <c r="DS7" t="s">
        <v>3830</v>
      </c>
      <c r="DT7" t="s">
        <v>3476</v>
      </c>
      <c r="DW7" t="s">
        <v>3832</v>
      </c>
      <c r="DX7" t="s">
        <v>3833</v>
      </c>
      <c r="DY7" t="s">
        <v>3834</v>
      </c>
      <c r="EF7" s="2" t="s">
        <v>3835</v>
      </c>
      <c r="EK7" s="2" t="s">
        <v>3762</v>
      </c>
      <c r="EL7" s="2" t="s">
        <v>3836</v>
      </c>
      <c r="EM7" s="2" t="s">
        <v>3837</v>
      </c>
      <c r="EN7" s="2" t="s">
        <v>3838</v>
      </c>
      <c r="EP7" s="2" t="s">
        <v>3839</v>
      </c>
      <c r="ER7" s="2" t="s">
        <v>3770</v>
      </c>
      <c r="ES7" s="2" t="s">
        <v>5195</v>
      </c>
      <c r="EU7" s="2" t="s">
        <v>3669</v>
      </c>
      <c r="EV7" s="2" t="s">
        <v>5277</v>
      </c>
    </row>
    <row r="8" spans="2:152" x14ac:dyDescent="0.3">
      <c r="B8" s="2" t="s">
        <v>3840</v>
      </c>
      <c r="C8" s="2" t="s">
        <v>3841</v>
      </c>
      <c r="F8" s="2" t="s">
        <v>3842</v>
      </c>
      <c r="N8" s="2" t="s">
        <v>3843</v>
      </c>
      <c r="AL8" s="2" t="s">
        <v>3844</v>
      </c>
      <c r="AO8" t="s">
        <v>5778</v>
      </c>
      <c r="AQ8" t="s">
        <v>3845</v>
      </c>
      <c r="AR8" t="s">
        <v>3846</v>
      </c>
      <c r="AS8" t="s">
        <v>3847</v>
      </c>
      <c r="AT8" t="s">
        <v>3848</v>
      </c>
      <c r="BB8" t="s">
        <v>3849</v>
      </c>
      <c r="BC8" t="s">
        <v>3850</v>
      </c>
      <c r="BD8" t="s">
        <v>3851</v>
      </c>
      <c r="BG8" t="s">
        <v>3852</v>
      </c>
      <c r="BH8" t="s">
        <v>3853</v>
      </c>
      <c r="BI8" t="s">
        <v>3854</v>
      </c>
      <c r="BJ8" t="s">
        <v>3855</v>
      </c>
      <c r="BK8" t="s">
        <v>3856</v>
      </c>
      <c r="BL8" t="s">
        <v>3857</v>
      </c>
      <c r="BM8" t="s">
        <v>3858</v>
      </c>
      <c r="BN8" t="s">
        <v>3859</v>
      </c>
      <c r="BO8" t="s">
        <v>3860</v>
      </c>
      <c r="BP8" t="s">
        <v>3861</v>
      </c>
      <c r="BQ8" t="s">
        <v>3862</v>
      </c>
      <c r="BR8" t="s">
        <v>3936</v>
      </c>
      <c r="BS8" t="s">
        <v>3864</v>
      </c>
      <c r="BT8" t="s">
        <v>3865</v>
      </c>
      <c r="BU8" t="s">
        <v>3866</v>
      </c>
      <c r="BV8" t="s">
        <v>3867</v>
      </c>
      <c r="BW8" t="s">
        <v>3868</v>
      </c>
      <c r="BX8" t="s">
        <v>3869</v>
      </c>
      <c r="BY8" t="s">
        <v>3870</v>
      </c>
      <c r="BZ8" t="s">
        <v>3871</v>
      </c>
      <c r="CA8" t="s">
        <v>3872</v>
      </c>
      <c r="CB8" t="s">
        <v>3873</v>
      </c>
      <c r="CE8" t="s">
        <v>3874</v>
      </c>
      <c r="CF8" t="s">
        <v>3875</v>
      </c>
      <c r="CG8" t="s">
        <v>3876</v>
      </c>
      <c r="CH8" t="s">
        <v>3877</v>
      </c>
      <c r="CI8" t="s">
        <v>3878</v>
      </c>
      <c r="CJ8" t="s">
        <v>3879</v>
      </c>
      <c r="CL8" t="s">
        <v>3880</v>
      </c>
      <c r="CM8" t="s">
        <v>3881</v>
      </c>
      <c r="CN8" t="s">
        <v>3882</v>
      </c>
      <c r="CO8" t="s">
        <v>3883</v>
      </c>
      <c r="CP8" t="s">
        <v>3884</v>
      </c>
      <c r="CQ8" t="s">
        <v>3885</v>
      </c>
      <c r="CR8" t="s">
        <v>3886</v>
      </c>
      <c r="CT8" t="s">
        <v>3887</v>
      </c>
      <c r="CV8" t="s">
        <v>3888</v>
      </c>
      <c r="CW8" t="s">
        <v>3889</v>
      </c>
      <c r="CX8" t="s">
        <v>3890</v>
      </c>
      <c r="CZ8" t="s">
        <v>3891</v>
      </c>
      <c r="DA8" t="s">
        <v>3892</v>
      </c>
      <c r="DB8" t="s">
        <v>3893</v>
      </c>
      <c r="DC8" t="s">
        <v>3894</v>
      </c>
      <c r="DE8" t="s">
        <v>3895</v>
      </c>
      <c r="DF8" t="s">
        <v>3896</v>
      </c>
      <c r="DG8" t="s">
        <v>3897</v>
      </c>
      <c r="DH8" t="s">
        <v>3898</v>
      </c>
      <c r="DI8" t="s">
        <v>3899</v>
      </c>
      <c r="DJ8" t="s">
        <v>3900</v>
      </c>
      <c r="DK8" t="s">
        <v>3901</v>
      </c>
      <c r="DM8" t="s">
        <v>3902</v>
      </c>
      <c r="DN8" t="s">
        <v>3903</v>
      </c>
      <c r="DO8" t="s">
        <v>3904</v>
      </c>
      <c r="DQ8" t="s">
        <v>3905</v>
      </c>
      <c r="DR8" t="s">
        <v>3906</v>
      </c>
      <c r="DS8" t="s">
        <v>3907</v>
      </c>
      <c r="DT8" t="s">
        <v>4486</v>
      </c>
      <c r="DW8" t="s">
        <v>3909</v>
      </c>
      <c r="DY8" t="s">
        <v>3910</v>
      </c>
      <c r="EF8" s="2" t="s">
        <v>3911</v>
      </c>
      <c r="EK8" s="2" t="s">
        <v>3842</v>
      </c>
      <c r="EL8" s="2" t="s">
        <v>3912</v>
      </c>
      <c r="EM8" s="2" t="s">
        <v>3913</v>
      </c>
      <c r="EN8" s="2" t="s">
        <v>3914</v>
      </c>
      <c r="EP8" s="2" t="s">
        <v>3915</v>
      </c>
      <c r="ER8" s="2" t="s">
        <v>3849</v>
      </c>
      <c r="ES8" s="2" t="s">
        <v>5196</v>
      </c>
      <c r="EU8" s="2" t="s">
        <v>3677</v>
      </c>
      <c r="EV8" s="2" t="s">
        <v>5278</v>
      </c>
    </row>
    <row r="9" spans="2:152" x14ac:dyDescent="0.3">
      <c r="B9" s="2" t="s">
        <v>3916</v>
      </c>
      <c r="C9" s="2" t="s">
        <v>3917</v>
      </c>
      <c r="F9" s="2" t="s">
        <v>3918</v>
      </c>
      <c r="AL9" s="2" t="s">
        <v>3919</v>
      </c>
      <c r="AO9" t="s">
        <v>5779</v>
      </c>
      <c r="AQ9" t="s">
        <v>3920</v>
      </c>
      <c r="AR9" t="s">
        <v>3921</v>
      </c>
      <c r="AS9" t="s">
        <v>3922</v>
      </c>
      <c r="AT9" t="s">
        <v>3923</v>
      </c>
      <c r="BB9" t="s">
        <v>3924</v>
      </c>
      <c r="BC9" t="s">
        <v>3925</v>
      </c>
      <c r="BD9" t="s">
        <v>3926</v>
      </c>
      <c r="BG9" t="s">
        <v>3927</v>
      </c>
      <c r="BH9" t="s">
        <v>3928</v>
      </c>
      <c r="BI9" t="s">
        <v>3929</v>
      </c>
      <c r="BL9" t="s">
        <v>3930</v>
      </c>
      <c r="BM9" t="s">
        <v>3931</v>
      </c>
      <c r="BN9" t="s">
        <v>3932</v>
      </c>
      <c r="BO9" t="s">
        <v>3933</v>
      </c>
      <c r="BP9" t="s">
        <v>3934</v>
      </c>
      <c r="BQ9" t="s">
        <v>3935</v>
      </c>
      <c r="BR9" t="s">
        <v>4007</v>
      </c>
      <c r="BS9" t="s">
        <v>3937</v>
      </c>
      <c r="BT9" t="s">
        <v>3938</v>
      </c>
      <c r="BU9" t="s">
        <v>3939</v>
      </c>
      <c r="BV9" t="s">
        <v>3940</v>
      </c>
      <c r="BW9" t="s">
        <v>3941</v>
      </c>
      <c r="BX9" t="s">
        <v>3942</v>
      </c>
      <c r="BY9" t="s">
        <v>3943</v>
      </c>
      <c r="BZ9" t="s">
        <v>3944</v>
      </c>
      <c r="CA9" t="s">
        <v>3945</v>
      </c>
      <c r="CB9" t="s">
        <v>3946</v>
      </c>
      <c r="CE9" t="s">
        <v>3947</v>
      </c>
      <c r="CF9" t="s">
        <v>3948</v>
      </c>
      <c r="CH9" t="s">
        <v>3949</v>
      </c>
      <c r="CI9" t="s">
        <v>3950</v>
      </c>
      <c r="CJ9" t="s">
        <v>3951</v>
      </c>
      <c r="CL9" t="s">
        <v>3952</v>
      </c>
      <c r="CM9" t="s">
        <v>3953</v>
      </c>
      <c r="CN9" t="s">
        <v>3954</v>
      </c>
      <c r="CO9" t="s">
        <v>3955</v>
      </c>
      <c r="CP9" t="s">
        <v>3956</v>
      </c>
      <c r="CQ9" t="s">
        <v>3957</v>
      </c>
      <c r="CR9" t="s">
        <v>3958</v>
      </c>
      <c r="CT9" t="s">
        <v>3959</v>
      </c>
      <c r="CV9" t="s">
        <v>3960</v>
      </c>
      <c r="CW9" t="s">
        <v>3961</v>
      </c>
      <c r="CZ9" t="s">
        <v>3962</v>
      </c>
      <c r="DA9" t="s">
        <v>3963</v>
      </c>
      <c r="DB9" t="s">
        <v>3964</v>
      </c>
      <c r="DC9" t="s">
        <v>3965</v>
      </c>
      <c r="DE9" t="s">
        <v>3966</v>
      </c>
      <c r="DF9" t="s">
        <v>3967</v>
      </c>
      <c r="DG9" t="s">
        <v>3968</v>
      </c>
      <c r="DH9" t="s">
        <v>3969</v>
      </c>
      <c r="DI9" t="s">
        <v>3970</v>
      </c>
      <c r="DJ9" t="s">
        <v>3971</v>
      </c>
      <c r="DK9" t="s">
        <v>3972</v>
      </c>
      <c r="DM9" t="s">
        <v>3973</v>
      </c>
      <c r="DN9" t="s">
        <v>3974</v>
      </c>
      <c r="DO9" t="s">
        <v>3975</v>
      </c>
      <c r="DQ9" t="s">
        <v>3976</v>
      </c>
      <c r="DR9" t="s">
        <v>3977</v>
      </c>
      <c r="DS9" t="s">
        <v>3978</v>
      </c>
      <c r="DT9" t="s">
        <v>3376</v>
      </c>
      <c r="DY9" t="s">
        <v>3980</v>
      </c>
      <c r="EF9" s="2" t="s">
        <v>3981</v>
      </c>
      <c r="EK9" s="2" t="s">
        <v>3982</v>
      </c>
      <c r="EL9" s="2" t="s">
        <v>3983</v>
      </c>
      <c r="EM9" s="2" t="s">
        <v>3984</v>
      </c>
      <c r="EN9" s="2" t="s">
        <v>3985</v>
      </c>
      <c r="EP9" s="2" t="s">
        <v>3986</v>
      </c>
      <c r="ER9" s="2" t="s">
        <v>3924</v>
      </c>
      <c r="ES9" s="2" t="s">
        <v>5197</v>
      </c>
      <c r="EU9" s="2" t="s">
        <v>3762</v>
      </c>
      <c r="EV9" s="2" t="s">
        <v>5279</v>
      </c>
    </row>
    <row r="10" spans="2:152" x14ac:dyDescent="0.3">
      <c r="B10" s="2" t="s">
        <v>3987</v>
      </c>
      <c r="C10" s="2" t="s">
        <v>3988</v>
      </c>
      <c r="F10" s="2" t="s">
        <v>3989</v>
      </c>
      <c r="AL10" s="2" t="s">
        <v>3990</v>
      </c>
      <c r="AO10" t="s">
        <v>5780</v>
      </c>
      <c r="AQ10" t="s">
        <v>3991</v>
      </c>
      <c r="AR10" t="s">
        <v>3992</v>
      </c>
      <c r="AS10" t="s">
        <v>3993</v>
      </c>
      <c r="AT10" t="s">
        <v>3994</v>
      </c>
      <c r="BB10" t="s">
        <v>3995</v>
      </c>
      <c r="BC10" t="s">
        <v>3996</v>
      </c>
      <c r="BD10" t="s">
        <v>3997</v>
      </c>
      <c r="BG10" t="s">
        <v>3998</v>
      </c>
      <c r="BH10" t="s">
        <v>3999</v>
      </c>
      <c r="BI10" t="s">
        <v>4000</v>
      </c>
      <c r="BL10" t="s">
        <v>4001</v>
      </c>
      <c r="BM10" t="s">
        <v>4002</v>
      </c>
      <c r="BN10" t="s">
        <v>4003</v>
      </c>
      <c r="BO10" t="s">
        <v>4004</v>
      </c>
      <c r="BP10" t="s">
        <v>4005</v>
      </c>
      <c r="BQ10" t="s">
        <v>4006</v>
      </c>
      <c r="BR10" t="s">
        <v>4463</v>
      </c>
      <c r="BS10" t="s">
        <v>4008</v>
      </c>
      <c r="BT10" t="s">
        <v>4009</v>
      </c>
      <c r="BU10" t="s">
        <v>4010</v>
      </c>
      <c r="BV10" t="s">
        <v>4011</v>
      </c>
      <c r="BW10" t="s">
        <v>4012</v>
      </c>
      <c r="BX10" t="s">
        <v>4013</v>
      </c>
      <c r="BY10" t="s">
        <v>4014</v>
      </c>
      <c r="BZ10" t="s">
        <v>4015</v>
      </c>
      <c r="CA10" t="s">
        <v>4016</v>
      </c>
      <c r="CB10" t="s">
        <v>4017</v>
      </c>
      <c r="CE10" t="s">
        <v>4018</v>
      </c>
      <c r="CF10" t="s">
        <v>4019</v>
      </c>
      <c r="CH10" t="s">
        <v>4020</v>
      </c>
      <c r="CI10" t="s">
        <v>4021</v>
      </c>
      <c r="CJ10" t="s">
        <v>4022</v>
      </c>
      <c r="CL10" t="s">
        <v>4023</v>
      </c>
      <c r="CM10" t="s">
        <v>4024</v>
      </c>
      <c r="CO10" t="s">
        <v>4025</v>
      </c>
      <c r="CQ10" t="s">
        <v>4026</v>
      </c>
      <c r="CR10" t="s">
        <v>4027</v>
      </c>
      <c r="CT10" t="s">
        <v>4028</v>
      </c>
      <c r="CV10" t="s">
        <v>4029</v>
      </c>
      <c r="CW10" t="s">
        <v>4030</v>
      </c>
      <c r="CZ10" t="s">
        <v>4031</v>
      </c>
      <c r="DA10" t="s">
        <v>4032</v>
      </c>
      <c r="DB10" t="s">
        <v>4033</v>
      </c>
      <c r="DC10" t="s">
        <v>4034</v>
      </c>
      <c r="DE10" t="s">
        <v>4035</v>
      </c>
      <c r="DF10" t="s">
        <v>4036</v>
      </c>
      <c r="DG10" t="s">
        <v>4037</v>
      </c>
      <c r="DH10" t="s">
        <v>4038</v>
      </c>
      <c r="DI10" t="s">
        <v>4039</v>
      </c>
      <c r="DJ10" t="s">
        <v>4040</v>
      </c>
      <c r="DK10" t="s">
        <v>4041</v>
      </c>
      <c r="DM10" t="s">
        <v>4042</v>
      </c>
      <c r="DN10" t="s">
        <v>4043</v>
      </c>
      <c r="DO10" t="s">
        <v>4044</v>
      </c>
      <c r="DQ10" t="s">
        <v>4045</v>
      </c>
      <c r="DR10" t="s">
        <v>4046</v>
      </c>
      <c r="DS10" t="s">
        <v>4047</v>
      </c>
      <c r="DT10" t="s">
        <v>4244</v>
      </c>
      <c r="DY10" t="s">
        <v>4049</v>
      </c>
      <c r="EF10" s="2" t="s">
        <v>4050</v>
      </c>
      <c r="EK10" s="2" t="s">
        <v>4051</v>
      </c>
      <c r="EL10" s="2" t="s">
        <v>4052</v>
      </c>
      <c r="EM10" s="2" t="s">
        <v>4053</v>
      </c>
      <c r="EN10" s="2" t="s">
        <v>4054</v>
      </c>
      <c r="EP10" s="2" t="s">
        <v>4055</v>
      </c>
      <c r="ER10" s="2" t="s">
        <v>3995</v>
      </c>
      <c r="ES10" s="2" t="s">
        <v>5198</v>
      </c>
      <c r="EU10" s="2" t="s">
        <v>3842</v>
      </c>
      <c r="EV10" s="2" t="s">
        <v>5280</v>
      </c>
    </row>
    <row r="11" spans="2:152" x14ac:dyDescent="0.3">
      <c r="B11" s="2" t="s">
        <v>4056</v>
      </c>
      <c r="C11" s="2" t="s">
        <v>4057</v>
      </c>
      <c r="F11" s="2" t="s">
        <v>4058</v>
      </c>
      <c r="AL11" s="2" t="s">
        <v>4059</v>
      </c>
      <c r="AO11" t="s">
        <v>5781</v>
      </c>
      <c r="AQ11" t="s">
        <v>4060</v>
      </c>
      <c r="AR11" t="s">
        <v>4061</v>
      </c>
      <c r="AS11" t="s">
        <v>4062</v>
      </c>
      <c r="AT11" t="s">
        <v>4063</v>
      </c>
      <c r="BB11" t="s">
        <v>4064</v>
      </c>
      <c r="BC11" t="s">
        <v>4065</v>
      </c>
      <c r="BD11" t="s">
        <v>4066</v>
      </c>
      <c r="BG11" t="s">
        <v>4067</v>
      </c>
      <c r="BH11" t="s">
        <v>4068</v>
      </c>
      <c r="BI11" t="s">
        <v>4069</v>
      </c>
      <c r="BL11" t="s">
        <v>4070</v>
      </c>
      <c r="BM11" t="s">
        <v>4071</v>
      </c>
      <c r="BN11" t="s">
        <v>4072</v>
      </c>
      <c r="BO11" t="s">
        <v>4073</v>
      </c>
      <c r="BP11" t="s">
        <v>4074</v>
      </c>
      <c r="BQ11" t="s">
        <v>4075</v>
      </c>
      <c r="BR11" t="s">
        <v>4322</v>
      </c>
      <c r="BS11" t="s">
        <v>4077</v>
      </c>
      <c r="BT11" t="s">
        <v>4078</v>
      </c>
      <c r="BU11" t="s">
        <v>4079</v>
      </c>
      <c r="BV11" t="s">
        <v>4080</v>
      </c>
      <c r="BW11" t="s">
        <v>4081</v>
      </c>
      <c r="BX11" t="s">
        <v>4082</v>
      </c>
      <c r="BY11" t="s">
        <v>4083</v>
      </c>
      <c r="BZ11" t="s">
        <v>4084</v>
      </c>
      <c r="CA11" t="s">
        <v>4085</v>
      </c>
      <c r="CB11" t="s">
        <v>4086</v>
      </c>
      <c r="CE11" t="s">
        <v>4087</v>
      </c>
      <c r="CF11" t="s">
        <v>4088</v>
      </c>
      <c r="CH11" t="s">
        <v>4089</v>
      </c>
      <c r="CI11" t="s">
        <v>4090</v>
      </c>
      <c r="CJ11" t="s">
        <v>4091</v>
      </c>
      <c r="CL11" t="s">
        <v>4092</v>
      </c>
      <c r="CM11" t="s">
        <v>4093</v>
      </c>
      <c r="CO11" t="s">
        <v>4094</v>
      </c>
      <c r="CQ11" t="s">
        <v>4095</v>
      </c>
      <c r="CR11" t="s">
        <v>4096</v>
      </c>
      <c r="CT11" t="s">
        <v>4097</v>
      </c>
      <c r="CV11" t="s">
        <v>4098</v>
      </c>
      <c r="CW11" t="s">
        <v>4099</v>
      </c>
      <c r="CZ11" t="s">
        <v>4100</v>
      </c>
      <c r="DA11" t="s">
        <v>4101</v>
      </c>
      <c r="DB11" t="s">
        <v>4102</v>
      </c>
      <c r="DC11" t="s">
        <v>4103</v>
      </c>
      <c r="DE11" t="s">
        <v>4104</v>
      </c>
      <c r="DF11" t="s">
        <v>4105</v>
      </c>
      <c r="DG11" t="s">
        <v>4106</v>
      </c>
      <c r="DH11" t="s">
        <v>4107</v>
      </c>
      <c r="DI11" t="s">
        <v>4108</v>
      </c>
      <c r="DJ11" t="s">
        <v>4109</v>
      </c>
      <c r="DK11" t="s">
        <v>4110</v>
      </c>
      <c r="DM11" t="s">
        <v>4111</v>
      </c>
      <c r="DN11" t="s">
        <v>4112</v>
      </c>
      <c r="DO11" t="s">
        <v>4113</v>
      </c>
      <c r="DQ11" t="s">
        <v>4114</v>
      </c>
      <c r="DR11" t="s">
        <v>4115</v>
      </c>
      <c r="DS11" t="s">
        <v>4116</v>
      </c>
      <c r="DT11" t="s">
        <v>3750</v>
      </c>
      <c r="EK11" s="2" t="s">
        <v>4118</v>
      </c>
      <c r="EL11" s="2" t="s">
        <v>4119</v>
      </c>
      <c r="EM11" s="2" t="s">
        <v>4120</v>
      </c>
      <c r="EN11" s="2" t="s">
        <v>4121</v>
      </c>
      <c r="EP11" s="2" t="s">
        <v>4122</v>
      </c>
      <c r="ER11" s="2" t="s">
        <v>4064</v>
      </c>
      <c r="ES11" s="2" t="s">
        <v>5199</v>
      </c>
      <c r="EU11" s="2" t="s">
        <v>3982</v>
      </c>
      <c r="EV11" s="2" t="s">
        <v>5281</v>
      </c>
    </row>
    <row r="12" spans="2:152" x14ac:dyDescent="0.3">
      <c r="B12" s="2" t="s">
        <v>4123</v>
      </c>
      <c r="C12" s="2" t="s">
        <v>4124</v>
      </c>
      <c r="F12" s="2" t="s">
        <v>4125</v>
      </c>
      <c r="AL12" s="2" t="s">
        <v>4126</v>
      </c>
      <c r="AO12" t="s">
        <v>5782</v>
      </c>
      <c r="AQ12" t="s">
        <v>4127</v>
      </c>
      <c r="AR12" t="s">
        <v>4128</v>
      </c>
      <c r="AS12" t="s">
        <v>4129</v>
      </c>
      <c r="AT12" t="s">
        <v>4130</v>
      </c>
      <c r="BB12" t="s">
        <v>4131</v>
      </c>
      <c r="BC12" t="s">
        <v>4132</v>
      </c>
      <c r="BD12" t="s">
        <v>4133</v>
      </c>
      <c r="BG12" t="s">
        <v>4134</v>
      </c>
      <c r="BH12" t="s">
        <v>4135</v>
      </c>
      <c r="BI12" t="s">
        <v>4136</v>
      </c>
      <c r="BL12" t="s">
        <v>4137</v>
      </c>
      <c r="BM12" t="s">
        <v>4138</v>
      </c>
      <c r="BN12" t="s">
        <v>4139</v>
      </c>
      <c r="BO12" t="s">
        <v>4140</v>
      </c>
      <c r="BP12" t="s">
        <v>4141</v>
      </c>
      <c r="BQ12" t="s">
        <v>4142</v>
      </c>
      <c r="BR12" t="s">
        <v>4373</v>
      </c>
      <c r="BS12" t="s">
        <v>4144</v>
      </c>
      <c r="BT12" t="s">
        <v>4145</v>
      </c>
      <c r="BU12" t="s">
        <v>4146</v>
      </c>
      <c r="BV12" t="s">
        <v>4147</v>
      </c>
      <c r="BW12" t="s">
        <v>4148</v>
      </c>
      <c r="BX12" t="s">
        <v>4149</v>
      </c>
      <c r="BY12" t="s">
        <v>4150</v>
      </c>
      <c r="CA12" t="s">
        <v>4151</v>
      </c>
      <c r="CB12" t="s">
        <v>4152</v>
      </c>
      <c r="CE12" t="s">
        <v>4153</v>
      </c>
      <c r="CF12" t="s">
        <v>4154</v>
      </c>
      <c r="CH12" t="s">
        <v>4155</v>
      </c>
      <c r="CI12" t="s">
        <v>4156</v>
      </c>
      <c r="CJ12" t="s">
        <v>4157</v>
      </c>
      <c r="CL12" t="s">
        <v>4158</v>
      </c>
      <c r="CM12" t="s">
        <v>4159</v>
      </c>
      <c r="CO12" t="s">
        <v>4160</v>
      </c>
      <c r="CQ12" t="s">
        <v>4161</v>
      </c>
      <c r="CR12" t="s">
        <v>4162</v>
      </c>
      <c r="CT12" t="s">
        <v>4163</v>
      </c>
      <c r="CV12" t="s">
        <v>4164</v>
      </c>
      <c r="CW12" t="s">
        <v>4165</v>
      </c>
      <c r="CZ12" t="s">
        <v>4166</v>
      </c>
      <c r="DA12" t="s">
        <v>4167</v>
      </c>
      <c r="DB12" t="s">
        <v>4168</v>
      </c>
      <c r="DC12" t="s">
        <v>4169</v>
      </c>
      <c r="DE12" t="s">
        <v>4170</v>
      </c>
      <c r="DF12" t="s">
        <v>4171</v>
      </c>
      <c r="DG12" t="s">
        <v>4172</v>
      </c>
      <c r="DH12" t="s">
        <v>4173</v>
      </c>
      <c r="DI12" t="s">
        <v>4174</v>
      </c>
      <c r="DJ12" t="s">
        <v>4175</v>
      </c>
      <c r="DK12" t="s">
        <v>4176</v>
      </c>
      <c r="DM12" t="s">
        <v>4177</v>
      </c>
      <c r="DN12" t="s">
        <v>4178</v>
      </c>
      <c r="DO12" t="s">
        <v>4179</v>
      </c>
      <c r="DQ12" t="s">
        <v>4180</v>
      </c>
      <c r="DR12" t="s">
        <v>4181</v>
      </c>
      <c r="DS12" t="s">
        <v>4182</v>
      </c>
      <c r="DT12" t="s">
        <v>3662</v>
      </c>
      <c r="EK12" s="2" t="s">
        <v>4184</v>
      </c>
      <c r="EL12" s="2" t="s">
        <v>4185</v>
      </c>
      <c r="EM12" s="2" t="s">
        <v>4186</v>
      </c>
      <c r="EN12" s="2" t="s">
        <v>4187</v>
      </c>
      <c r="EP12" s="2" t="s">
        <v>4188</v>
      </c>
      <c r="ER12" s="2" t="s">
        <v>4131</v>
      </c>
      <c r="ES12" s="2" t="s">
        <v>5200</v>
      </c>
      <c r="EU12" s="2" t="s">
        <v>4051</v>
      </c>
      <c r="EV12" s="2" t="s">
        <v>5282</v>
      </c>
    </row>
    <row r="13" spans="2:152" x14ac:dyDescent="0.3">
      <c r="B13" s="2" t="s">
        <v>4189</v>
      </c>
      <c r="C13" s="2" t="s">
        <v>4190</v>
      </c>
      <c r="F13" s="2" t="s">
        <v>4191</v>
      </c>
      <c r="AL13" s="2" t="s">
        <v>4192</v>
      </c>
      <c r="AO13" t="s">
        <v>5783</v>
      </c>
      <c r="AQ13" t="s">
        <v>4193</v>
      </c>
      <c r="AR13" t="s">
        <v>4194</v>
      </c>
      <c r="AS13" t="s">
        <v>4195</v>
      </c>
      <c r="AT13" t="s">
        <v>4196</v>
      </c>
      <c r="BB13" t="s">
        <v>4197</v>
      </c>
      <c r="BC13" t="s">
        <v>4198</v>
      </c>
      <c r="BD13" t="s">
        <v>4199</v>
      </c>
      <c r="BG13" t="s">
        <v>4200</v>
      </c>
      <c r="BH13" t="s">
        <v>4201</v>
      </c>
      <c r="BI13" t="s">
        <v>4202</v>
      </c>
      <c r="BM13" t="s">
        <v>4203</v>
      </c>
      <c r="BN13" t="s">
        <v>4204</v>
      </c>
      <c r="BO13" t="s">
        <v>4205</v>
      </c>
      <c r="BP13" t="s">
        <v>4206</v>
      </c>
      <c r="BQ13" t="s">
        <v>4207</v>
      </c>
      <c r="BR13" t="s">
        <v>3863</v>
      </c>
      <c r="BS13" t="s">
        <v>4209</v>
      </c>
      <c r="BT13" t="s">
        <v>4210</v>
      </c>
      <c r="BU13" t="s">
        <v>4211</v>
      </c>
      <c r="BV13" t="s">
        <v>4212</v>
      </c>
      <c r="BW13" t="s">
        <v>4213</v>
      </c>
      <c r="BX13" t="s">
        <v>4214</v>
      </c>
      <c r="BY13" t="s">
        <v>4215</v>
      </c>
      <c r="CA13" t="s">
        <v>4216</v>
      </c>
      <c r="CB13" t="s">
        <v>4217</v>
      </c>
      <c r="CE13" t="s">
        <v>4218</v>
      </c>
      <c r="CF13" t="s">
        <v>4219</v>
      </c>
      <c r="CH13" t="s">
        <v>4220</v>
      </c>
      <c r="CI13" t="s">
        <v>4221</v>
      </c>
      <c r="CM13" t="s">
        <v>4222</v>
      </c>
      <c r="CO13" t="s">
        <v>4223</v>
      </c>
      <c r="CQ13" t="s">
        <v>4224</v>
      </c>
      <c r="CR13" t="s">
        <v>4225</v>
      </c>
      <c r="CT13" t="s">
        <v>4226</v>
      </c>
      <c r="CV13" t="s">
        <v>4227</v>
      </c>
      <c r="CW13" t="s">
        <v>4228</v>
      </c>
      <c r="CZ13" t="s">
        <v>4229</v>
      </c>
      <c r="DA13" t="s">
        <v>4230</v>
      </c>
      <c r="DB13" t="s">
        <v>4231</v>
      </c>
      <c r="DC13" t="s">
        <v>4232</v>
      </c>
      <c r="DE13" t="s">
        <v>4233</v>
      </c>
      <c r="DF13" t="s">
        <v>4234</v>
      </c>
      <c r="DG13" t="s">
        <v>4235</v>
      </c>
      <c r="DH13" t="s">
        <v>4236</v>
      </c>
      <c r="DI13" t="s">
        <v>4237</v>
      </c>
      <c r="DJ13" t="s">
        <v>4238</v>
      </c>
      <c r="DK13" t="s">
        <v>4239</v>
      </c>
      <c r="DM13" t="s">
        <v>4240</v>
      </c>
      <c r="DN13" t="s">
        <v>4241</v>
      </c>
      <c r="DO13" t="s">
        <v>4242</v>
      </c>
      <c r="DS13" t="s">
        <v>4243</v>
      </c>
      <c r="DT13" t="s">
        <v>3274</v>
      </c>
      <c r="EK13" s="2" t="s">
        <v>4245</v>
      </c>
      <c r="EL13" s="2" t="s">
        <v>4246</v>
      </c>
      <c r="EM13" s="2" t="s">
        <v>4247</v>
      </c>
      <c r="EN13" s="2" t="s">
        <v>4248</v>
      </c>
      <c r="EP13" s="2" t="s">
        <v>4249</v>
      </c>
      <c r="ER13" s="2" t="s">
        <v>4197</v>
      </c>
      <c r="ES13" s="2" t="s">
        <v>5201</v>
      </c>
      <c r="EU13" s="2" t="s">
        <v>4118</v>
      </c>
      <c r="EV13" s="2" t="s">
        <v>5283</v>
      </c>
    </row>
    <row r="14" spans="2:152" x14ac:dyDescent="0.3">
      <c r="B14" s="2" t="s">
        <v>4250</v>
      </c>
      <c r="C14" s="2" t="s">
        <v>4251</v>
      </c>
      <c r="F14" s="2" t="s">
        <v>4252</v>
      </c>
      <c r="AL14" s="2" t="s">
        <v>4253</v>
      </c>
      <c r="AO14" t="s">
        <v>5784</v>
      </c>
      <c r="AQ14" t="s">
        <v>4254</v>
      </c>
      <c r="AR14" t="s">
        <v>4255</v>
      </c>
      <c r="AS14" t="s">
        <v>4256</v>
      </c>
      <c r="AT14" t="s">
        <v>4257</v>
      </c>
      <c r="BB14" t="s">
        <v>4258</v>
      </c>
      <c r="BC14" t="s">
        <v>4259</v>
      </c>
      <c r="BD14" t="s">
        <v>4260</v>
      </c>
      <c r="BG14" t="s">
        <v>4261</v>
      </c>
      <c r="BM14" t="s">
        <v>4262</v>
      </c>
      <c r="BN14" t="s">
        <v>4263</v>
      </c>
      <c r="BO14" t="s">
        <v>4264</v>
      </c>
      <c r="BP14" t="s">
        <v>4265</v>
      </c>
      <c r="BQ14" t="s">
        <v>4266</v>
      </c>
      <c r="BR14" t="s">
        <v>4420</v>
      </c>
      <c r="BS14" t="s">
        <v>4268</v>
      </c>
      <c r="BT14" t="s">
        <v>4269</v>
      </c>
      <c r="BU14" t="s">
        <v>4270</v>
      </c>
      <c r="BV14" t="s">
        <v>4271</v>
      </c>
      <c r="BW14" t="s">
        <v>4272</v>
      </c>
      <c r="BX14" t="s">
        <v>4273</v>
      </c>
      <c r="BY14" t="s">
        <v>4274</v>
      </c>
      <c r="CA14" t="s">
        <v>4275</v>
      </c>
      <c r="CE14" t="s">
        <v>4276</v>
      </c>
      <c r="CF14" t="s">
        <v>4277</v>
      </c>
      <c r="CH14" t="s">
        <v>4278</v>
      </c>
      <c r="CI14" t="s">
        <v>4279</v>
      </c>
      <c r="CM14" t="s">
        <v>4280</v>
      </c>
      <c r="CO14" t="s">
        <v>4281</v>
      </c>
      <c r="CQ14" t="s">
        <v>4282</v>
      </c>
      <c r="CT14" t="s">
        <v>4283</v>
      </c>
      <c r="CW14" t="s">
        <v>4284</v>
      </c>
      <c r="CZ14" t="s">
        <v>4285</v>
      </c>
      <c r="DA14" t="s">
        <v>4286</v>
      </c>
      <c r="DB14" t="s">
        <v>4287</v>
      </c>
      <c r="DC14" t="s">
        <v>4288</v>
      </c>
      <c r="DE14" t="s">
        <v>4289</v>
      </c>
      <c r="DF14" t="s">
        <v>4290</v>
      </c>
      <c r="DG14" t="s">
        <v>4291</v>
      </c>
      <c r="DH14" t="s">
        <v>4292</v>
      </c>
      <c r="DI14" t="s">
        <v>4293</v>
      </c>
      <c r="DJ14" t="s">
        <v>4294</v>
      </c>
      <c r="DK14" t="s">
        <v>4295</v>
      </c>
      <c r="DM14" t="s">
        <v>4296</v>
      </c>
      <c r="DN14" t="s">
        <v>4297</v>
      </c>
      <c r="DO14" t="s">
        <v>4298</v>
      </c>
      <c r="DS14" t="s">
        <v>4299</v>
      </c>
      <c r="DT14" t="s">
        <v>4562</v>
      </c>
      <c r="EK14" s="2" t="s">
        <v>4301</v>
      </c>
      <c r="EL14" s="2" t="s">
        <v>4302</v>
      </c>
      <c r="EM14" s="2" t="s">
        <v>4303</v>
      </c>
      <c r="EN14" s="2" t="s">
        <v>4304</v>
      </c>
      <c r="EP14" s="2" t="s">
        <v>4305</v>
      </c>
      <c r="ER14" s="2" t="s">
        <v>4258</v>
      </c>
      <c r="ES14" s="2" t="s">
        <v>5202</v>
      </c>
      <c r="EU14" s="2" t="s">
        <v>4184</v>
      </c>
      <c r="EV14" s="2" t="s">
        <v>5284</v>
      </c>
    </row>
    <row r="15" spans="2:152" x14ac:dyDescent="0.3">
      <c r="B15" s="2" t="s">
        <v>4306</v>
      </c>
      <c r="C15" s="2" t="s">
        <v>4307</v>
      </c>
      <c r="F15" s="2" t="s">
        <v>4308</v>
      </c>
      <c r="AO15" t="s">
        <v>5785</v>
      </c>
      <c r="AQ15" t="s">
        <v>4309</v>
      </c>
      <c r="AR15" t="s">
        <v>4310</v>
      </c>
      <c r="AS15" t="s">
        <v>4311</v>
      </c>
      <c r="AT15" t="s">
        <v>4312</v>
      </c>
      <c r="BB15" t="s">
        <v>4313</v>
      </c>
      <c r="BC15" t="s">
        <v>4314</v>
      </c>
      <c r="BD15" t="s">
        <v>4315</v>
      </c>
      <c r="BG15" t="s">
        <v>4316</v>
      </c>
      <c r="BM15" t="s">
        <v>4317</v>
      </c>
      <c r="BN15" t="s">
        <v>4318</v>
      </c>
      <c r="BO15" t="s">
        <v>4319</v>
      </c>
      <c r="BP15" t="s">
        <v>4320</v>
      </c>
      <c r="BQ15" t="s">
        <v>4321</v>
      </c>
      <c r="BR15" t="s">
        <v>3423</v>
      </c>
      <c r="BS15" t="s">
        <v>4323</v>
      </c>
      <c r="BT15" t="s">
        <v>4324</v>
      </c>
      <c r="BU15" t="s">
        <v>4325</v>
      </c>
      <c r="BV15" t="s">
        <v>4326</v>
      </c>
      <c r="BW15" t="s">
        <v>4327</v>
      </c>
      <c r="BX15" t="s">
        <v>4328</v>
      </c>
      <c r="BY15" t="s">
        <v>4329</v>
      </c>
      <c r="CA15" t="s">
        <v>4330</v>
      </c>
      <c r="CE15" t="s">
        <v>4331</v>
      </c>
      <c r="CF15" t="s">
        <v>4332</v>
      </c>
      <c r="CH15" t="s">
        <v>4333</v>
      </c>
      <c r="CI15" t="s">
        <v>4334</v>
      </c>
      <c r="CO15" t="s">
        <v>4335</v>
      </c>
      <c r="CQ15" t="s">
        <v>4336</v>
      </c>
      <c r="CT15" t="s">
        <v>4337</v>
      </c>
      <c r="CW15" t="s">
        <v>4338</v>
      </c>
      <c r="CZ15" t="s">
        <v>4339</v>
      </c>
      <c r="DA15" t="s">
        <v>4340</v>
      </c>
      <c r="DC15" t="s">
        <v>4341</v>
      </c>
      <c r="DE15" t="s">
        <v>4342</v>
      </c>
      <c r="DF15" t="s">
        <v>4343</v>
      </c>
      <c r="DG15" t="s">
        <v>4344</v>
      </c>
      <c r="DH15" t="s">
        <v>4345</v>
      </c>
      <c r="DI15" t="s">
        <v>4346</v>
      </c>
      <c r="DJ15" t="s">
        <v>4347</v>
      </c>
      <c r="DK15" t="s">
        <v>4348</v>
      </c>
      <c r="DM15" t="s">
        <v>4349</v>
      </c>
      <c r="DO15" t="s">
        <v>4350</v>
      </c>
      <c r="DS15" t="s">
        <v>4351</v>
      </c>
      <c r="DT15" t="s">
        <v>3571</v>
      </c>
      <c r="EK15" s="2" t="s">
        <v>4353</v>
      </c>
      <c r="EL15" s="2" t="s">
        <v>4354</v>
      </c>
      <c r="EM15" s="2" t="s">
        <v>4355</v>
      </c>
      <c r="EN15" s="2" t="s">
        <v>4356</v>
      </c>
      <c r="ER15" s="2" t="s">
        <v>4313</v>
      </c>
      <c r="ES15" s="2" t="s">
        <v>5203</v>
      </c>
      <c r="EU15" s="2" t="s">
        <v>4245</v>
      </c>
      <c r="EV15" s="2" t="s">
        <v>5285</v>
      </c>
    </row>
    <row r="16" spans="2:152" x14ac:dyDescent="0.3">
      <c r="B16" s="2" t="s">
        <v>4357</v>
      </c>
      <c r="C16" s="2" t="s">
        <v>4358</v>
      </c>
      <c r="F16" s="2" t="s">
        <v>4359</v>
      </c>
      <c r="AO16" t="s">
        <v>5786</v>
      </c>
      <c r="AQ16" t="s">
        <v>4360</v>
      </c>
      <c r="AR16" t="s">
        <v>4361</v>
      </c>
      <c r="AS16" t="s">
        <v>4362</v>
      </c>
      <c r="AT16" t="s">
        <v>4363</v>
      </c>
      <c r="BB16" t="s">
        <v>4364</v>
      </c>
      <c r="BC16" t="s">
        <v>4365</v>
      </c>
      <c r="BD16" t="s">
        <v>4366</v>
      </c>
      <c r="BG16" t="s">
        <v>4367</v>
      </c>
      <c r="BM16" t="s">
        <v>4368</v>
      </c>
      <c r="BN16" t="s">
        <v>4369</v>
      </c>
      <c r="BO16" t="s">
        <v>4370</v>
      </c>
      <c r="BP16" t="s">
        <v>4371</v>
      </c>
      <c r="BQ16" t="s">
        <v>4372</v>
      </c>
      <c r="BR16" t="s">
        <v>3701</v>
      </c>
      <c r="BS16" t="s">
        <v>4374</v>
      </c>
      <c r="BT16" t="s">
        <v>4375</v>
      </c>
      <c r="BU16" t="s">
        <v>4376</v>
      </c>
      <c r="BV16" t="s">
        <v>4377</v>
      </c>
      <c r="BW16" t="s">
        <v>4378</v>
      </c>
      <c r="BX16" t="s">
        <v>4379</v>
      </c>
      <c r="BY16" t="s">
        <v>4380</v>
      </c>
      <c r="CA16" t="s">
        <v>4381</v>
      </c>
      <c r="CE16" t="s">
        <v>4382</v>
      </c>
      <c r="CF16" t="s">
        <v>4383</v>
      </c>
      <c r="CH16" t="s">
        <v>4384</v>
      </c>
      <c r="CO16" t="s">
        <v>4385</v>
      </c>
      <c r="CT16" t="s">
        <v>4386</v>
      </c>
      <c r="CZ16" t="s">
        <v>4387</v>
      </c>
      <c r="DA16" t="s">
        <v>4388</v>
      </c>
      <c r="DC16" t="s">
        <v>4389</v>
      </c>
      <c r="DE16" t="s">
        <v>4390</v>
      </c>
      <c r="DF16" t="s">
        <v>4391</v>
      </c>
      <c r="DG16" t="s">
        <v>4392</v>
      </c>
      <c r="DH16" t="s">
        <v>4393</v>
      </c>
      <c r="DI16" t="s">
        <v>4394</v>
      </c>
      <c r="DJ16" t="s">
        <v>4395</v>
      </c>
      <c r="DK16" t="s">
        <v>4396</v>
      </c>
      <c r="DM16" t="s">
        <v>4397</v>
      </c>
      <c r="DO16" t="s">
        <v>4398</v>
      </c>
      <c r="DS16" t="s">
        <v>4399</v>
      </c>
      <c r="DT16" t="s">
        <v>4352</v>
      </c>
      <c r="EK16" s="2" t="s">
        <v>4401</v>
      </c>
      <c r="EL16" s="2" t="s">
        <v>4402</v>
      </c>
      <c r="EM16" s="2" t="s">
        <v>4403</v>
      </c>
      <c r="EN16" s="2" t="s">
        <v>4404</v>
      </c>
      <c r="ER16" s="2" t="s">
        <v>4364</v>
      </c>
      <c r="ES16" s="2" t="s">
        <v>5204</v>
      </c>
      <c r="EU16" s="2" t="s">
        <v>4301</v>
      </c>
      <c r="EV16" s="2" t="s">
        <v>5286</v>
      </c>
    </row>
    <row r="17" spans="2:152" x14ac:dyDescent="0.3">
      <c r="B17" s="2" t="s">
        <v>4405</v>
      </c>
      <c r="C17" s="2" t="s">
        <v>4406</v>
      </c>
      <c r="F17" s="2" t="s">
        <v>4407</v>
      </c>
      <c r="AO17" t="s">
        <v>5787</v>
      </c>
      <c r="AQ17" t="s">
        <v>4408</v>
      </c>
      <c r="AR17" t="s">
        <v>4409</v>
      </c>
      <c r="AS17" t="s">
        <v>4410</v>
      </c>
      <c r="AT17" t="s">
        <v>4411</v>
      </c>
      <c r="BB17" t="s">
        <v>4412</v>
      </c>
      <c r="BC17" t="s">
        <v>4413</v>
      </c>
      <c r="BD17" t="s">
        <v>4414</v>
      </c>
      <c r="BG17" t="s">
        <v>4415</v>
      </c>
      <c r="BN17" t="s">
        <v>4416</v>
      </c>
      <c r="BO17" t="s">
        <v>4417</v>
      </c>
      <c r="BP17" t="s">
        <v>4418</v>
      </c>
      <c r="BQ17" t="s">
        <v>4419</v>
      </c>
      <c r="BR17" t="s">
        <v>4076</v>
      </c>
      <c r="BS17" t="s">
        <v>4421</v>
      </c>
      <c r="BT17" t="s">
        <v>4422</v>
      </c>
      <c r="BU17" t="s">
        <v>4423</v>
      </c>
      <c r="BV17" t="s">
        <v>4424</v>
      </c>
      <c r="BW17" t="s">
        <v>4425</v>
      </c>
      <c r="BX17" t="s">
        <v>4426</v>
      </c>
      <c r="BY17" t="s">
        <v>4427</v>
      </c>
      <c r="CH17" t="s">
        <v>4428</v>
      </c>
      <c r="CO17" t="s">
        <v>4429</v>
      </c>
      <c r="CT17" t="s">
        <v>4430</v>
      </c>
      <c r="CZ17" t="s">
        <v>4431</v>
      </c>
      <c r="DA17" t="s">
        <v>4432</v>
      </c>
      <c r="DC17" t="s">
        <v>4433</v>
      </c>
      <c r="DE17" t="s">
        <v>4434</v>
      </c>
      <c r="DF17" t="s">
        <v>4435</v>
      </c>
      <c r="DG17" t="s">
        <v>4436</v>
      </c>
      <c r="DH17" t="s">
        <v>4437</v>
      </c>
      <c r="DI17" t="s">
        <v>4438</v>
      </c>
      <c r="DJ17" t="s">
        <v>4439</v>
      </c>
      <c r="DK17" t="s">
        <v>4440</v>
      </c>
      <c r="DM17" t="s">
        <v>4441</v>
      </c>
      <c r="DO17" t="s">
        <v>4442</v>
      </c>
      <c r="DS17" t="s">
        <v>4443</v>
      </c>
      <c r="DT17" t="s">
        <v>4183</v>
      </c>
      <c r="EK17" s="2" t="s">
        <v>4445</v>
      </c>
      <c r="EL17" s="2" t="s">
        <v>4446</v>
      </c>
      <c r="EM17" s="2" t="s">
        <v>4447</v>
      </c>
      <c r="EN17" s="2" t="s">
        <v>4447</v>
      </c>
      <c r="ER17" s="2" t="s">
        <v>4412</v>
      </c>
      <c r="ES17" s="2" t="s">
        <v>5205</v>
      </c>
      <c r="EU17" s="2" t="s">
        <v>4353</v>
      </c>
      <c r="EV17" s="2" t="s">
        <v>5287</v>
      </c>
    </row>
    <row r="18" spans="2:152" x14ac:dyDescent="0.3">
      <c r="B18" s="2" t="s">
        <v>4448</v>
      </c>
      <c r="C18" s="2" t="s">
        <v>4449</v>
      </c>
      <c r="F18" s="2" t="s">
        <v>4450</v>
      </c>
      <c r="AO18" t="s">
        <v>5788</v>
      </c>
      <c r="AQ18" t="s">
        <v>4451</v>
      </c>
      <c r="AR18" t="s">
        <v>4452</v>
      </c>
      <c r="AS18" t="s">
        <v>4453</v>
      </c>
      <c r="AT18" t="s">
        <v>4454</v>
      </c>
      <c r="BB18" t="s">
        <v>4455</v>
      </c>
      <c r="BC18" t="s">
        <v>4456</v>
      </c>
      <c r="BD18" t="s">
        <v>4457</v>
      </c>
      <c r="BG18" t="s">
        <v>4458</v>
      </c>
      <c r="BN18" t="s">
        <v>4459</v>
      </c>
      <c r="BO18" t="s">
        <v>4460</v>
      </c>
      <c r="BP18" t="s">
        <v>4461</v>
      </c>
      <c r="BQ18" t="s">
        <v>4462</v>
      </c>
      <c r="BR18" t="s">
        <v>4578</v>
      </c>
      <c r="BS18" t="s">
        <v>4464</v>
      </c>
      <c r="BT18" t="s">
        <v>4465</v>
      </c>
      <c r="BU18" t="s">
        <v>4466</v>
      </c>
      <c r="BV18" t="s">
        <v>4467</v>
      </c>
      <c r="BW18" t="s">
        <v>4468</v>
      </c>
      <c r="BX18" t="s">
        <v>4469</v>
      </c>
      <c r="BY18" t="s">
        <v>4470</v>
      </c>
      <c r="CH18" t="s">
        <v>4471</v>
      </c>
      <c r="CO18" t="s">
        <v>4472</v>
      </c>
      <c r="CZ18" t="s">
        <v>4473</v>
      </c>
      <c r="DA18" t="s">
        <v>4474</v>
      </c>
      <c r="DC18" t="s">
        <v>4475</v>
      </c>
      <c r="DE18" t="s">
        <v>4476</v>
      </c>
      <c r="DF18" t="s">
        <v>4477</v>
      </c>
      <c r="DG18" t="s">
        <v>4478</v>
      </c>
      <c r="DH18" t="s">
        <v>4479</v>
      </c>
      <c r="DI18" t="s">
        <v>4480</v>
      </c>
      <c r="DJ18" t="s">
        <v>4481</v>
      </c>
      <c r="DK18" t="s">
        <v>4482</v>
      </c>
      <c r="DM18" t="s">
        <v>4483</v>
      </c>
      <c r="DO18" t="s">
        <v>4484</v>
      </c>
      <c r="DS18" t="s">
        <v>4485</v>
      </c>
      <c r="DT18" t="s">
        <v>4526</v>
      </c>
      <c r="EK18" s="2" t="s">
        <v>4487</v>
      </c>
      <c r="EL18" s="2" t="s">
        <v>4488</v>
      </c>
      <c r="EM18" s="2" t="s">
        <v>4489</v>
      </c>
      <c r="EN18" s="2" t="s">
        <v>4490</v>
      </c>
      <c r="ER18" s="2" t="s">
        <v>4455</v>
      </c>
      <c r="ES18" s="2" t="s">
        <v>5206</v>
      </c>
      <c r="EU18" s="2" t="s">
        <v>4401</v>
      </c>
      <c r="EV18" s="2" t="s">
        <v>5288</v>
      </c>
    </row>
    <row r="19" spans="2:152" x14ac:dyDescent="0.3">
      <c r="B19" s="2" t="s">
        <v>4491</v>
      </c>
      <c r="C19" s="2" t="s">
        <v>4492</v>
      </c>
      <c r="F19" s="2" t="s">
        <v>4493</v>
      </c>
      <c r="AO19" t="s">
        <v>5789</v>
      </c>
      <c r="AQ19" t="s">
        <v>4494</v>
      </c>
      <c r="AR19" t="s">
        <v>4495</v>
      </c>
      <c r="AS19" t="s">
        <v>4496</v>
      </c>
      <c r="AT19" t="s">
        <v>4497</v>
      </c>
      <c r="BB19" t="s">
        <v>4498</v>
      </c>
      <c r="BC19" t="s">
        <v>4499</v>
      </c>
      <c r="BD19" t="s">
        <v>4500</v>
      </c>
      <c r="BG19" t="s">
        <v>4501</v>
      </c>
      <c r="BN19" t="s">
        <v>4502</v>
      </c>
      <c r="BP19" t="s">
        <v>4503</v>
      </c>
      <c r="BQ19" t="s">
        <v>4504</v>
      </c>
      <c r="BR19" t="s">
        <v>4610</v>
      </c>
      <c r="BS19" t="s">
        <v>4506</v>
      </c>
      <c r="BT19" t="s">
        <v>4507</v>
      </c>
      <c r="BU19" t="s">
        <v>4508</v>
      </c>
      <c r="BV19" t="s">
        <v>4509</v>
      </c>
      <c r="BX19" t="s">
        <v>4510</v>
      </c>
      <c r="BY19" t="s">
        <v>4511</v>
      </c>
      <c r="CH19" t="s">
        <v>4512</v>
      </c>
      <c r="CO19" t="s">
        <v>4513</v>
      </c>
      <c r="CZ19" t="s">
        <v>4514</v>
      </c>
      <c r="DA19" t="s">
        <v>4515</v>
      </c>
      <c r="DC19" t="s">
        <v>4516</v>
      </c>
      <c r="DE19" t="s">
        <v>4517</v>
      </c>
      <c r="DF19" t="s">
        <v>4518</v>
      </c>
      <c r="DG19" t="s">
        <v>4519</v>
      </c>
      <c r="DH19" t="s">
        <v>4520</v>
      </c>
      <c r="DI19" t="s">
        <v>4521</v>
      </c>
      <c r="DJ19" t="s">
        <v>4522</v>
      </c>
      <c r="DK19" t="s">
        <v>4523</v>
      </c>
      <c r="DO19" t="s">
        <v>4524</v>
      </c>
      <c r="DS19" t="s">
        <v>4525</v>
      </c>
      <c r="DT19" t="s">
        <v>4444</v>
      </c>
      <c r="EK19" s="2" t="s">
        <v>4527</v>
      </c>
      <c r="EL19" s="2" t="s">
        <v>4528</v>
      </c>
      <c r="EM19" s="2" t="s">
        <v>4529</v>
      </c>
      <c r="EN19" s="2" t="s">
        <v>4530</v>
      </c>
      <c r="ER19" s="2" t="s">
        <v>4498</v>
      </c>
      <c r="ES19" s="2" t="s">
        <v>5207</v>
      </c>
      <c r="EU19" s="2" t="s">
        <v>4445</v>
      </c>
      <c r="EV19" s="2" t="s">
        <v>5289</v>
      </c>
    </row>
    <row r="20" spans="2:152" x14ac:dyDescent="0.3">
      <c r="B20" s="2" t="s">
        <v>4531</v>
      </c>
      <c r="C20" s="2" t="s">
        <v>4532</v>
      </c>
      <c r="F20" s="2" t="s">
        <v>4533</v>
      </c>
      <c r="AO20" t="s">
        <v>5790</v>
      </c>
      <c r="AQ20" t="s">
        <v>4534</v>
      </c>
      <c r="AR20" t="s">
        <v>4535</v>
      </c>
      <c r="AS20" t="s">
        <v>4536</v>
      </c>
      <c r="AT20" t="s">
        <v>4537</v>
      </c>
      <c r="BB20" t="s">
        <v>4538</v>
      </c>
      <c r="BC20" t="s">
        <v>4539</v>
      </c>
      <c r="BG20" t="s">
        <v>4540</v>
      </c>
      <c r="BN20" t="s">
        <v>4541</v>
      </c>
      <c r="BP20" t="s">
        <v>4542</v>
      </c>
      <c r="BQ20" t="s">
        <v>4543</v>
      </c>
      <c r="BR20" t="s">
        <v>6018</v>
      </c>
      <c r="BS20" t="s">
        <v>4544</v>
      </c>
      <c r="BT20" t="s">
        <v>4545</v>
      </c>
      <c r="BU20" t="s">
        <v>4546</v>
      </c>
      <c r="BV20" t="s">
        <v>4547</v>
      </c>
      <c r="BX20" t="s">
        <v>4548</v>
      </c>
      <c r="BY20" t="s">
        <v>4549</v>
      </c>
      <c r="CH20" t="s">
        <v>4550</v>
      </c>
      <c r="CZ20" t="s">
        <v>4551</v>
      </c>
      <c r="DA20" t="s">
        <v>4552</v>
      </c>
      <c r="DC20" t="s">
        <v>4553</v>
      </c>
      <c r="DE20" t="s">
        <v>4554</v>
      </c>
      <c r="DF20" t="s">
        <v>4555</v>
      </c>
      <c r="DG20" t="s">
        <v>4556</v>
      </c>
      <c r="DH20" t="s">
        <v>4557</v>
      </c>
      <c r="DI20" t="s">
        <v>4558</v>
      </c>
      <c r="DJ20" t="s">
        <v>4559</v>
      </c>
      <c r="DK20" t="s">
        <v>4560</v>
      </c>
      <c r="DO20" t="s">
        <v>4561</v>
      </c>
      <c r="DT20" t="s">
        <v>4400</v>
      </c>
      <c r="EK20" s="2" t="s">
        <v>4563</v>
      </c>
      <c r="EL20" s="2" t="s">
        <v>4564</v>
      </c>
      <c r="EM20" s="2" t="s">
        <v>4565</v>
      </c>
      <c r="ER20" s="2" t="s">
        <v>4538</v>
      </c>
      <c r="ES20" s="2" t="s">
        <v>5208</v>
      </c>
      <c r="EU20" s="2" t="s">
        <v>4487</v>
      </c>
      <c r="EV20" s="2" t="s">
        <v>5290</v>
      </c>
    </row>
    <row r="21" spans="2:152" x14ac:dyDescent="0.3">
      <c r="B21" s="2" t="s">
        <v>4566</v>
      </c>
      <c r="C21" s="2" t="s">
        <v>4567</v>
      </c>
      <c r="F21" s="2" t="s">
        <v>4568</v>
      </c>
      <c r="AO21" t="s">
        <v>5791</v>
      </c>
      <c r="AQ21" t="s">
        <v>4569</v>
      </c>
      <c r="AR21" t="s">
        <v>4570</v>
      </c>
      <c r="AS21" t="s">
        <v>4571</v>
      </c>
      <c r="AT21" t="s">
        <v>4572</v>
      </c>
      <c r="BB21" t="s">
        <v>4573</v>
      </c>
      <c r="BC21" t="s">
        <v>4574</v>
      </c>
      <c r="BG21" t="s">
        <v>4575</v>
      </c>
      <c r="BN21" t="s">
        <v>4576</v>
      </c>
      <c r="BQ21" t="s">
        <v>4577</v>
      </c>
      <c r="BR21" t="s">
        <v>6019</v>
      </c>
      <c r="BT21" t="s">
        <v>4579</v>
      </c>
      <c r="BU21" t="s">
        <v>4580</v>
      </c>
      <c r="BV21" t="s">
        <v>4581</v>
      </c>
      <c r="BY21" t="s">
        <v>4582</v>
      </c>
      <c r="CH21" t="s">
        <v>4583</v>
      </c>
      <c r="CZ21" t="s">
        <v>4584</v>
      </c>
      <c r="DC21" t="s">
        <v>4585</v>
      </c>
      <c r="DE21" t="s">
        <v>4586</v>
      </c>
      <c r="DF21" t="s">
        <v>4587</v>
      </c>
      <c r="DG21" t="s">
        <v>4588</v>
      </c>
      <c r="DH21" t="s">
        <v>4589</v>
      </c>
      <c r="DI21" t="s">
        <v>4590</v>
      </c>
      <c r="DJ21" t="s">
        <v>4591</v>
      </c>
      <c r="DK21" t="s">
        <v>4592</v>
      </c>
      <c r="DO21" t="s">
        <v>4593</v>
      </c>
      <c r="DT21" t="s">
        <v>4594</v>
      </c>
      <c r="EK21" s="2" t="s">
        <v>4595</v>
      </c>
      <c r="EL21" s="2" t="s">
        <v>4596</v>
      </c>
      <c r="EM21" s="2" t="s">
        <v>4597</v>
      </c>
      <c r="ER21" s="2" t="s">
        <v>4573</v>
      </c>
      <c r="ES21" s="2" t="s">
        <v>5209</v>
      </c>
      <c r="EU21" s="2" t="s">
        <v>4527</v>
      </c>
      <c r="EV21" s="2" t="s">
        <v>5291</v>
      </c>
    </row>
    <row r="22" spans="2:152" x14ac:dyDescent="0.3">
      <c r="B22" s="2" t="s">
        <v>4598</v>
      </c>
      <c r="C22" s="2" t="s">
        <v>4599</v>
      </c>
      <c r="F22" s="2" t="s">
        <v>4600</v>
      </c>
      <c r="AO22" t="s">
        <v>5792</v>
      </c>
      <c r="AQ22" t="s">
        <v>4601</v>
      </c>
      <c r="AR22" t="s">
        <v>4602</v>
      </c>
      <c r="AS22" t="s">
        <v>4603</v>
      </c>
      <c r="AT22" t="s">
        <v>4604</v>
      </c>
      <c r="BB22" t="s">
        <v>4605</v>
      </c>
      <c r="BC22" t="s">
        <v>4606</v>
      </c>
      <c r="BG22" t="s">
        <v>4607</v>
      </c>
      <c r="BN22" t="s">
        <v>4608</v>
      </c>
      <c r="BQ22" t="s">
        <v>4609</v>
      </c>
      <c r="BR22" t="s">
        <v>3221</v>
      </c>
      <c r="BT22" t="s">
        <v>4611</v>
      </c>
      <c r="BU22" t="s">
        <v>4612</v>
      </c>
      <c r="BV22" t="s">
        <v>4613</v>
      </c>
      <c r="BY22" t="s">
        <v>4614</v>
      </c>
      <c r="CH22" t="s">
        <v>4615</v>
      </c>
      <c r="DC22" t="s">
        <v>4616</v>
      </c>
      <c r="DE22" t="s">
        <v>4617</v>
      </c>
      <c r="DF22" t="s">
        <v>4618</v>
      </c>
      <c r="DG22" t="s">
        <v>4619</v>
      </c>
      <c r="DH22" t="s">
        <v>4620</v>
      </c>
      <c r="DI22" t="s">
        <v>4621</v>
      </c>
      <c r="DJ22" t="s">
        <v>4622</v>
      </c>
      <c r="DK22" t="s">
        <v>4623</v>
      </c>
      <c r="DO22" t="s">
        <v>4624</v>
      </c>
      <c r="DT22" t="s">
        <v>4117</v>
      </c>
      <c r="EK22" s="2" t="s">
        <v>4626</v>
      </c>
      <c r="EL22" s="2" t="s">
        <v>4627</v>
      </c>
      <c r="EM22" s="2" t="s">
        <v>4628</v>
      </c>
      <c r="ER22" s="2" t="s">
        <v>4605</v>
      </c>
      <c r="ES22" s="2" t="s">
        <v>5210</v>
      </c>
      <c r="EU22" s="2" t="s">
        <v>4563</v>
      </c>
      <c r="EV22" s="2" t="s">
        <v>5293</v>
      </c>
    </row>
    <row r="23" spans="2:152" x14ac:dyDescent="0.3">
      <c r="B23" s="2" t="s">
        <v>4629</v>
      </c>
      <c r="C23" s="2" t="s">
        <v>4630</v>
      </c>
      <c r="F23" s="2" t="s">
        <v>4631</v>
      </c>
      <c r="AO23" t="s">
        <v>5793</v>
      </c>
      <c r="AQ23" t="s">
        <v>4632</v>
      </c>
      <c r="AR23" t="s">
        <v>4633</v>
      </c>
      <c r="AS23" t="s">
        <v>4634</v>
      </c>
      <c r="AT23" t="s">
        <v>4635</v>
      </c>
      <c r="BB23" t="s">
        <v>4636</v>
      </c>
      <c r="BC23" t="s">
        <v>4637</v>
      </c>
      <c r="BG23" t="s">
        <v>4638</v>
      </c>
      <c r="BN23" t="s">
        <v>4639</v>
      </c>
      <c r="BQ23" t="s">
        <v>4640</v>
      </c>
      <c r="BR23" t="s">
        <v>6020</v>
      </c>
      <c r="BT23" t="s">
        <v>4641</v>
      </c>
      <c r="BU23" t="s">
        <v>4642</v>
      </c>
      <c r="BY23" t="s">
        <v>4643</v>
      </c>
      <c r="CH23" t="s">
        <v>4644</v>
      </c>
      <c r="DC23" t="s">
        <v>4645</v>
      </c>
      <c r="DE23" t="s">
        <v>4646</v>
      </c>
      <c r="DF23" t="s">
        <v>4647</v>
      </c>
      <c r="DG23" t="s">
        <v>4648</v>
      </c>
      <c r="DH23" t="s">
        <v>4649</v>
      </c>
      <c r="DI23" t="s">
        <v>4650</v>
      </c>
      <c r="DJ23" t="s">
        <v>4651</v>
      </c>
      <c r="DK23" t="s">
        <v>4652</v>
      </c>
      <c r="DO23" t="s">
        <v>4653</v>
      </c>
      <c r="DT23" t="s">
        <v>4048</v>
      </c>
      <c r="EK23" s="2" t="s">
        <v>4654</v>
      </c>
      <c r="EL23" s="2" t="s">
        <v>4655</v>
      </c>
      <c r="EM23" s="2" t="s">
        <v>4656</v>
      </c>
      <c r="ER23" s="2" t="s">
        <v>4636</v>
      </c>
      <c r="ES23" s="2" t="s">
        <v>5211</v>
      </c>
      <c r="EU23" s="2" t="s">
        <v>4595</v>
      </c>
      <c r="EV23" s="2" t="s">
        <v>5292</v>
      </c>
    </row>
    <row r="24" spans="2:152" x14ac:dyDescent="0.3">
      <c r="B24" s="2" t="s">
        <v>4657</v>
      </c>
      <c r="C24" s="2" t="s">
        <v>4658</v>
      </c>
      <c r="F24" s="2" t="s">
        <v>4659</v>
      </c>
      <c r="AO24" t="s">
        <v>5794</v>
      </c>
      <c r="AQ24" t="s">
        <v>4660</v>
      </c>
      <c r="AR24" t="s">
        <v>4661</v>
      </c>
      <c r="AS24" t="s">
        <v>4662</v>
      </c>
      <c r="AT24" t="s">
        <v>4663</v>
      </c>
      <c r="BB24" t="s">
        <v>4664</v>
      </c>
      <c r="BC24" t="s">
        <v>4665</v>
      </c>
      <c r="BG24" t="s">
        <v>4666</v>
      </c>
      <c r="BQ24" t="s">
        <v>4667</v>
      </c>
      <c r="BR24" t="s">
        <v>6021</v>
      </c>
      <c r="BT24" t="s">
        <v>4668</v>
      </c>
      <c r="BU24" t="s">
        <v>4669</v>
      </c>
      <c r="BY24" t="s">
        <v>4670</v>
      </c>
      <c r="CH24" t="s">
        <v>4671</v>
      </c>
      <c r="DC24" t="s">
        <v>4672</v>
      </c>
      <c r="DE24" t="s">
        <v>4673</v>
      </c>
      <c r="DF24" t="s">
        <v>4674</v>
      </c>
      <c r="DG24" t="s">
        <v>4675</v>
      </c>
      <c r="DH24" t="s">
        <v>4676</v>
      </c>
      <c r="DI24" t="s">
        <v>4677</v>
      </c>
      <c r="DJ24" t="s">
        <v>4678</v>
      </c>
      <c r="DK24" t="s">
        <v>4679</v>
      </c>
      <c r="DO24" t="s">
        <v>4680</v>
      </c>
      <c r="EK24" s="2" t="s">
        <v>4681</v>
      </c>
      <c r="EL24" s="2" t="s">
        <v>4682</v>
      </c>
      <c r="EM24" s="2" t="s">
        <v>4683</v>
      </c>
      <c r="ER24" s="2" t="s">
        <v>4664</v>
      </c>
      <c r="ES24" s="2" t="s">
        <v>5212</v>
      </c>
      <c r="EU24" s="2" t="s">
        <v>4626</v>
      </c>
      <c r="EV24" s="2" t="s">
        <v>5304</v>
      </c>
    </row>
    <row r="25" spans="2:152" x14ac:dyDescent="0.3">
      <c r="B25" s="2" t="s">
        <v>4684</v>
      </c>
      <c r="C25" s="2" t="s">
        <v>4685</v>
      </c>
      <c r="F25" s="2" t="s">
        <v>4686</v>
      </c>
      <c r="AO25" t="s">
        <v>5795</v>
      </c>
      <c r="AQ25" t="s">
        <v>4687</v>
      </c>
      <c r="AR25" t="s">
        <v>4688</v>
      </c>
      <c r="AS25" t="s">
        <v>4689</v>
      </c>
      <c r="AT25" t="s">
        <v>4690</v>
      </c>
      <c r="BB25" t="s">
        <v>4691</v>
      </c>
      <c r="BC25" t="s">
        <v>4692</v>
      </c>
      <c r="BG25" t="s">
        <v>4693</v>
      </c>
      <c r="BR25" t="s">
        <v>6022</v>
      </c>
      <c r="BT25" t="s">
        <v>4694</v>
      </c>
      <c r="BU25" t="s">
        <v>4695</v>
      </c>
      <c r="DC25" t="s">
        <v>4696</v>
      </c>
      <c r="DE25" t="s">
        <v>4697</v>
      </c>
      <c r="DF25" t="s">
        <v>4698</v>
      </c>
      <c r="DG25" t="s">
        <v>4699</v>
      </c>
      <c r="DH25" t="s">
        <v>4700</v>
      </c>
      <c r="DI25" t="s">
        <v>4701</v>
      </c>
      <c r="DJ25" t="s">
        <v>4702</v>
      </c>
      <c r="DK25" t="s">
        <v>4703</v>
      </c>
      <c r="DO25" t="s">
        <v>4704</v>
      </c>
      <c r="EK25" s="2" t="s">
        <v>4705</v>
      </c>
      <c r="EL25" s="2" t="s">
        <v>4706</v>
      </c>
      <c r="EM25" s="2" t="s">
        <v>4707</v>
      </c>
      <c r="ER25" s="2" t="s">
        <v>4691</v>
      </c>
      <c r="ES25" s="2" t="s">
        <v>5213</v>
      </c>
      <c r="EU25" s="2" t="s">
        <v>4654</v>
      </c>
      <c r="EV25" s="2" t="s">
        <v>5294</v>
      </c>
    </row>
    <row r="26" spans="2:152" x14ac:dyDescent="0.3">
      <c r="B26" s="2" t="s">
        <v>4708</v>
      </c>
      <c r="F26" s="2" t="s">
        <v>4709</v>
      </c>
      <c r="AO26" t="s">
        <v>5796</v>
      </c>
      <c r="AQ26" t="s">
        <v>4710</v>
      </c>
      <c r="AR26" t="s">
        <v>4711</v>
      </c>
      <c r="AS26" t="s">
        <v>4712</v>
      </c>
      <c r="AT26" t="s">
        <v>4713</v>
      </c>
      <c r="BB26" t="s">
        <v>4714</v>
      </c>
      <c r="BC26" t="s">
        <v>4715</v>
      </c>
      <c r="BG26" t="s">
        <v>4716</v>
      </c>
      <c r="BT26" t="s">
        <v>4717</v>
      </c>
      <c r="BU26" t="s">
        <v>4718</v>
      </c>
      <c r="DC26" t="s">
        <v>4719</v>
      </c>
      <c r="DE26" t="s">
        <v>4720</v>
      </c>
      <c r="DF26" t="s">
        <v>4721</v>
      </c>
      <c r="DG26" t="s">
        <v>4722</v>
      </c>
      <c r="DH26" t="s">
        <v>4723</v>
      </c>
      <c r="DI26" t="s">
        <v>4724</v>
      </c>
      <c r="DJ26" t="s">
        <v>4725</v>
      </c>
      <c r="DK26" t="s">
        <v>4726</v>
      </c>
      <c r="DO26" t="s">
        <v>4727</v>
      </c>
      <c r="EK26" s="2" t="s">
        <v>4728</v>
      </c>
      <c r="EL26" s="2" t="s">
        <v>4729</v>
      </c>
      <c r="EM26" s="2" t="s">
        <v>4730</v>
      </c>
      <c r="ER26" s="2" t="s">
        <v>4714</v>
      </c>
      <c r="ES26" s="2" t="s">
        <v>5214</v>
      </c>
      <c r="EU26" s="2" t="s">
        <v>4681</v>
      </c>
      <c r="EV26" s="2" t="s">
        <v>5295</v>
      </c>
    </row>
    <row r="27" spans="2:152" x14ac:dyDescent="0.3">
      <c r="B27" s="2" t="s">
        <v>4731</v>
      </c>
      <c r="F27" s="2" t="s">
        <v>4732</v>
      </c>
      <c r="AO27" t="s">
        <v>5797</v>
      </c>
      <c r="AQ27" t="s">
        <v>4733</v>
      </c>
      <c r="AR27" t="s">
        <v>4734</v>
      </c>
      <c r="AS27" t="s">
        <v>4735</v>
      </c>
      <c r="AT27" t="s">
        <v>4736</v>
      </c>
      <c r="BB27" t="s">
        <v>4737</v>
      </c>
      <c r="BC27" t="s">
        <v>4738</v>
      </c>
      <c r="BG27" t="s">
        <v>4739</v>
      </c>
      <c r="BT27" t="s">
        <v>4740</v>
      </c>
      <c r="BU27" t="s">
        <v>4741</v>
      </c>
      <c r="DC27" t="s">
        <v>4742</v>
      </c>
      <c r="DE27" t="s">
        <v>4743</v>
      </c>
      <c r="DG27" t="s">
        <v>4744</v>
      </c>
      <c r="DI27" t="s">
        <v>4745</v>
      </c>
      <c r="DJ27" t="s">
        <v>4746</v>
      </c>
      <c r="DK27" t="s">
        <v>4747</v>
      </c>
      <c r="DO27" t="s">
        <v>4748</v>
      </c>
      <c r="EK27" s="2" t="s">
        <v>4749</v>
      </c>
      <c r="EL27" s="2" t="s">
        <v>4750</v>
      </c>
      <c r="EM27" s="2" t="s">
        <v>4751</v>
      </c>
      <c r="ER27" s="2" t="s">
        <v>4737</v>
      </c>
      <c r="ES27" s="2" t="s">
        <v>5215</v>
      </c>
      <c r="EU27" s="2" t="s">
        <v>4705</v>
      </c>
      <c r="EV27" s="2" t="s">
        <v>5296</v>
      </c>
    </row>
    <row r="28" spans="2:152" x14ac:dyDescent="0.3">
      <c r="B28" s="2" t="s">
        <v>4752</v>
      </c>
      <c r="F28" s="2" t="s">
        <v>4753</v>
      </c>
      <c r="AO28" t="s">
        <v>5798</v>
      </c>
      <c r="AQ28" t="s">
        <v>4754</v>
      </c>
      <c r="AR28" t="s">
        <v>4755</v>
      </c>
      <c r="AS28" t="s">
        <v>4756</v>
      </c>
      <c r="AT28" t="s">
        <v>4757</v>
      </c>
      <c r="BB28" t="s">
        <v>4758</v>
      </c>
      <c r="BC28" t="s">
        <v>4759</v>
      </c>
      <c r="BG28" t="s">
        <v>4760</v>
      </c>
      <c r="BT28" t="s">
        <v>4761</v>
      </c>
      <c r="BU28" t="s">
        <v>4762</v>
      </c>
      <c r="DC28" t="s">
        <v>4763</v>
      </c>
      <c r="DE28" t="s">
        <v>4764</v>
      </c>
      <c r="DG28" t="s">
        <v>4765</v>
      </c>
      <c r="DI28" t="s">
        <v>4766</v>
      </c>
      <c r="DJ28" t="s">
        <v>4767</v>
      </c>
      <c r="DK28" t="s">
        <v>4768</v>
      </c>
      <c r="DO28" t="s">
        <v>4769</v>
      </c>
      <c r="EK28" s="2" t="s">
        <v>4770</v>
      </c>
      <c r="EL28" s="2" t="s">
        <v>4771</v>
      </c>
      <c r="EM28" s="2" t="s">
        <v>4772</v>
      </c>
      <c r="ER28" s="2" t="s">
        <v>4758</v>
      </c>
      <c r="ES28" s="2" t="s">
        <v>5216</v>
      </c>
      <c r="EU28" s="2" t="s">
        <v>4728</v>
      </c>
      <c r="EV28" s="2" t="s">
        <v>5297</v>
      </c>
    </row>
    <row r="29" spans="2:152" x14ac:dyDescent="0.3">
      <c r="B29" s="2" t="s">
        <v>4773</v>
      </c>
      <c r="F29" s="2" t="s">
        <v>4774</v>
      </c>
      <c r="AO29" t="s">
        <v>5799</v>
      </c>
      <c r="AQ29" t="s">
        <v>4775</v>
      </c>
      <c r="AR29" t="s">
        <v>4776</v>
      </c>
      <c r="AS29" t="s">
        <v>4777</v>
      </c>
      <c r="AT29" t="s">
        <v>4778</v>
      </c>
      <c r="BB29" t="s">
        <v>4779</v>
      </c>
      <c r="BC29" t="s">
        <v>4780</v>
      </c>
      <c r="BG29" t="s">
        <v>4781</v>
      </c>
      <c r="BT29" t="s">
        <v>4782</v>
      </c>
      <c r="DC29" t="s">
        <v>4783</v>
      </c>
      <c r="DE29" t="s">
        <v>4784</v>
      </c>
      <c r="DI29" t="s">
        <v>4785</v>
      </c>
      <c r="DJ29" t="s">
        <v>4786</v>
      </c>
      <c r="DK29" t="s">
        <v>4787</v>
      </c>
      <c r="DO29" t="s">
        <v>4788</v>
      </c>
      <c r="EK29" s="2" t="s">
        <v>4789</v>
      </c>
      <c r="EL29" s="2" t="s">
        <v>4790</v>
      </c>
      <c r="EM29" s="2" t="s">
        <v>4791</v>
      </c>
      <c r="ER29" s="2" t="s">
        <v>4779</v>
      </c>
      <c r="ES29" s="2" t="s">
        <v>5217</v>
      </c>
      <c r="EU29" s="2" t="s">
        <v>4749</v>
      </c>
      <c r="EV29" s="2" t="s">
        <v>5298</v>
      </c>
    </row>
    <row r="30" spans="2:152" x14ac:dyDescent="0.3">
      <c r="B30" s="2" t="s">
        <v>4792</v>
      </c>
      <c r="F30" s="2" t="s">
        <v>4793</v>
      </c>
      <c r="AO30" t="s">
        <v>5800</v>
      </c>
      <c r="AQ30" t="s">
        <v>4794</v>
      </c>
      <c r="AR30" t="s">
        <v>4795</v>
      </c>
      <c r="AS30" t="s">
        <v>4796</v>
      </c>
      <c r="AT30" t="s">
        <v>4797</v>
      </c>
      <c r="BB30" t="s">
        <v>4798</v>
      </c>
      <c r="BC30" t="s">
        <v>4799</v>
      </c>
      <c r="BG30" t="s">
        <v>4800</v>
      </c>
      <c r="DE30" t="s">
        <v>4801</v>
      </c>
      <c r="DI30" t="s">
        <v>4802</v>
      </c>
      <c r="DJ30" t="s">
        <v>4803</v>
      </c>
      <c r="DK30" t="s">
        <v>4804</v>
      </c>
      <c r="DO30" t="s">
        <v>4805</v>
      </c>
      <c r="EK30" s="2" t="s">
        <v>4806</v>
      </c>
      <c r="EL30" s="2" t="s">
        <v>4807</v>
      </c>
      <c r="ER30" s="2" t="s">
        <v>4798</v>
      </c>
      <c r="ES30" s="2" t="s">
        <v>5218</v>
      </c>
      <c r="EU30" s="2" t="s">
        <v>4770</v>
      </c>
      <c r="EV30" s="2" t="s">
        <v>5299</v>
      </c>
    </row>
    <row r="31" spans="2:152" x14ac:dyDescent="0.3">
      <c r="B31" s="2" t="s">
        <v>4808</v>
      </c>
      <c r="F31" s="2" t="s">
        <v>4809</v>
      </c>
      <c r="AO31" t="s">
        <v>5801</v>
      </c>
      <c r="AQ31" t="s">
        <v>4810</v>
      </c>
      <c r="AR31" t="s">
        <v>4811</v>
      </c>
      <c r="AS31" t="s">
        <v>4812</v>
      </c>
      <c r="AT31" t="s">
        <v>4813</v>
      </c>
      <c r="BB31" t="s">
        <v>4814</v>
      </c>
      <c r="BC31" t="s">
        <v>4815</v>
      </c>
      <c r="BG31" t="s">
        <v>4816</v>
      </c>
      <c r="DE31" t="s">
        <v>4817</v>
      </c>
      <c r="DI31" t="s">
        <v>4818</v>
      </c>
      <c r="DJ31" t="s">
        <v>4819</v>
      </c>
      <c r="DK31" t="s">
        <v>4820</v>
      </c>
      <c r="DO31" t="s">
        <v>4821</v>
      </c>
      <c r="EK31" s="2" t="s">
        <v>4822</v>
      </c>
      <c r="EL31" s="2" t="s">
        <v>4823</v>
      </c>
      <c r="ER31" s="2" t="s">
        <v>4814</v>
      </c>
      <c r="ES31" s="2" t="s">
        <v>5219</v>
      </c>
      <c r="EU31" s="2" t="s">
        <v>4789</v>
      </c>
      <c r="EV31" s="2" t="s">
        <v>5300</v>
      </c>
    </row>
    <row r="32" spans="2:152" x14ac:dyDescent="0.3">
      <c r="B32" s="2" t="s">
        <v>4824</v>
      </c>
      <c r="F32" s="2" t="s">
        <v>4825</v>
      </c>
      <c r="AO32" t="s">
        <v>5802</v>
      </c>
      <c r="AQ32" t="s">
        <v>4826</v>
      </c>
      <c r="AR32" t="s">
        <v>4827</v>
      </c>
      <c r="AS32" t="s">
        <v>4828</v>
      </c>
      <c r="AT32" t="s">
        <v>4829</v>
      </c>
      <c r="BB32" t="s">
        <v>4830</v>
      </c>
      <c r="BC32" t="s">
        <v>4831</v>
      </c>
      <c r="DE32" t="s">
        <v>4832</v>
      </c>
      <c r="DI32" t="s">
        <v>4833</v>
      </c>
      <c r="DJ32" t="s">
        <v>4834</v>
      </c>
      <c r="DK32" t="s">
        <v>4835</v>
      </c>
      <c r="DO32" t="s">
        <v>4836</v>
      </c>
      <c r="EK32" s="2" t="s">
        <v>4837</v>
      </c>
      <c r="EL32" s="2" t="s">
        <v>4838</v>
      </c>
      <c r="ER32" s="2" t="s">
        <v>4830</v>
      </c>
      <c r="ES32" s="2" t="s">
        <v>5220</v>
      </c>
      <c r="EU32" s="2" t="s">
        <v>4806</v>
      </c>
      <c r="EV32" s="2" t="s">
        <v>5301</v>
      </c>
    </row>
    <row r="33" spans="2:152" x14ac:dyDescent="0.3">
      <c r="B33" s="2" t="s">
        <v>4839</v>
      </c>
      <c r="F33" s="2" t="s">
        <v>4840</v>
      </c>
      <c r="AO33" t="s">
        <v>5803</v>
      </c>
      <c r="AQ33" t="s">
        <v>4841</v>
      </c>
      <c r="AR33" t="s">
        <v>4842</v>
      </c>
      <c r="AS33" t="s">
        <v>4843</v>
      </c>
      <c r="AT33" t="s">
        <v>4844</v>
      </c>
      <c r="BB33" t="s">
        <v>4845</v>
      </c>
      <c r="BC33" t="s">
        <v>4846</v>
      </c>
      <c r="DE33" t="s">
        <v>4847</v>
      </c>
      <c r="DI33" t="s">
        <v>4848</v>
      </c>
      <c r="DJ33" t="s">
        <v>4849</v>
      </c>
      <c r="DK33" t="s">
        <v>4850</v>
      </c>
      <c r="DO33" t="s">
        <v>4851</v>
      </c>
      <c r="EK33" s="2" t="s">
        <v>4852</v>
      </c>
      <c r="EL33" s="2" t="s">
        <v>4853</v>
      </c>
      <c r="ER33" s="2" t="s">
        <v>4845</v>
      </c>
      <c r="ES33" s="2" t="s">
        <v>5221</v>
      </c>
      <c r="EU33" s="2" t="s">
        <v>4822</v>
      </c>
      <c r="EV33" s="2" t="s">
        <v>5302</v>
      </c>
    </row>
    <row r="34" spans="2:152" x14ac:dyDescent="0.3">
      <c r="B34" s="2" t="s">
        <v>4854</v>
      </c>
      <c r="F34" s="2" t="s">
        <v>4855</v>
      </c>
      <c r="AO34" t="s">
        <v>5804</v>
      </c>
      <c r="AQ34" t="s">
        <v>4856</v>
      </c>
      <c r="AR34" t="s">
        <v>4857</v>
      </c>
      <c r="AS34" t="s">
        <v>4858</v>
      </c>
      <c r="AT34" t="s">
        <v>4859</v>
      </c>
      <c r="BB34" t="s">
        <v>4860</v>
      </c>
      <c r="BC34" t="s">
        <v>4861</v>
      </c>
      <c r="DE34" t="s">
        <v>4862</v>
      </c>
      <c r="DI34" t="s">
        <v>4863</v>
      </c>
      <c r="DJ34" t="s">
        <v>4864</v>
      </c>
      <c r="DK34" t="s">
        <v>4865</v>
      </c>
      <c r="DO34" t="s">
        <v>4866</v>
      </c>
      <c r="EK34" s="2" t="s">
        <v>4867</v>
      </c>
      <c r="EL34" s="2" t="s">
        <v>4868</v>
      </c>
      <c r="ER34" s="2" t="s">
        <v>4860</v>
      </c>
      <c r="ES34" s="2" t="s">
        <v>5222</v>
      </c>
      <c r="EU34" s="2" t="s">
        <v>4837</v>
      </c>
      <c r="EV34" s="2" t="s">
        <v>5303</v>
      </c>
    </row>
    <row r="35" spans="2:152" x14ac:dyDescent="0.3">
      <c r="B35" s="2" t="s">
        <v>4869</v>
      </c>
      <c r="AO35" t="s">
        <v>5805</v>
      </c>
      <c r="AR35" t="s">
        <v>4870</v>
      </c>
      <c r="AS35" t="s">
        <v>4871</v>
      </c>
      <c r="AT35" t="s">
        <v>4872</v>
      </c>
      <c r="BB35" t="s">
        <v>4873</v>
      </c>
      <c r="BC35" t="s">
        <v>4874</v>
      </c>
      <c r="DE35" t="s">
        <v>4875</v>
      </c>
      <c r="DI35" t="s">
        <v>4876</v>
      </c>
      <c r="DJ35" t="s">
        <v>4877</v>
      </c>
      <c r="DO35" t="s">
        <v>4878</v>
      </c>
      <c r="EL35" s="2" t="s">
        <v>4879</v>
      </c>
      <c r="ER35" s="2" t="s">
        <v>4873</v>
      </c>
      <c r="ES35" s="2" t="s">
        <v>5223</v>
      </c>
    </row>
    <row r="36" spans="2:152" x14ac:dyDescent="0.3">
      <c r="B36" s="2" t="s">
        <v>4880</v>
      </c>
      <c r="AO36" t="s">
        <v>5806</v>
      </c>
      <c r="AR36" t="s">
        <v>4881</v>
      </c>
      <c r="AS36" t="s">
        <v>4882</v>
      </c>
      <c r="AT36" t="s">
        <v>4883</v>
      </c>
      <c r="BB36" t="s">
        <v>4884</v>
      </c>
      <c r="BC36" t="s">
        <v>4885</v>
      </c>
      <c r="DE36" t="s">
        <v>4886</v>
      </c>
      <c r="DI36" t="s">
        <v>4887</v>
      </c>
      <c r="DJ36" t="s">
        <v>4888</v>
      </c>
      <c r="DO36" t="s">
        <v>4889</v>
      </c>
      <c r="EL36" s="2" t="s">
        <v>4890</v>
      </c>
      <c r="ER36" s="2" t="s">
        <v>4884</v>
      </c>
      <c r="ES36" s="2" t="s">
        <v>5224</v>
      </c>
    </row>
    <row r="37" spans="2:152" x14ac:dyDescent="0.3">
      <c r="B37" s="2" t="s">
        <v>4891</v>
      </c>
      <c r="AO37" t="s">
        <v>5807</v>
      </c>
      <c r="AR37" t="s">
        <v>4892</v>
      </c>
      <c r="AS37" t="s">
        <v>4893</v>
      </c>
      <c r="AT37" t="s">
        <v>4894</v>
      </c>
      <c r="BB37" t="s">
        <v>4895</v>
      </c>
      <c r="BC37" t="s">
        <v>4896</v>
      </c>
      <c r="DE37" t="s">
        <v>4897</v>
      </c>
      <c r="DI37" t="s">
        <v>4898</v>
      </c>
      <c r="DJ37" t="s">
        <v>4899</v>
      </c>
      <c r="DO37" t="s">
        <v>4900</v>
      </c>
      <c r="EL37" s="2" t="s">
        <v>4901</v>
      </c>
      <c r="ER37" s="2" t="s">
        <v>4895</v>
      </c>
      <c r="ES37" s="2" t="s">
        <v>5225</v>
      </c>
    </row>
    <row r="38" spans="2:152" x14ac:dyDescent="0.3">
      <c r="B38" s="2" t="s">
        <v>4902</v>
      </c>
      <c r="AO38" t="s">
        <v>5808</v>
      </c>
      <c r="AR38" t="s">
        <v>4903</v>
      </c>
      <c r="AS38" t="s">
        <v>4904</v>
      </c>
      <c r="AT38" t="s">
        <v>4905</v>
      </c>
      <c r="BB38" t="s">
        <v>4906</v>
      </c>
      <c r="BC38" t="s">
        <v>4907</v>
      </c>
      <c r="DE38" t="s">
        <v>4908</v>
      </c>
      <c r="DI38" t="s">
        <v>4909</v>
      </c>
      <c r="DJ38" t="s">
        <v>4910</v>
      </c>
      <c r="DO38" t="s">
        <v>4911</v>
      </c>
      <c r="EL38" s="2" t="s">
        <v>4912</v>
      </c>
      <c r="ER38" s="2" t="s">
        <v>4906</v>
      </c>
      <c r="ES38" s="2" t="s">
        <v>5226</v>
      </c>
    </row>
    <row r="39" spans="2:152" x14ac:dyDescent="0.3">
      <c r="B39" s="2" t="s">
        <v>4913</v>
      </c>
      <c r="AO39" t="s">
        <v>5809</v>
      </c>
      <c r="AR39" t="s">
        <v>4914</v>
      </c>
      <c r="AS39" t="s">
        <v>4915</v>
      </c>
      <c r="BB39" t="s">
        <v>4916</v>
      </c>
      <c r="BC39" t="s">
        <v>4917</v>
      </c>
      <c r="DE39" t="s">
        <v>4918</v>
      </c>
      <c r="DI39" t="s">
        <v>4919</v>
      </c>
      <c r="DJ39" t="s">
        <v>4920</v>
      </c>
      <c r="DO39" t="s">
        <v>4921</v>
      </c>
      <c r="EL39" s="2" t="s">
        <v>4922</v>
      </c>
      <c r="ER39" s="2" t="s">
        <v>4916</v>
      </c>
      <c r="ES39" s="2" t="s">
        <v>5227</v>
      </c>
    </row>
    <row r="40" spans="2:152" x14ac:dyDescent="0.3">
      <c r="B40" s="2" t="s">
        <v>4923</v>
      </c>
      <c r="AO40" t="s">
        <v>5810</v>
      </c>
      <c r="AR40" t="s">
        <v>4924</v>
      </c>
      <c r="AS40" t="s">
        <v>4925</v>
      </c>
      <c r="BB40" t="s">
        <v>4926</v>
      </c>
      <c r="BC40" t="s">
        <v>4927</v>
      </c>
      <c r="DE40" t="s">
        <v>4928</v>
      </c>
      <c r="DI40" t="s">
        <v>4929</v>
      </c>
      <c r="DJ40" t="s">
        <v>4930</v>
      </c>
      <c r="DO40" t="s">
        <v>4931</v>
      </c>
      <c r="EL40" s="2" t="s">
        <v>4932</v>
      </c>
      <c r="ER40" s="2" t="s">
        <v>4926</v>
      </c>
      <c r="ES40" s="2" t="s">
        <v>5228</v>
      </c>
    </row>
    <row r="41" spans="2:152" x14ac:dyDescent="0.3">
      <c r="B41" s="2" t="s">
        <v>4933</v>
      </c>
      <c r="AO41" t="s">
        <v>5811</v>
      </c>
      <c r="AR41" t="s">
        <v>4934</v>
      </c>
      <c r="AS41" t="s">
        <v>4935</v>
      </c>
      <c r="BB41" t="s">
        <v>4936</v>
      </c>
      <c r="BC41" t="s">
        <v>4937</v>
      </c>
      <c r="DE41" t="s">
        <v>4938</v>
      </c>
      <c r="DJ41" t="s">
        <v>4939</v>
      </c>
      <c r="EL41" s="2" t="s">
        <v>4940</v>
      </c>
      <c r="ER41" s="2" t="s">
        <v>4936</v>
      </c>
      <c r="ES41" s="2" t="s">
        <v>5229</v>
      </c>
    </row>
    <row r="42" spans="2:152" x14ac:dyDescent="0.3">
      <c r="B42" s="2" t="s">
        <v>4941</v>
      </c>
      <c r="AO42" t="s">
        <v>5812</v>
      </c>
      <c r="AR42" t="s">
        <v>4942</v>
      </c>
      <c r="AS42" t="s">
        <v>4943</v>
      </c>
      <c r="BB42" t="s">
        <v>4944</v>
      </c>
      <c r="BC42" t="s">
        <v>4945</v>
      </c>
      <c r="DE42" t="s">
        <v>4946</v>
      </c>
      <c r="DJ42" t="s">
        <v>4947</v>
      </c>
      <c r="EL42" s="2" t="s">
        <v>4948</v>
      </c>
      <c r="ER42" s="2" t="s">
        <v>4944</v>
      </c>
      <c r="ES42" s="2" t="s">
        <v>5230</v>
      </c>
    </row>
    <row r="43" spans="2:152" x14ac:dyDescent="0.3">
      <c r="B43" s="2" t="s">
        <v>4949</v>
      </c>
      <c r="AO43" t="s">
        <v>5813</v>
      </c>
      <c r="AR43" t="s">
        <v>4950</v>
      </c>
      <c r="AS43" t="s">
        <v>4951</v>
      </c>
      <c r="BB43" t="s">
        <v>4952</v>
      </c>
      <c r="BC43" t="s">
        <v>4953</v>
      </c>
      <c r="DE43" t="s">
        <v>4954</v>
      </c>
      <c r="DJ43" t="s">
        <v>4955</v>
      </c>
      <c r="EL43" s="2" t="s">
        <v>4956</v>
      </c>
      <c r="ER43" s="2" t="s">
        <v>4952</v>
      </c>
      <c r="ES43" s="2" t="s">
        <v>5231</v>
      </c>
    </row>
    <row r="44" spans="2:152" x14ac:dyDescent="0.3">
      <c r="B44" s="2" t="s">
        <v>4957</v>
      </c>
      <c r="AO44" t="s">
        <v>5814</v>
      </c>
      <c r="AR44" t="s">
        <v>4958</v>
      </c>
      <c r="AS44" t="s">
        <v>4959</v>
      </c>
      <c r="BB44" t="s">
        <v>4960</v>
      </c>
      <c r="BC44" t="s">
        <v>4961</v>
      </c>
      <c r="DE44" t="s">
        <v>4962</v>
      </c>
      <c r="EL44" s="2" t="s">
        <v>4963</v>
      </c>
      <c r="ER44" s="2" t="s">
        <v>4960</v>
      </c>
      <c r="ES44" s="2" t="s">
        <v>5232</v>
      </c>
    </row>
    <row r="45" spans="2:152" x14ac:dyDescent="0.3">
      <c r="B45" s="2" t="s">
        <v>4964</v>
      </c>
      <c r="AO45" t="s">
        <v>5815</v>
      </c>
      <c r="AR45" t="s">
        <v>4965</v>
      </c>
      <c r="AS45" t="s">
        <v>4966</v>
      </c>
      <c r="BB45" t="s">
        <v>4967</v>
      </c>
      <c r="BC45" t="s">
        <v>4968</v>
      </c>
      <c r="DE45" t="s">
        <v>4969</v>
      </c>
      <c r="EL45" s="2" t="s">
        <v>4970</v>
      </c>
      <c r="ER45" s="2" t="s">
        <v>4967</v>
      </c>
      <c r="ES45" s="2" t="s">
        <v>5233</v>
      </c>
    </row>
    <row r="46" spans="2:152" x14ac:dyDescent="0.3">
      <c r="B46" s="2" t="s">
        <v>4971</v>
      </c>
      <c r="AO46" t="s">
        <v>5816</v>
      </c>
      <c r="AR46" t="s">
        <v>4972</v>
      </c>
      <c r="AS46" t="s">
        <v>4973</v>
      </c>
      <c r="BB46" t="s">
        <v>4974</v>
      </c>
      <c r="BC46" t="s">
        <v>4975</v>
      </c>
      <c r="DE46" t="s">
        <v>4976</v>
      </c>
      <c r="EL46" s="2" t="s">
        <v>4977</v>
      </c>
      <c r="ER46" s="2" t="s">
        <v>4974</v>
      </c>
      <c r="ES46" s="2" t="s">
        <v>5234</v>
      </c>
    </row>
    <row r="47" spans="2:152" x14ac:dyDescent="0.3">
      <c r="B47" s="2" t="s">
        <v>4978</v>
      </c>
      <c r="AO47" t="s">
        <v>5817</v>
      </c>
      <c r="AR47" t="s">
        <v>4979</v>
      </c>
      <c r="AS47" t="s">
        <v>4980</v>
      </c>
      <c r="BB47" t="s">
        <v>4981</v>
      </c>
      <c r="BC47" t="s">
        <v>4982</v>
      </c>
      <c r="DE47" t="s">
        <v>4983</v>
      </c>
      <c r="EL47" s="2" t="s">
        <v>4984</v>
      </c>
      <c r="ER47" s="2" t="s">
        <v>4981</v>
      </c>
      <c r="ES47" s="2" t="s">
        <v>5235</v>
      </c>
    </row>
    <row r="48" spans="2:152" x14ac:dyDescent="0.3">
      <c r="B48" s="2" t="s">
        <v>4985</v>
      </c>
      <c r="AO48" t="s">
        <v>5818</v>
      </c>
      <c r="AS48" t="s">
        <v>4986</v>
      </c>
      <c r="BB48" t="s">
        <v>4987</v>
      </c>
      <c r="BC48" t="s">
        <v>4988</v>
      </c>
      <c r="DE48" t="s">
        <v>4989</v>
      </c>
      <c r="EL48" s="2" t="s">
        <v>4990</v>
      </c>
      <c r="ER48" s="2" t="s">
        <v>4987</v>
      </c>
      <c r="ES48" s="2" t="s">
        <v>5236</v>
      </c>
    </row>
    <row r="49" spans="2:149" x14ac:dyDescent="0.3">
      <c r="B49" s="2" t="s">
        <v>4991</v>
      </c>
      <c r="AO49" t="s">
        <v>5819</v>
      </c>
      <c r="AS49" t="s">
        <v>4992</v>
      </c>
      <c r="BB49" t="s">
        <v>4993</v>
      </c>
      <c r="BC49" t="s">
        <v>4994</v>
      </c>
      <c r="DE49" t="s">
        <v>4995</v>
      </c>
      <c r="EL49" s="2" t="s">
        <v>4996</v>
      </c>
      <c r="ER49" s="2" t="s">
        <v>4993</v>
      </c>
      <c r="ES49" s="2" t="s">
        <v>5237</v>
      </c>
    </row>
    <row r="50" spans="2:149" x14ac:dyDescent="0.3">
      <c r="B50" s="2" t="s">
        <v>4997</v>
      </c>
      <c r="AO50" t="s">
        <v>5820</v>
      </c>
      <c r="AS50" t="s">
        <v>4998</v>
      </c>
      <c r="BB50" t="s">
        <v>4999</v>
      </c>
      <c r="BC50" t="s">
        <v>5000</v>
      </c>
      <c r="DE50" t="s">
        <v>5001</v>
      </c>
      <c r="EL50" s="2" t="s">
        <v>5002</v>
      </c>
      <c r="ER50" s="2" t="s">
        <v>4999</v>
      </c>
      <c r="ES50" s="2" t="s">
        <v>5238</v>
      </c>
    </row>
    <row r="51" spans="2:149" x14ac:dyDescent="0.3">
      <c r="B51" s="2" t="s">
        <v>5003</v>
      </c>
      <c r="AO51" t="s">
        <v>5821</v>
      </c>
      <c r="AS51" t="s">
        <v>5004</v>
      </c>
      <c r="BB51" t="s">
        <v>5005</v>
      </c>
      <c r="DE51" t="s">
        <v>5006</v>
      </c>
      <c r="EL51" s="2" t="s">
        <v>5007</v>
      </c>
      <c r="ER51" s="2" t="s">
        <v>5005</v>
      </c>
      <c r="ES51" s="2" t="s">
        <v>5239</v>
      </c>
    </row>
    <row r="52" spans="2:149" x14ac:dyDescent="0.3">
      <c r="B52" s="2" t="s">
        <v>5008</v>
      </c>
      <c r="AO52" t="s">
        <v>5822</v>
      </c>
      <c r="AS52" t="s">
        <v>5009</v>
      </c>
      <c r="BB52" t="s">
        <v>5010</v>
      </c>
      <c r="DE52" t="s">
        <v>5011</v>
      </c>
      <c r="EL52" s="2" t="s">
        <v>5012</v>
      </c>
      <c r="ER52" s="2" t="s">
        <v>5010</v>
      </c>
      <c r="ES52" s="2" t="s">
        <v>5240</v>
      </c>
    </row>
    <row r="53" spans="2:149" x14ac:dyDescent="0.3">
      <c r="B53" s="2" t="s">
        <v>5013</v>
      </c>
      <c r="AO53" t="s">
        <v>5823</v>
      </c>
      <c r="AS53" t="s">
        <v>5014</v>
      </c>
      <c r="BB53" t="s">
        <v>5015</v>
      </c>
      <c r="DE53" t="s">
        <v>5016</v>
      </c>
      <c r="EL53" s="2" t="s">
        <v>5017</v>
      </c>
      <c r="ER53" s="2" t="s">
        <v>5015</v>
      </c>
      <c r="ES53" s="2" t="s">
        <v>5241</v>
      </c>
    </row>
    <row r="54" spans="2:149" x14ac:dyDescent="0.3">
      <c r="B54" s="2" t="s">
        <v>5018</v>
      </c>
      <c r="AO54" t="s">
        <v>5824</v>
      </c>
      <c r="AS54" t="s">
        <v>5019</v>
      </c>
      <c r="BB54" t="s">
        <v>5020</v>
      </c>
      <c r="DE54" t="s">
        <v>5021</v>
      </c>
      <c r="EL54" s="2" t="s">
        <v>5022</v>
      </c>
      <c r="ER54" s="2" t="s">
        <v>5020</v>
      </c>
      <c r="ES54" s="2" t="s">
        <v>5242</v>
      </c>
    </row>
    <row r="55" spans="2:149" x14ac:dyDescent="0.3">
      <c r="B55" s="2" t="s">
        <v>5023</v>
      </c>
      <c r="AO55" t="s">
        <v>5825</v>
      </c>
      <c r="AS55" t="s">
        <v>5024</v>
      </c>
      <c r="BB55" t="s">
        <v>5025</v>
      </c>
      <c r="DE55" t="s">
        <v>5026</v>
      </c>
      <c r="EL55" s="2" t="s">
        <v>5027</v>
      </c>
      <c r="ER55" s="2" t="s">
        <v>5025</v>
      </c>
      <c r="ES55" s="2" t="s">
        <v>5243</v>
      </c>
    </row>
    <row r="56" spans="2:149" x14ac:dyDescent="0.3">
      <c r="B56" s="2" t="s">
        <v>5028</v>
      </c>
      <c r="AO56" t="s">
        <v>5826</v>
      </c>
      <c r="AS56" t="s">
        <v>5029</v>
      </c>
      <c r="BB56" t="s">
        <v>5030</v>
      </c>
      <c r="EL56" s="2" t="s">
        <v>5031</v>
      </c>
      <c r="ER56" s="2" t="s">
        <v>5030</v>
      </c>
      <c r="ES56" s="2" t="s">
        <v>5244</v>
      </c>
    </row>
    <row r="57" spans="2:149" x14ac:dyDescent="0.3">
      <c r="B57" s="2" t="s">
        <v>5032</v>
      </c>
      <c r="AO57" t="s">
        <v>5827</v>
      </c>
      <c r="AS57" t="s">
        <v>5033</v>
      </c>
      <c r="BB57" t="s">
        <v>5034</v>
      </c>
      <c r="EL57" s="2" t="s">
        <v>5035</v>
      </c>
      <c r="ER57" s="2" t="s">
        <v>5034</v>
      </c>
      <c r="ES57" s="2" t="s">
        <v>5245</v>
      </c>
    </row>
    <row r="58" spans="2:149" x14ac:dyDescent="0.3">
      <c r="B58" s="2" t="s">
        <v>5036</v>
      </c>
      <c r="AO58" t="s">
        <v>5828</v>
      </c>
      <c r="AS58" t="s">
        <v>5037</v>
      </c>
      <c r="BB58" t="s">
        <v>5038</v>
      </c>
      <c r="EL58" s="2" t="s">
        <v>5039</v>
      </c>
      <c r="ER58" s="2" t="s">
        <v>5038</v>
      </c>
      <c r="ES58" s="2" t="s">
        <v>5246</v>
      </c>
    </row>
    <row r="59" spans="2:149" x14ac:dyDescent="0.3">
      <c r="B59" s="2" t="s">
        <v>5040</v>
      </c>
      <c r="AO59" t="s">
        <v>5829</v>
      </c>
      <c r="AS59" t="s">
        <v>5041</v>
      </c>
      <c r="BB59" t="s">
        <v>5042</v>
      </c>
      <c r="EL59" s="2" t="s">
        <v>5043</v>
      </c>
      <c r="ER59" s="2" t="s">
        <v>5042</v>
      </c>
      <c r="ES59" s="2" t="s">
        <v>5247</v>
      </c>
    </row>
    <row r="60" spans="2:149" x14ac:dyDescent="0.3">
      <c r="B60" s="2" t="s">
        <v>5044</v>
      </c>
      <c r="AO60" t="s">
        <v>5830</v>
      </c>
      <c r="AS60" t="s">
        <v>5045</v>
      </c>
      <c r="BB60" t="s">
        <v>5046</v>
      </c>
      <c r="EL60" s="2" t="s">
        <v>5047</v>
      </c>
      <c r="ER60" s="2" t="s">
        <v>5046</v>
      </c>
      <c r="ES60" s="2" t="s">
        <v>5248</v>
      </c>
    </row>
    <row r="61" spans="2:149" x14ac:dyDescent="0.3">
      <c r="B61" s="2" t="s">
        <v>5048</v>
      </c>
      <c r="AO61" t="s">
        <v>5831</v>
      </c>
      <c r="AS61" t="s">
        <v>5049</v>
      </c>
      <c r="BB61" t="s">
        <v>5050</v>
      </c>
      <c r="EL61" s="2" t="s">
        <v>5051</v>
      </c>
      <c r="ER61" s="2" t="s">
        <v>5050</v>
      </c>
      <c r="ES61" s="2" t="s">
        <v>5249</v>
      </c>
    </row>
    <row r="62" spans="2:149" x14ac:dyDescent="0.3">
      <c r="B62" s="2" t="s">
        <v>5052</v>
      </c>
      <c r="AO62" t="s">
        <v>5832</v>
      </c>
      <c r="AS62" t="s">
        <v>5053</v>
      </c>
      <c r="BB62" t="s">
        <v>5054</v>
      </c>
      <c r="EL62" s="2" t="s">
        <v>5055</v>
      </c>
      <c r="ER62" s="2" t="s">
        <v>5054</v>
      </c>
      <c r="ES62" s="2" t="s">
        <v>5250</v>
      </c>
    </row>
    <row r="63" spans="2:149" x14ac:dyDescent="0.3">
      <c r="B63" s="2" t="s">
        <v>5056</v>
      </c>
      <c r="AO63" t="s">
        <v>5833</v>
      </c>
      <c r="AS63" t="s">
        <v>5057</v>
      </c>
      <c r="BB63" t="s">
        <v>5058</v>
      </c>
      <c r="EL63" s="2" t="s">
        <v>5059</v>
      </c>
      <c r="ER63" s="2" t="s">
        <v>5058</v>
      </c>
      <c r="ES63" s="2" t="s">
        <v>5251</v>
      </c>
    </row>
    <row r="64" spans="2:149" x14ac:dyDescent="0.3">
      <c r="B64" s="2" t="s">
        <v>5060</v>
      </c>
      <c r="AO64" t="s">
        <v>5834</v>
      </c>
      <c r="AS64" t="s">
        <v>5061</v>
      </c>
      <c r="BB64" t="s">
        <v>5062</v>
      </c>
      <c r="EL64" s="2" t="s">
        <v>5063</v>
      </c>
      <c r="ER64" s="2" t="s">
        <v>5062</v>
      </c>
      <c r="ES64" s="2" t="s">
        <v>5252</v>
      </c>
    </row>
    <row r="65" spans="2:149" x14ac:dyDescent="0.3">
      <c r="B65" s="2" t="s">
        <v>5064</v>
      </c>
      <c r="AO65" t="s">
        <v>5835</v>
      </c>
      <c r="AS65" t="s">
        <v>5065</v>
      </c>
      <c r="BB65" t="s">
        <v>5066</v>
      </c>
      <c r="EL65" s="2" t="s">
        <v>5067</v>
      </c>
      <c r="ER65" s="2" t="s">
        <v>5066</v>
      </c>
      <c r="ES65" s="2" t="s">
        <v>5253</v>
      </c>
    </row>
    <row r="66" spans="2:149" x14ac:dyDescent="0.3">
      <c r="B66" s="2" t="s">
        <v>5068</v>
      </c>
      <c r="AO66" t="s">
        <v>5836</v>
      </c>
      <c r="AS66" t="s">
        <v>5069</v>
      </c>
      <c r="BB66" t="s">
        <v>5070</v>
      </c>
      <c r="EL66" s="2" t="s">
        <v>5071</v>
      </c>
      <c r="ER66" s="2" t="s">
        <v>5070</v>
      </c>
      <c r="ES66" s="2" t="s">
        <v>5254</v>
      </c>
    </row>
    <row r="67" spans="2:149" x14ac:dyDescent="0.3">
      <c r="B67" s="2" t="s">
        <v>5072</v>
      </c>
      <c r="AO67" t="s">
        <v>5837</v>
      </c>
      <c r="AS67" t="s">
        <v>5073</v>
      </c>
      <c r="BB67" t="s">
        <v>5074</v>
      </c>
      <c r="EL67" s="2" t="s">
        <v>5075</v>
      </c>
      <c r="ER67" s="2" t="s">
        <v>5074</v>
      </c>
      <c r="ES67" s="2" t="s">
        <v>5255</v>
      </c>
    </row>
    <row r="68" spans="2:149" x14ac:dyDescent="0.3">
      <c r="B68" s="2" t="s">
        <v>5076</v>
      </c>
      <c r="AO68" t="s">
        <v>5838</v>
      </c>
      <c r="AS68" t="s">
        <v>5077</v>
      </c>
      <c r="BB68" t="s">
        <v>5078</v>
      </c>
      <c r="EL68" s="2" t="s">
        <v>5079</v>
      </c>
      <c r="ER68" s="2" t="s">
        <v>5078</v>
      </c>
      <c r="ES68" s="2" t="s">
        <v>5256</v>
      </c>
    </row>
    <row r="69" spans="2:149" x14ac:dyDescent="0.3">
      <c r="B69" s="2" t="s">
        <v>5080</v>
      </c>
      <c r="AO69" t="s">
        <v>5839</v>
      </c>
      <c r="AS69" t="s">
        <v>5081</v>
      </c>
      <c r="BB69" t="s">
        <v>5082</v>
      </c>
      <c r="EL69" s="2" t="s">
        <v>5083</v>
      </c>
      <c r="ER69" s="2" t="s">
        <v>5082</v>
      </c>
      <c r="ES69" s="2" t="s">
        <v>5257</v>
      </c>
    </row>
    <row r="70" spans="2:149" x14ac:dyDescent="0.3">
      <c r="B70" s="2" t="s">
        <v>5084</v>
      </c>
      <c r="AO70" t="s">
        <v>5840</v>
      </c>
      <c r="AS70" t="s">
        <v>5085</v>
      </c>
      <c r="BB70" t="s">
        <v>5086</v>
      </c>
      <c r="ER70" s="2" t="s">
        <v>5086</v>
      </c>
      <c r="ES70" s="2" t="s">
        <v>5258</v>
      </c>
    </row>
    <row r="71" spans="2:149" x14ac:dyDescent="0.3">
      <c r="B71" s="2" t="s">
        <v>5087</v>
      </c>
      <c r="AO71" t="s">
        <v>5841</v>
      </c>
      <c r="AS71" t="s">
        <v>5088</v>
      </c>
      <c r="BB71" t="s">
        <v>5089</v>
      </c>
      <c r="ER71" s="2" t="s">
        <v>5089</v>
      </c>
      <c r="ES71" s="2" t="s">
        <v>5259</v>
      </c>
    </row>
    <row r="72" spans="2:149" x14ac:dyDescent="0.3">
      <c r="B72" s="2" t="s">
        <v>5090</v>
      </c>
      <c r="AO72" t="s">
        <v>5842</v>
      </c>
      <c r="AS72" t="s">
        <v>5091</v>
      </c>
      <c r="BB72" t="s">
        <v>5092</v>
      </c>
      <c r="ER72" s="2" t="s">
        <v>5092</v>
      </c>
      <c r="ES72" s="2" t="s">
        <v>5260</v>
      </c>
    </row>
    <row r="73" spans="2:149" x14ac:dyDescent="0.3">
      <c r="B73" s="2" t="s">
        <v>5093</v>
      </c>
      <c r="AO73" t="s">
        <v>5843</v>
      </c>
      <c r="AS73" t="s">
        <v>5094</v>
      </c>
      <c r="BB73" t="s">
        <v>5095</v>
      </c>
      <c r="ER73" s="2" t="s">
        <v>5095</v>
      </c>
      <c r="ES73" s="2" t="s">
        <v>5261</v>
      </c>
    </row>
    <row r="74" spans="2:149" x14ac:dyDescent="0.3">
      <c r="B74" s="2" t="s">
        <v>5096</v>
      </c>
      <c r="AO74" t="s">
        <v>5844</v>
      </c>
      <c r="AS74" t="s">
        <v>5097</v>
      </c>
      <c r="BB74" t="s">
        <v>5098</v>
      </c>
      <c r="ER74" s="2" t="s">
        <v>5098</v>
      </c>
      <c r="ES74" s="2" t="s">
        <v>5262</v>
      </c>
    </row>
    <row r="75" spans="2:149" x14ac:dyDescent="0.3">
      <c r="B75" s="2" t="s">
        <v>5099</v>
      </c>
      <c r="AO75" t="s">
        <v>5845</v>
      </c>
      <c r="AS75" t="s">
        <v>5100</v>
      </c>
      <c r="BB75" t="s">
        <v>5101</v>
      </c>
      <c r="ER75" s="2" t="s">
        <v>5101</v>
      </c>
      <c r="ES75" s="2" t="s">
        <v>5263</v>
      </c>
    </row>
    <row r="76" spans="2:149" x14ac:dyDescent="0.3">
      <c r="B76" s="2" t="s">
        <v>5102</v>
      </c>
      <c r="AO76" t="s">
        <v>5846</v>
      </c>
      <c r="AS76" t="s">
        <v>5103</v>
      </c>
      <c r="BB76" t="s">
        <v>5104</v>
      </c>
      <c r="ER76" s="2" t="s">
        <v>5104</v>
      </c>
      <c r="ES76" s="2" t="s">
        <v>5264</v>
      </c>
    </row>
    <row r="77" spans="2:149" x14ac:dyDescent="0.3">
      <c r="B77" s="2" t="s">
        <v>5105</v>
      </c>
      <c r="AO77" t="s">
        <v>5847</v>
      </c>
      <c r="AS77" t="s">
        <v>5106</v>
      </c>
      <c r="BB77" t="s">
        <v>5107</v>
      </c>
      <c r="ER77" s="2" t="s">
        <v>5107</v>
      </c>
      <c r="ES77" s="2" t="s">
        <v>5265</v>
      </c>
    </row>
    <row r="78" spans="2:149" x14ac:dyDescent="0.3">
      <c r="B78" s="2" t="s">
        <v>5108</v>
      </c>
      <c r="AO78" t="s">
        <v>5848</v>
      </c>
      <c r="AS78" t="s">
        <v>5109</v>
      </c>
      <c r="BB78" t="s">
        <v>5110</v>
      </c>
      <c r="ER78" s="2" t="s">
        <v>5110</v>
      </c>
      <c r="ES78" s="2" t="s">
        <v>5266</v>
      </c>
    </row>
    <row r="79" spans="2:149" x14ac:dyDescent="0.3">
      <c r="B79" s="2" t="s">
        <v>5111</v>
      </c>
      <c r="AO79" t="s">
        <v>5849</v>
      </c>
      <c r="AS79" t="s">
        <v>5112</v>
      </c>
      <c r="BB79" t="s">
        <v>5113</v>
      </c>
      <c r="ER79" s="2" t="s">
        <v>5113</v>
      </c>
      <c r="ES79" s="2" t="s">
        <v>5267</v>
      </c>
    </row>
    <row r="80" spans="2:149" x14ac:dyDescent="0.3">
      <c r="B80" s="2" t="s">
        <v>5114</v>
      </c>
      <c r="AO80" t="s">
        <v>5850</v>
      </c>
      <c r="AS80" t="s">
        <v>5115</v>
      </c>
      <c r="BB80" t="s">
        <v>5116</v>
      </c>
      <c r="ER80" s="2" t="s">
        <v>5116</v>
      </c>
      <c r="ES80" s="2" t="s">
        <v>5268</v>
      </c>
    </row>
    <row r="81" spans="2:149" x14ac:dyDescent="0.3">
      <c r="B81" s="2" t="s">
        <v>5117</v>
      </c>
      <c r="AO81" t="s">
        <v>5851</v>
      </c>
      <c r="AS81" t="s">
        <v>5118</v>
      </c>
      <c r="BB81" t="s">
        <v>5119</v>
      </c>
      <c r="ER81" s="2" t="s">
        <v>5119</v>
      </c>
      <c r="ES81" s="2" t="s">
        <v>5269</v>
      </c>
    </row>
    <row r="82" spans="2:149" x14ac:dyDescent="0.3">
      <c r="B82" s="2" t="s">
        <v>5120</v>
      </c>
      <c r="AO82" t="s">
        <v>5852</v>
      </c>
      <c r="AS82" t="s">
        <v>5121</v>
      </c>
      <c r="BB82" t="s">
        <v>5122</v>
      </c>
      <c r="ER82" s="2" t="s">
        <v>5122</v>
      </c>
      <c r="ES82" s="2" t="s">
        <v>5270</v>
      </c>
    </row>
    <row r="83" spans="2:149" x14ac:dyDescent="0.3">
      <c r="B83" s="2" t="s">
        <v>5123</v>
      </c>
      <c r="AO83" t="s">
        <v>5853</v>
      </c>
      <c r="AS83" t="s">
        <v>5124</v>
      </c>
    </row>
    <row r="84" spans="2:149" x14ac:dyDescent="0.3">
      <c r="B84" s="2" t="s">
        <v>5125</v>
      </c>
      <c r="AO84" t="s">
        <v>5854</v>
      </c>
      <c r="AS84" t="s">
        <v>5126</v>
      </c>
    </row>
    <row r="85" spans="2:149" x14ac:dyDescent="0.3">
      <c r="B85" s="2" t="s">
        <v>5127</v>
      </c>
      <c r="AO85" t="s">
        <v>5855</v>
      </c>
      <c r="AS85" t="s">
        <v>5128</v>
      </c>
    </row>
    <row r="86" spans="2:149" x14ac:dyDescent="0.3">
      <c r="B86" s="2" t="s">
        <v>5129</v>
      </c>
      <c r="AO86" t="s">
        <v>5856</v>
      </c>
      <c r="AS86" t="s">
        <v>5130</v>
      </c>
    </row>
    <row r="87" spans="2:149" x14ac:dyDescent="0.3">
      <c r="B87" s="2" t="s">
        <v>5131</v>
      </c>
      <c r="AO87" t="s">
        <v>5857</v>
      </c>
      <c r="AS87" t="s">
        <v>5132</v>
      </c>
    </row>
    <row r="88" spans="2:149" x14ac:dyDescent="0.3">
      <c r="B88" s="2" t="s">
        <v>5133</v>
      </c>
      <c r="AO88" t="s">
        <v>5858</v>
      </c>
      <c r="AS88" t="s">
        <v>5134</v>
      </c>
    </row>
    <row r="89" spans="2:149" x14ac:dyDescent="0.3">
      <c r="B89" s="2" t="s">
        <v>5135</v>
      </c>
      <c r="AO89" t="s">
        <v>5859</v>
      </c>
      <c r="AS89" t="s">
        <v>5136</v>
      </c>
    </row>
    <row r="90" spans="2:149" x14ac:dyDescent="0.3">
      <c r="B90" s="2" t="s">
        <v>5137</v>
      </c>
      <c r="AO90" t="s">
        <v>5860</v>
      </c>
      <c r="AS90" t="s">
        <v>5138</v>
      </c>
    </row>
    <row r="91" spans="2:149" x14ac:dyDescent="0.3">
      <c r="B91" s="2" t="s">
        <v>5139</v>
      </c>
      <c r="AO91" t="s">
        <v>5861</v>
      </c>
      <c r="AS91" t="s">
        <v>5140</v>
      </c>
    </row>
    <row r="92" spans="2:149" x14ac:dyDescent="0.3">
      <c r="B92" s="2" t="s">
        <v>5141</v>
      </c>
      <c r="AO92" t="s">
        <v>5862</v>
      </c>
      <c r="AS92" t="s">
        <v>5142</v>
      </c>
    </row>
    <row r="93" spans="2:149" x14ac:dyDescent="0.3">
      <c r="B93" s="2" t="s">
        <v>5143</v>
      </c>
      <c r="AO93" t="s">
        <v>5863</v>
      </c>
      <c r="AS93" t="s">
        <v>5144</v>
      </c>
    </row>
    <row r="94" spans="2:149" x14ac:dyDescent="0.3">
      <c r="B94" s="2" t="s">
        <v>5145</v>
      </c>
      <c r="AO94" t="s">
        <v>5864</v>
      </c>
      <c r="AS94" t="s">
        <v>5146</v>
      </c>
    </row>
    <row r="95" spans="2:149" x14ac:dyDescent="0.3">
      <c r="B95" s="2" t="s">
        <v>5147</v>
      </c>
      <c r="AO95" t="s">
        <v>5865</v>
      </c>
      <c r="AS95" t="s">
        <v>5148</v>
      </c>
    </row>
    <row r="96" spans="2:149" x14ac:dyDescent="0.3">
      <c r="B96" s="2" t="s">
        <v>5149</v>
      </c>
      <c r="AO96" t="s">
        <v>5866</v>
      </c>
      <c r="AS96" t="s">
        <v>5150</v>
      </c>
    </row>
    <row r="97" spans="2:45" x14ac:dyDescent="0.3">
      <c r="B97" s="2" t="s">
        <v>5151</v>
      </c>
      <c r="AO97" t="s">
        <v>5867</v>
      </c>
      <c r="AS97" t="s">
        <v>5152</v>
      </c>
    </row>
    <row r="98" spans="2:45" x14ac:dyDescent="0.3">
      <c r="B98" s="2" t="s">
        <v>5153</v>
      </c>
      <c r="AO98" t="s">
        <v>5868</v>
      </c>
      <c r="AS98" t="s">
        <v>5154</v>
      </c>
    </row>
    <row r="99" spans="2:45" x14ac:dyDescent="0.3">
      <c r="B99" s="2" t="s">
        <v>5155</v>
      </c>
      <c r="AO99" t="s">
        <v>5869</v>
      </c>
      <c r="AS99" t="s">
        <v>5156</v>
      </c>
    </row>
    <row r="100" spans="2:45" x14ac:dyDescent="0.3">
      <c r="B100" s="2" t="s">
        <v>5157</v>
      </c>
      <c r="AO100" t="s">
        <v>5870</v>
      </c>
      <c r="AS100" t="s">
        <v>5158</v>
      </c>
    </row>
    <row r="101" spans="2:45" x14ac:dyDescent="0.3">
      <c r="B101" s="2" t="s">
        <v>5159</v>
      </c>
      <c r="AO101" t="s">
        <v>5871</v>
      </c>
      <c r="AS101" t="s">
        <v>5160</v>
      </c>
    </row>
    <row r="102" spans="2:45" x14ac:dyDescent="0.3">
      <c r="B102" s="2" t="s">
        <v>5161</v>
      </c>
      <c r="AO102" t="s">
        <v>5872</v>
      </c>
      <c r="AS102" t="s">
        <v>5162</v>
      </c>
    </row>
    <row r="103" spans="2:45" x14ac:dyDescent="0.3">
      <c r="B103" s="2" t="s">
        <v>5163</v>
      </c>
      <c r="AO103" t="s">
        <v>5873</v>
      </c>
      <c r="AS103" t="s">
        <v>5164</v>
      </c>
    </row>
    <row r="104" spans="2:45" x14ac:dyDescent="0.3">
      <c r="B104" s="2" t="s">
        <v>5165</v>
      </c>
      <c r="AO104" t="s">
        <v>5874</v>
      </c>
      <c r="AS104" t="s">
        <v>5166</v>
      </c>
    </row>
    <row r="105" spans="2:45" x14ac:dyDescent="0.3">
      <c r="B105" s="2" t="s">
        <v>5167</v>
      </c>
      <c r="AO105" t="s">
        <v>5875</v>
      </c>
      <c r="AS105" t="s">
        <v>5168</v>
      </c>
    </row>
    <row r="106" spans="2:45" x14ac:dyDescent="0.3">
      <c r="AO106" t="s">
        <v>5876</v>
      </c>
      <c r="AS106" t="s">
        <v>5169</v>
      </c>
    </row>
    <row r="107" spans="2:45" x14ac:dyDescent="0.3">
      <c r="AO107" t="s">
        <v>5877</v>
      </c>
      <c r="AS107" t="s">
        <v>5170</v>
      </c>
    </row>
    <row r="108" spans="2:45" x14ac:dyDescent="0.3">
      <c r="AO108" t="s">
        <v>5878</v>
      </c>
      <c r="AS108" t="s">
        <v>5171</v>
      </c>
    </row>
    <row r="109" spans="2:45" x14ac:dyDescent="0.3">
      <c r="AO109" t="s">
        <v>5879</v>
      </c>
      <c r="AS109" t="s">
        <v>5172</v>
      </c>
    </row>
    <row r="110" spans="2:45" x14ac:dyDescent="0.3">
      <c r="AO110" t="s">
        <v>5880</v>
      </c>
      <c r="AS110" t="s">
        <v>5173</v>
      </c>
    </row>
    <row r="111" spans="2:45" x14ac:dyDescent="0.3">
      <c r="AO111" t="s">
        <v>5881</v>
      </c>
      <c r="AS111" t="s">
        <v>5174</v>
      </c>
    </row>
    <row r="112" spans="2:45" x14ac:dyDescent="0.3">
      <c r="AO112" t="s">
        <v>5882</v>
      </c>
      <c r="AS112" t="s">
        <v>5175</v>
      </c>
    </row>
    <row r="113" spans="41:45" x14ac:dyDescent="0.3">
      <c r="AO113" t="s">
        <v>5883</v>
      </c>
      <c r="AS113" t="s">
        <v>5176</v>
      </c>
    </row>
    <row r="114" spans="41:45" x14ac:dyDescent="0.3">
      <c r="AO114" t="s">
        <v>5884</v>
      </c>
      <c r="AS114" t="s">
        <v>5177</v>
      </c>
    </row>
    <row r="115" spans="41:45" x14ac:dyDescent="0.3">
      <c r="AO115" t="s">
        <v>5885</v>
      </c>
    </row>
    <row r="116" spans="41:45" x14ac:dyDescent="0.3">
      <c r="AO116" t="s">
        <v>5886</v>
      </c>
    </row>
    <row r="117" spans="41:45" x14ac:dyDescent="0.3">
      <c r="AO117" t="s">
        <v>5887</v>
      </c>
    </row>
    <row r="118" spans="41:45" x14ac:dyDescent="0.3">
      <c r="AO118" t="s">
        <v>5888</v>
      </c>
    </row>
    <row r="119" spans="41:45" x14ac:dyDescent="0.3">
      <c r="AO119" t="s">
        <v>5889</v>
      </c>
    </row>
    <row r="120" spans="41:45" x14ac:dyDescent="0.3">
      <c r="AO120" t="s">
        <v>5890</v>
      </c>
    </row>
    <row r="121" spans="41:45" x14ac:dyDescent="0.3">
      <c r="AO121" t="s">
        <v>5891</v>
      </c>
    </row>
    <row r="122" spans="41:45" x14ac:dyDescent="0.3">
      <c r="AO122" t="s">
        <v>5892</v>
      </c>
    </row>
    <row r="123" spans="41:45" x14ac:dyDescent="0.3">
      <c r="AO123" t="s">
        <v>5893</v>
      </c>
    </row>
    <row r="124" spans="41:45" x14ac:dyDescent="0.3">
      <c r="AO124" t="s">
        <v>5894</v>
      </c>
    </row>
    <row r="125" spans="41:45" x14ac:dyDescent="0.3">
      <c r="AO125" t="s">
        <v>5895</v>
      </c>
    </row>
    <row r="126" spans="41:45" x14ac:dyDescent="0.3">
      <c r="AO126" t="s">
        <v>5896</v>
      </c>
    </row>
    <row r="127" spans="41:45" x14ac:dyDescent="0.3">
      <c r="AO127" t="s">
        <v>5897</v>
      </c>
    </row>
    <row r="128" spans="41:45" x14ac:dyDescent="0.3">
      <c r="AO128" t="s">
        <v>5898</v>
      </c>
    </row>
    <row r="129" spans="41:41" x14ac:dyDescent="0.3">
      <c r="AO129" t="s">
        <v>5899</v>
      </c>
    </row>
    <row r="130" spans="41:41" x14ac:dyDescent="0.3">
      <c r="AO130" t="s">
        <v>5900</v>
      </c>
    </row>
    <row r="131" spans="41:41" x14ac:dyDescent="0.3">
      <c r="AO131" t="s">
        <v>5901</v>
      </c>
    </row>
    <row r="132" spans="41:41" x14ac:dyDescent="0.3">
      <c r="AO132" t="s">
        <v>5902</v>
      </c>
    </row>
    <row r="133" spans="41:41" x14ac:dyDescent="0.3">
      <c r="AO133" t="s">
        <v>5903</v>
      </c>
    </row>
    <row r="134" spans="41:41" x14ac:dyDescent="0.3">
      <c r="AO134" t="s">
        <v>5904</v>
      </c>
    </row>
    <row r="135" spans="41:41" x14ac:dyDescent="0.3">
      <c r="AO135" t="s">
        <v>5905</v>
      </c>
    </row>
    <row r="136" spans="41:41" x14ac:dyDescent="0.3">
      <c r="AO136" t="s">
        <v>5906</v>
      </c>
    </row>
    <row r="137" spans="41:41" x14ac:dyDescent="0.3">
      <c r="AO137" t="s">
        <v>5907</v>
      </c>
    </row>
    <row r="138" spans="41:41" x14ac:dyDescent="0.3">
      <c r="AO138" t="s">
        <v>5908</v>
      </c>
    </row>
    <row r="139" spans="41:41" x14ac:dyDescent="0.3">
      <c r="AO139" t="s">
        <v>5909</v>
      </c>
    </row>
    <row r="140" spans="41:41" x14ac:dyDescent="0.3">
      <c r="AO140" t="s">
        <v>5910</v>
      </c>
    </row>
    <row r="141" spans="41:41" x14ac:dyDescent="0.3">
      <c r="AO141" t="s">
        <v>5911</v>
      </c>
    </row>
    <row r="142" spans="41:41" x14ac:dyDescent="0.3">
      <c r="AO142" t="s">
        <v>5912</v>
      </c>
    </row>
    <row r="143" spans="41:41" x14ac:dyDescent="0.3">
      <c r="AO143" t="s">
        <v>5913</v>
      </c>
    </row>
    <row r="144" spans="41:41" x14ac:dyDescent="0.3">
      <c r="AO144" t="s">
        <v>5914</v>
      </c>
    </row>
    <row r="145" spans="41:41" x14ac:dyDescent="0.3">
      <c r="AO145" t="s">
        <v>5915</v>
      </c>
    </row>
    <row r="146" spans="41:41" x14ac:dyDescent="0.3">
      <c r="AO146" t="s">
        <v>5916</v>
      </c>
    </row>
    <row r="147" spans="41:41" x14ac:dyDescent="0.3">
      <c r="AO147" t="s">
        <v>5917</v>
      </c>
    </row>
    <row r="148" spans="41:41" x14ac:dyDescent="0.3">
      <c r="AO148" t="s">
        <v>5918</v>
      </c>
    </row>
    <row r="149" spans="41:41" x14ac:dyDescent="0.3">
      <c r="AO149" t="s">
        <v>5919</v>
      </c>
    </row>
    <row r="150" spans="41:41" x14ac:dyDescent="0.3">
      <c r="AO150" t="s">
        <v>5920</v>
      </c>
    </row>
    <row r="151" spans="41:41" x14ac:dyDescent="0.3">
      <c r="AO151" t="s">
        <v>5921</v>
      </c>
    </row>
    <row r="152" spans="41:41" x14ac:dyDescent="0.3">
      <c r="AO152" t="s">
        <v>5922</v>
      </c>
    </row>
    <row r="153" spans="41:41" x14ac:dyDescent="0.3">
      <c r="AO153" t="s">
        <v>5923</v>
      </c>
    </row>
    <row r="154" spans="41:41" x14ac:dyDescent="0.3">
      <c r="AO154" t="s">
        <v>5924</v>
      </c>
    </row>
    <row r="155" spans="41:41" x14ac:dyDescent="0.3">
      <c r="AO155" t="s">
        <v>5925</v>
      </c>
    </row>
    <row r="156" spans="41:41" x14ac:dyDescent="0.3">
      <c r="AO156" t="s">
        <v>5926</v>
      </c>
    </row>
    <row r="157" spans="41:41" x14ac:dyDescent="0.3">
      <c r="AO157" t="s">
        <v>5927</v>
      </c>
    </row>
    <row r="158" spans="41:41" x14ac:dyDescent="0.3">
      <c r="AO158" t="s">
        <v>5928</v>
      </c>
    </row>
    <row r="159" spans="41:41" x14ac:dyDescent="0.3">
      <c r="AO159" t="s">
        <v>5929</v>
      </c>
    </row>
    <row r="160" spans="41:41" x14ac:dyDescent="0.3">
      <c r="AO160" t="s">
        <v>5930</v>
      </c>
    </row>
    <row r="161" spans="41:41" x14ac:dyDescent="0.3">
      <c r="AO161" t="s">
        <v>5931</v>
      </c>
    </row>
    <row r="162" spans="41:41" x14ac:dyDescent="0.3">
      <c r="AO162" t="s">
        <v>5932</v>
      </c>
    </row>
    <row r="163" spans="41:41" x14ac:dyDescent="0.3">
      <c r="AO163" t="s">
        <v>5933</v>
      </c>
    </row>
    <row r="164" spans="41:41" x14ac:dyDescent="0.3">
      <c r="AO164" t="s">
        <v>5934</v>
      </c>
    </row>
    <row r="165" spans="41:41" x14ac:dyDescent="0.3">
      <c r="AO165" t="s">
        <v>5935</v>
      </c>
    </row>
    <row r="166" spans="41:41" x14ac:dyDescent="0.3">
      <c r="AO166" t="s">
        <v>5936</v>
      </c>
    </row>
    <row r="167" spans="41:41" x14ac:dyDescent="0.3">
      <c r="AO167" t="s">
        <v>5937</v>
      </c>
    </row>
    <row r="168" spans="41:41" x14ac:dyDescent="0.3">
      <c r="AO168" t="s">
        <v>5938</v>
      </c>
    </row>
    <row r="169" spans="41:41" x14ac:dyDescent="0.3">
      <c r="AO169" t="s">
        <v>5939</v>
      </c>
    </row>
    <row r="170" spans="41:41" x14ac:dyDescent="0.3">
      <c r="AO170" t="s">
        <v>5940</v>
      </c>
    </row>
    <row r="171" spans="41:41" x14ac:dyDescent="0.3">
      <c r="AO171" t="s">
        <v>5941</v>
      </c>
    </row>
    <row r="172" spans="41:41" x14ac:dyDescent="0.3">
      <c r="AO172" t="s">
        <v>5942</v>
      </c>
    </row>
    <row r="173" spans="41:41" x14ac:dyDescent="0.3">
      <c r="AO173" t="s">
        <v>5943</v>
      </c>
    </row>
    <row r="174" spans="41:41" x14ac:dyDescent="0.3">
      <c r="AO174" t="s">
        <v>5944</v>
      </c>
    </row>
    <row r="175" spans="41:41" x14ac:dyDescent="0.3">
      <c r="AO175" t="s">
        <v>5945</v>
      </c>
    </row>
    <row r="176" spans="41:41" x14ac:dyDescent="0.3">
      <c r="AO176" t="s">
        <v>5946</v>
      </c>
    </row>
    <row r="177" spans="41:41" x14ac:dyDescent="0.3">
      <c r="AO177" t="s">
        <v>5947</v>
      </c>
    </row>
    <row r="178" spans="41:41" x14ac:dyDescent="0.3">
      <c r="AO178" t="s">
        <v>5948</v>
      </c>
    </row>
    <row r="179" spans="41:41" x14ac:dyDescent="0.3">
      <c r="AO179" t="s">
        <v>5949</v>
      </c>
    </row>
    <row r="180" spans="41:41" x14ac:dyDescent="0.3">
      <c r="AO180" t="s">
        <v>5950</v>
      </c>
    </row>
    <row r="181" spans="41:41" x14ac:dyDescent="0.3">
      <c r="AO181" t="s">
        <v>5951</v>
      </c>
    </row>
    <row r="182" spans="41:41" x14ac:dyDescent="0.3">
      <c r="AO182" t="s">
        <v>5952</v>
      </c>
    </row>
    <row r="183" spans="41:41" x14ac:dyDescent="0.3">
      <c r="AO183" t="s">
        <v>5953</v>
      </c>
    </row>
    <row r="184" spans="41:41" x14ac:dyDescent="0.3">
      <c r="AO184" t="s">
        <v>5954</v>
      </c>
    </row>
    <row r="185" spans="41:41" x14ac:dyDescent="0.3">
      <c r="AO185" t="s">
        <v>5955</v>
      </c>
    </row>
    <row r="186" spans="41:41" x14ac:dyDescent="0.3">
      <c r="AO186" t="s">
        <v>5956</v>
      </c>
    </row>
    <row r="187" spans="41:41" x14ac:dyDescent="0.3">
      <c r="AO187" t="s">
        <v>5957</v>
      </c>
    </row>
    <row r="188" spans="41:41" x14ac:dyDescent="0.3">
      <c r="AO188" t="s">
        <v>5958</v>
      </c>
    </row>
    <row r="189" spans="41:41" x14ac:dyDescent="0.3">
      <c r="AO189" t="s">
        <v>5959</v>
      </c>
    </row>
    <row r="190" spans="41:41" x14ac:dyDescent="0.3">
      <c r="AO190" t="s">
        <v>5960</v>
      </c>
    </row>
    <row r="191" spans="41:41" x14ac:dyDescent="0.3">
      <c r="AO191" t="s">
        <v>5961</v>
      </c>
    </row>
    <row r="192" spans="41:41" x14ac:dyDescent="0.3">
      <c r="AO192" t="s">
        <v>5962</v>
      </c>
    </row>
    <row r="193" spans="41:41" x14ac:dyDescent="0.3">
      <c r="AO193" t="s">
        <v>5963</v>
      </c>
    </row>
    <row r="194" spans="41:41" x14ac:dyDescent="0.3">
      <c r="AO194" t="s">
        <v>5964</v>
      </c>
    </row>
    <row r="195" spans="41:41" x14ac:dyDescent="0.3">
      <c r="AO195" t="s">
        <v>5965</v>
      </c>
    </row>
    <row r="196" spans="41:41" x14ac:dyDescent="0.3">
      <c r="AO196" t="s">
        <v>5966</v>
      </c>
    </row>
    <row r="197" spans="41:41" x14ac:dyDescent="0.3">
      <c r="AO197" t="s">
        <v>5967</v>
      </c>
    </row>
    <row r="198" spans="41:41" x14ac:dyDescent="0.3">
      <c r="AO198" t="s">
        <v>5968</v>
      </c>
    </row>
    <row r="199" spans="41:41" x14ac:dyDescent="0.3">
      <c r="AO199" t="s">
        <v>5969</v>
      </c>
    </row>
    <row r="200" spans="41:41" x14ac:dyDescent="0.3">
      <c r="AO200" t="s">
        <v>5970</v>
      </c>
    </row>
    <row r="201" spans="41:41" x14ac:dyDescent="0.3">
      <c r="AO201" t="s">
        <v>5971</v>
      </c>
    </row>
    <row r="202" spans="41:41" x14ac:dyDescent="0.3">
      <c r="AO202" t="s">
        <v>5972</v>
      </c>
    </row>
    <row r="203" spans="41:41" x14ac:dyDescent="0.3">
      <c r="AO203" t="s">
        <v>5973</v>
      </c>
    </row>
    <row r="204" spans="41:41" x14ac:dyDescent="0.3">
      <c r="AO204" t="s">
        <v>5974</v>
      </c>
    </row>
    <row r="205" spans="41:41" x14ac:dyDescent="0.3">
      <c r="AO205" t="s">
        <v>5975</v>
      </c>
    </row>
    <row r="206" spans="41:41" x14ac:dyDescent="0.3">
      <c r="AO206" t="s">
        <v>5976</v>
      </c>
    </row>
    <row r="207" spans="41:41" x14ac:dyDescent="0.3">
      <c r="AO207" t="s">
        <v>5977</v>
      </c>
    </row>
    <row r="208" spans="41:41" x14ac:dyDescent="0.3">
      <c r="AO208" t="s">
        <v>5978</v>
      </c>
    </row>
    <row r="209" spans="41:41" x14ac:dyDescent="0.3">
      <c r="AO209" t="s">
        <v>5979</v>
      </c>
    </row>
    <row r="210" spans="41:41" x14ac:dyDescent="0.3">
      <c r="AO210" t="s">
        <v>5980</v>
      </c>
    </row>
    <row r="211" spans="41:41" x14ac:dyDescent="0.3">
      <c r="AO211" t="s">
        <v>5981</v>
      </c>
    </row>
    <row r="212" spans="41:41" x14ac:dyDescent="0.3">
      <c r="AO212" t="s">
        <v>5982</v>
      </c>
    </row>
    <row r="213" spans="41:41" x14ac:dyDescent="0.3">
      <c r="AO213" t="s">
        <v>5983</v>
      </c>
    </row>
    <row r="214" spans="41:41" x14ac:dyDescent="0.3">
      <c r="AO214" t="s">
        <v>5984</v>
      </c>
    </row>
    <row r="215" spans="41:41" x14ac:dyDescent="0.3">
      <c r="AO215" t="s">
        <v>5985</v>
      </c>
    </row>
    <row r="216" spans="41:41" x14ac:dyDescent="0.3">
      <c r="AO216" t="s">
        <v>5986</v>
      </c>
    </row>
    <row r="217" spans="41:41" x14ac:dyDescent="0.3">
      <c r="AO217" t="s">
        <v>5987</v>
      </c>
    </row>
    <row r="218" spans="41:41" x14ac:dyDescent="0.3">
      <c r="AO218" t="s">
        <v>5988</v>
      </c>
    </row>
    <row r="219" spans="41:41" x14ac:dyDescent="0.3">
      <c r="AO219" t="s">
        <v>5989</v>
      </c>
    </row>
    <row r="220" spans="41:41" x14ac:dyDescent="0.3">
      <c r="AO220" t="s">
        <v>5990</v>
      </c>
    </row>
    <row r="221" spans="41:41" x14ac:dyDescent="0.3">
      <c r="AO221" t="s">
        <v>5991</v>
      </c>
    </row>
    <row r="222" spans="41:41" x14ac:dyDescent="0.3">
      <c r="AO222" t="s">
        <v>5992</v>
      </c>
    </row>
    <row r="223" spans="41:41" x14ac:dyDescent="0.3">
      <c r="AO223" t="s">
        <v>5993</v>
      </c>
    </row>
    <row r="224" spans="41:41" x14ac:dyDescent="0.3">
      <c r="AO224" t="s">
        <v>5994</v>
      </c>
    </row>
    <row r="225" spans="41:41" x14ac:dyDescent="0.3">
      <c r="AO225" t="s">
        <v>5995</v>
      </c>
    </row>
    <row r="226" spans="41:41" x14ac:dyDescent="0.3">
      <c r="AO226" t="s">
        <v>5996</v>
      </c>
    </row>
    <row r="227" spans="41:41" x14ac:dyDescent="0.3">
      <c r="AO227" t="s">
        <v>5997</v>
      </c>
    </row>
    <row r="228" spans="41:41" x14ac:dyDescent="0.3">
      <c r="AO228" t="s">
        <v>5998</v>
      </c>
    </row>
    <row r="229" spans="41:41" x14ac:dyDescent="0.3">
      <c r="AO229" t="s">
        <v>5999</v>
      </c>
    </row>
    <row r="230" spans="41:41" x14ac:dyDescent="0.3">
      <c r="AO230" t="s">
        <v>6000</v>
      </c>
    </row>
    <row r="231" spans="41:41" x14ac:dyDescent="0.3">
      <c r="AO231" t="s">
        <v>6001</v>
      </c>
    </row>
    <row r="232" spans="41:41" x14ac:dyDescent="0.3">
      <c r="AO232" t="s">
        <v>6002</v>
      </c>
    </row>
    <row r="233" spans="41:41" x14ac:dyDescent="0.3">
      <c r="AO233" t="s">
        <v>6003</v>
      </c>
    </row>
    <row r="234" spans="41:41" x14ac:dyDescent="0.3">
      <c r="AO234" t="s">
        <v>6004</v>
      </c>
    </row>
    <row r="235" spans="41:41" x14ac:dyDescent="0.3">
      <c r="AO235" t="s">
        <v>6005</v>
      </c>
    </row>
    <row r="236" spans="41:41" x14ac:dyDescent="0.3">
      <c r="AO236" t="s">
        <v>6006</v>
      </c>
    </row>
    <row r="237" spans="41:41" x14ac:dyDescent="0.3">
      <c r="AO237" t="s">
        <v>6007</v>
      </c>
    </row>
    <row r="238" spans="41:41" x14ac:dyDescent="0.3">
      <c r="AO238" t="s">
        <v>6008</v>
      </c>
    </row>
    <row r="239" spans="41:41" x14ac:dyDescent="0.3">
      <c r="AO239" t="s">
        <v>6009</v>
      </c>
    </row>
    <row r="240" spans="41:41" x14ac:dyDescent="0.3">
      <c r="AO240" t="s">
        <v>6010</v>
      </c>
    </row>
    <row r="241" spans="41:41" x14ac:dyDescent="0.3">
      <c r="AO241" t="s">
        <v>6011</v>
      </c>
    </row>
    <row r="242" spans="41:41" x14ac:dyDescent="0.3">
      <c r="AO242" t="s">
        <v>6012</v>
      </c>
    </row>
    <row r="243" spans="41:41" x14ac:dyDescent="0.3">
      <c r="AO243" t="s">
        <v>6013</v>
      </c>
    </row>
    <row r="244" spans="41:41" x14ac:dyDescent="0.3">
      <c r="AO244" t="s">
        <v>6014</v>
      </c>
    </row>
    <row r="245" spans="41:41" x14ac:dyDescent="0.3">
      <c r="AO245" t="s">
        <v>6015</v>
      </c>
    </row>
    <row r="246" spans="41:41" x14ac:dyDescent="0.3">
      <c r="AO246" t="s">
        <v>6016</v>
      </c>
    </row>
    <row r="247" spans="41:41" x14ac:dyDescent="0.3">
      <c r="AO247" t="s">
        <v>6017</v>
      </c>
    </row>
  </sheetData>
  <sheetProtection password="C9D6" sheet="1" objects="1" scenarios="1"/>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4"/>
  <sheetViews>
    <sheetView workbookViewId="0"/>
  </sheetViews>
  <sheetFormatPr defaultColWidth="11.44140625" defaultRowHeight="14.4" x14ac:dyDescent="0.3"/>
  <sheetData>
    <row r="1" spans="1:1" x14ac:dyDescent="0.3">
      <c r="A1">
        <v>1</v>
      </c>
    </row>
    <row r="2" spans="1:1" x14ac:dyDescent="0.3">
      <c r="A2">
        <v>2017</v>
      </c>
    </row>
    <row r="3" spans="1:1" x14ac:dyDescent="0.3">
      <c r="A3">
        <v>2</v>
      </c>
    </row>
    <row r="4" spans="1:1" x14ac:dyDescent="0.3">
      <c r="A4" t="s">
        <v>5178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6836E750C38943A6C2BEF7CA346743" ma:contentTypeVersion="0" ma:contentTypeDescription="Create a new document." ma:contentTypeScope="" ma:versionID="e13ff64039b6aeb7fca4f0af7a516c63">
  <xsd:schema xmlns:xsd="http://www.w3.org/2001/XMLSchema" xmlns:xs="http://www.w3.org/2001/XMLSchema" xmlns:p="http://schemas.microsoft.com/office/2006/metadata/properties" targetNamespace="http://schemas.microsoft.com/office/2006/metadata/properties" ma:root="true" ma:fieldsID="280f7f7522f218e81b2b69d9e7d12a8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176716-40DB-4B5E-9E1C-44418DF971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E6BE9C4-136E-406F-B551-B2EF315450B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4F3D423-C80D-470B-B43B-ED1817F533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572</vt:i4>
      </vt:variant>
    </vt:vector>
  </HeadingPairs>
  <TitlesOfParts>
    <vt:vector size="605" baseType="lpstr">
      <vt:lpstr>Inicio</vt:lpstr>
      <vt:lpstr>SIPRED</vt: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i|dSoft</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Raul May</cp:lastModifiedBy>
  <dcterms:created xsi:type="dcterms:W3CDTF">2017-04-20T16:45:28Z</dcterms:created>
  <dcterms:modified xsi:type="dcterms:W3CDTF">2019-01-27T04:21:39Z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0x010100296836E750C38943A6C2BEF7CA346743</vt:lpwstr>
  </property>
</Properties>
</file>